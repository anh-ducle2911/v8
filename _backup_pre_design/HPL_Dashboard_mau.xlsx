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ế hoạch tuyến" sheetId="2" state="visible" r:id="rId2"/>
    <sheet name="Đơn hàng" sheetId="3" state="visible" r:id="rId3"/>
    <sheet name="Xe &amp; tài xế" sheetId="4" state="visible" r:id="rId4"/>
    <sheet name="Đơn bổ sung &amp; Backhaul" sheetId="5" state="visible" r:id="rId5"/>
    <sheet name="Tài chính P&amp;L" sheetId="6" state="visible" r:id="rId6"/>
    <sheet name="Sự cố trong ngày" sheetId="7" state="visible" r:id="rId7"/>
    <sheet name="Nhật ký điều phối" sheetId="8" state="visible" r:id="rId8"/>
    <sheet name="_src" sheetId="9" state="hidden" r:id="rId9"/>
    <sheet name="Hướng dẫn" sheetId="10" state="visible" r:id="rId10"/>
  </sheets>
  <definedNames>
    <definedName name="_xlnm._FilterDatabase" localSheetId="6" hidden="1">'Sự cố trong ngày'!$A$3:$J$3</definedName>
    <definedName name="_xlnm._FilterDatabase" localSheetId="7" hidden="1">'Nhật ký điều phối'!$A$3:$J$3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#,##0&quot; đ&quot;"/>
    <numFmt numFmtId="166" formatCode="#,##0.0"/>
  </numFmts>
  <fonts count="21">
    <font>
      <name val="Calibri"/>
      <family val="2"/>
      <color theme="1"/>
      <sz val="11"/>
      <scheme val="minor"/>
    </font>
    <font>
      <name val="Calibri"/>
      <b val="1"/>
      <color rgb="000B3D91"/>
      <sz val="14"/>
    </font>
    <font>
      <name val="Calibri"/>
      <i val="1"/>
      <color rgb="005B6678"/>
      <sz val="10"/>
    </font>
    <font>
      <name val="Calibri"/>
      <b val="1"/>
      <color rgb="00FFFFFF"/>
      <sz val="10.5"/>
    </font>
    <font>
      <name val="Calibri"/>
      <color rgb="0016203A"/>
      <sz val="10.5"/>
    </font>
    <font>
      <name val="Calibri"/>
      <b val="1"/>
      <color rgb="000B3D91"/>
      <sz val="11"/>
    </font>
    <font>
      <name val="Calibri"/>
      <i val="1"/>
      <color rgb="00888888"/>
    </font>
    <font>
      <name val="Calibri"/>
      <b val="1"/>
      <color rgb="000B3D91"/>
      <sz val="17"/>
    </font>
    <font>
      <name val="Calibri"/>
      <i val="1"/>
      <color rgb="005B6678"/>
      <sz val="10.5"/>
    </font>
    <font>
      <name val="Calibri"/>
      <b val="1"/>
      <color rgb="005B6678"/>
      <sz val="9.5"/>
    </font>
    <font>
      <name val="Calibri"/>
      <b val="1"/>
      <color rgb="000B3D91"/>
      <sz val="20"/>
    </font>
    <font>
      <name val="Calibri"/>
      <color rgb="005B6678"/>
      <sz val="8.5"/>
    </font>
    <font>
      <name val="Calibri"/>
      <b val="1"/>
      <color rgb="001565C0"/>
      <sz val="20"/>
    </font>
    <font>
      <name val="Calibri"/>
      <b val="1"/>
      <color rgb="0000838F"/>
      <sz val="20"/>
    </font>
    <font>
      <name val="Calibri"/>
      <b val="1"/>
      <color rgb="00B07A00"/>
      <sz val="20"/>
    </font>
    <font>
      <name val="Calibri"/>
      <b val="1"/>
      <color rgb="005C6BC0"/>
      <sz val="20"/>
    </font>
    <font>
      <name val="Calibri"/>
      <b val="1"/>
      <color rgb="001B7A2F"/>
      <sz val="20"/>
    </font>
    <font>
      <name val="Calibri"/>
      <b val="1"/>
      <color rgb="00072A66"/>
      <sz val="10"/>
    </font>
    <font>
      <name val="Calibri"/>
      <color rgb="0016203A"/>
      <sz val="11"/>
    </font>
    <font>
      <name val="Calibri"/>
      <b val="1"/>
      <color rgb="000B3D91"/>
      <sz val="12"/>
    </font>
    <font>
      <name val="Calibri"/>
      <color rgb="005B6678"/>
      <sz val="10"/>
    </font>
  </fonts>
  <fills count="12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CE4E4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00838F"/>
      </patternFill>
    </fill>
    <fill>
      <patternFill patternType="solid">
        <fgColor rgb="00B07A00"/>
      </patternFill>
    </fill>
    <fill>
      <patternFill patternType="solid">
        <fgColor rgb="005C6BC0"/>
      </patternFill>
    </fill>
    <fill>
      <patternFill patternType="solid">
        <fgColor rgb="001B7A2F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  <border>
      <left/>
      <right/>
      <top style="thin">
        <color rgb="00D8E0EC"/>
      </top>
      <bottom/>
      <diagonal/>
    </border>
    <border>
      <left/>
      <right style="thin">
        <color rgb="00D8E0EC"/>
      </right>
      <top style="thin">
        <color rgb="00D8E0EC"/>
      </top>
      <bottom/>
      <diagonal/>
    </border>
    <border>
      <left/>
      <right/>
      <top style="thin">
        <color rgb="00D8E0EC"/>
      </top>
      <bottom style="thin">
        <color rgb="00D8E0EC"/>
      </bottom>
      <diagonal/>
    </border>
    <border>
      <left/>
      <right style="thin">
        <color rgb="00D8E0EC"/>
      </right>
      <top style="thin">
        <color rgb="00D8E0EC"/>
      </top>
      <bottom style="thin">
        <color rgb="00D8E0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5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3" fontId="10" fillId="5" borderId="1" applyAlignment="1" pivotButton="0" quotePrefix="0" xfId="0">
      <alignment horizontal="left" vertical="center" indent="1"/>
    </xf>
    <xf numFmtId="3" fontId="12" fillId="5" borderId="1" applyAlignment="1" pivotButton="0" quotePrefix="0" xfId="0">
      <alignment horizontal="left" vertical="center" indent="1"/>
    </xf>
    <xf numFmtId="164" fontId="13" fillId="5" borderId="1" applyAlignment="1" pivotButton="0" quotePrefix="0" xfId="0">
      <alignment horizontal="left" vertical="center" indent="1"/>
    </xf>
    <xf numFmtId="166" fontId="14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0" fillId="10" borderId="1" pivotButton="0" quotePrefix="0" xfId="0"/>
    <xf numFmtId="165" fontId="10" fillId="5" borderId="1" applyAlignment="1" pivotButton="0" quotePrefix="0" xfId="0">
      <alignment horizontal="left" vertical="center" indent="1"/>
    </xf>
    <xf numFmtId="165" fontId="15" fillId="5" borderId="1" applyAlignment="1" pivotButton="0" quotePrefix="0" xfId="0">
      <alignment horizontal="left" vertical="center" indent="1"/>
    </xf>
    <xf numFmtId="165" fontId="16" fillId="5" borderId="1" applyAlignment="1" pivotButton="0" quotePrefix="0" xfId="0">
      <alignment horizontal="left" vertical="center" indent="1"/>
    </xf>
    <xf numFmtId="164" fontId="16" fillId="5" borderId="1" applyAlignment="1" pivotButton="0" quotePrefix="0" xfId="0">
      <alignment horizontal="left" vertical="center" indent="1"/>
    </xf>
    <xf numFmtId="0" fontId="17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3" borderId="1" pivotButton="0" quotePrefix="0" xfId="0"/>
    <xf numFmtId="165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1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4">
    <dxf>
      <font>
        <b val="1"/>
        <color rgb="00B71C1C"/>
      </font>
      <fill>
        <patternFill patternType="solid">
          <fgColor rgb="00FCE4E4"/>
        </patternFill>
      </fill>
    </dxf>
    <dxf>
      <font>
        <b val="1"/>
        <color rgb="001B7A2F"/>
      </font>
      <fill>
        <patternFill patternType="solid">
          <fgColor rgb="00E8F5EC"/>
        </patternFill>
      </fill>
    </dxf>
    <dxf>
      <font>
        <b val="1"/>
        <color rgb="00B07A00"/>
      </font>
      <fill>
        <patternFill patternType="solid">
          <fgColor rgb="00FFF6E2"/>
        </patternFill>
      </fill>
    </dxf>
    <dxf>
      <font>
        <b val="1"/>
        <color rgb="000B3D91"/>
      </font>
      <fill>
        <patternFill patternType="solid">
          <fgColor rgb="00EAF1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Cơ cấu chi phí kế hoạch</a:t>
            </a:r>
          </a:p>
        </rich>
      </tx>
    </title>
    <plotArea>
      <doughnutChart>
        <varyColors val="1"/>
        <ser>
          <idx val="0"/>
          <order val="0"/>
          <tx>
            <strRef>
              <f>'_src'!B1</f>
            </strRef>
          </tx>
          <spPr>
            <a:ln>
              <a:prstDash val="solid"/>
            </a:ln>
          </spPr>
          <cat>
            <numRef>
              <f>'_src'!$A$2:$A$8</f>
            </numRef>
          </cat>
          <val>
            <numRef>
              <f>'_src'!$B$2:$B$8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Lợi nhuận theo tuyến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'Tài chính P&amp;L'!M3</f>
            </strRef>
          </tx>
          <spPr>
            <a:ln>
              <a:prstDash val="solid"/>
            </a:ln>
          </spPr>
          <cat>
            <numRef>
              <f>'Tài chính P&amp;L'!$B$4:$B$20</f>
            </numRef>
          </cat>
          <val>
            <numRef>
              <f>'Tài chính P&amp;L'!$M$4:$M$20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Tác động backhaul tới km rỗng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'_src'!E1</f>
            </strRef>
          </tx>
          <spPr>
            <a:ln>
              <a:prstDash val="solid"/>
            </a:ln>
          </spPr>
          <cat>
            <numRef>
              <f>'_src'!$D$2:$D$3</f>
            </numRef>
          </cat>
          <val>
            <numRef>
              <f>'_src'!$E$2:$E$3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Đơn đã gán / chưa gán</a:t>
            </a:r>
          </a:p>
        </rich>
      </tx>
    </title>
    <plotArea>
      <pieChart>
        <varyColors val="1"/>
        <ser>
          <idx val="0"/>
          <order val="0"/>
          <tx>
            <strRef>
              <f>'_src'!H1</f>
            </strRef>
          </tx>
          <spPr>
            <a:ln>
              <a:prstDash val="solid"/>
            </a:ln>
          </spPr>
          <cat>
            <numRef>
              <f>'_src'!$G$2:$G$3</f>
            </numRef>
          </cat>
          <val>
            <numRef>
              <f>'_src'!$H$2:$H$3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4031999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15</row>
      <rowOff>0</rowOff>
    </from>
    <ext cx="4031999" cy="237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4031999" cy="237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30</row>
      <rowOff>0</rowOff>
    </from>
    <ext cx="4031999" cy="237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routes" displayName="tbl_routes" ref="A3:P20" headerRowCount="1">
  <autoFilter ref="A3:P20"/>
  <tableColumns count="16">
    <tableColumn id="1" name="STT"/>
    <tableColumn id="2" name="Mã xe"/>
    <tableColumn id="3" name="Loại xe"/>
    <tableColumn id="4" name="Tài xế"/>
    <tableColumn id="5" name="Hành lang"/>
    <tableColumn id="6" name="Số đơn"/>
    <tableColumn id="7" name="Km"/>
    <tableColumn id="8" name="Km rỗng"/>
    <tableColumn id="9" name="Tải (kg)"/>
    <tableColumn id="10" name="Tỷ lệ tải %"/>
    <tableColumn id="11" name="Doanh thu"/>
    <tableColumn id="12" name="Chi phí"/>
    <tableColumn id="13" name="Lợi nhuận"/>
    <tableColumn id="14" name="Biên %"/>
    <tableColumn id="15" name="Backhaul"/>
    <tableColumn id="16" name="Danh sách đơ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rders" displayName="tbl_orders" ref="A3:L33" headerRowCount="1">
  <autoFilter ref="A3:L33"/>
  <tableColumns count="12">
    <tableColumn id="1" name="STT"/>
    <tableColumn id="2" name="Mã đơn"/>
    <tableColumn id="3" name="Khách hàng"/>
    <tableColumn id="4" name="Hành lang"/>
    <tableColumn id="5" name="Tải (kg)"/>
    <tableColumn id="6" name="Loại xe"/>
    <tableColumn id="7" name="Khung giao"/>
    <tableColumn id="8" name="Doanh thu"/>
    <tableColumn id="9" name="Kiểm định"/>
    <tableColumn id="10" name="Trạng thái gán"/>
    <tableColumn id="11" name="Xe gán"/>
    <tableColumn id="12" name="Lý do cần xem xé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fleet" displayName="tbl_fleet" ref="A3:J43" headerRowCount="1">
  <autoFilter ref="A3:J43"/>
  <tableColumns count="10">
    <tableColumn id="1" name="STT"/>
    <tableColumn id="2" name="Mã xe"/>
    <tableColumn id="3" name="Biển số"/>
    <tableColumn id="4" name="Loại xe"/>
    <tableColumn id="5" name="Tài xế"/>
    <tableColumn id="6" name="Depot"/>
    <tableColumn id="7" name="Hành lang"/>
    <tableColumn id="8" name="Tải tối đa (kg)"/>
    <tableColumn id="9" name="Dung tích (m³)"/>
    <tableColumn id="10" name="Trạng thá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backhaul" displayName="tbl_backhaul" ref="A3:N11" headerRowCount="1">
  <autoFilter ref="A3:N11"/>
  <tableColumns count="14">
    <tableColumn id="1" name="STT"/>
    <tableColumn id="2" name="Xe"/>
    <tableColumn id="3" name="Hành lang"/>
    <tableColumn id="4" name="Đơn ghép"/>
    <tableColumn id="5" name="Điểm lấy"/>
    <tableColumn id="6" name="Điểm trả"/>
    <tableColumn id="7" name="Đến điểm lấy (km)"/>
    <tableColumn id="8" name="Km rỗng giảm"/>
    <tableColumn id="9" name="Fill chiều về %"/>
    <tableColumn id="10" name="Doanh thu thêm"/>
    <tableColumn id="11" name="Chi phí thêm"/>
    <tableColumn id="12" name="Lợi nhuận thêm"/>
    <tableColumn id="13" name="Điểm phù hợp"/>
    <tableColumn id="14" name="Quyết địn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finance" displayName="tbl_finance" ref="A3:N20" headerRowCount="1">
  <autoFilter ref="A3:N20"/>
  <tableColumns count="14">
    <tableColumn id="1" name="STT"/>
    <tableColumn id="2" name="Mã xe"/>
    <tableColumn id="3" name="Loại xe"/>
    <tableColumn id="4" name="Doanh thu"/>
    <tableColumn id="5" name="Nhiên liệu"/>
    <tableColumn id="6" name="Cầu đường"/>
    <tableColumn id="7" name="Tài xế"/>
    <tableColumn id="8" name="Chi phí xe"/>
    <tableColumn id="9" name="Bốc xếp"/>
    <tableColumn id="10" name="Chạy rỗng"/>
    <tableColumn id="11" name="Quản lý"/>
    <tableColumn id="12" name="Tổng chi phí"/>
    <tableColumn id="13" name="Lợi nhuận"/>
    <tableColumn id="14" name="Biê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E2231A"/>
    <outlinePr summaryBelow="1" summaryRight="1"/>
    <pageSetUpPr/>
  </sheetPr>
  <dimension ref="A1:R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.6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9.6" customWidth="1" min="16" max="16"/>
    <col width="2" customWidth="1" min="17" max="17"/>
  </cols>
  <sheetData>
    <row r="1" ht="26" customHeight="1">
      <c r="A1" s="1" t="n"/>
      <c r="B1" s="2" t="inlineStr">
        <is>
          <t>HÒA PHÁT LOGISTICS — DASHBOARD ĐIỀU PHỐI &amp; TỐI ƯU TUYẾN</t>
        </is>
      </c>
      <c r="Q1" s="1" t="n"/>
      <c r="R1" s="1" t="n"/>
    </row>
    <row r="2">
      <c r="A2" s="1" t="n"/>
      <c r="B2" s="3" t="inlineStr">
        <is>
          <t>Kịch bản: Kịch bản 1 — Nhu cầu ổn định (thừa năng lực)   ·   Routing engine đa tiêu chí (thời gian · chi phí · tải · cấm tải · backhaul)   ·   Cập nhật lần cuối: 18/06/2026 02:15</t>
        </is>
      </c>
      <c r="Q2" s="1" t="n"/>
      <c r="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5" customHeight="1">
      <c r="A4" s="1" t="n"/>
      <c r="B4" s="4" t="n"/>
      <c r="C4" s="4" t="n"/>
      <c r="D4" s="4" t="n"/>
      <c r="E4" s="4" t="n"/>
      <c r="F4" s="5" t="n"/>
      <c r="G4" s="5" t="n"/>
      <c r="H4" s="5" t="n"/>
      <c r="I4" s="5" t="n"/>
      <c r="J4" s="6" t="n"/>
      <c r="K4" s="6" t="n"/>
      <c r="L4" s="6" t="n"/>
      <c r="M4" s="6" t="n"/>
      <c r="N4" s="7" t="n"/>
      <c r="O4" s="7" t="n"/>
      <c r="P4" s="7" t="n"/>
      <c r="Q4" s="7" t="n"/>
      <c r="R4" s="1" t="n"/>
    </row>
    <row r="5">
      <c r="A5" s="1" t="n"/>
      <c r="B5" s="8" t="inlineStr">
        <is>
          <t>TỔNG ĐƠN</t>
        </is>
      </c>
      <c r="C5" s="9" t="n"/>
      <c r="D5" s="9" t="n"/>
      <c r="E5" s="10" t="n"/>
      <c r="F5" s="8" t="inlineStr">
        <is>
          <t>XE SỬ DỤNG</t>
        </is>
      </c>
      <c r="G5" s="9" t="n"/>
      <c r="H5" s="9" t="n"/>
      <c r="I5" s="10" t="n"/>
      <c r="J5" s="8" t="inlineStr">
        <is>
          <t>TỶ LỆ TẢI TB</t>
        </is>
      </c>
      <c r="K5" s="9" t="n"/>
      <c r="L5" s="9" t="n"/>
      <c r="M5" s="10" t="n"/>
      <c r="N5" s="8" t="inlineStr">
        <is>
          <t>KM RỖNG</t>
        </is>
      </c>
      <c r="O5" s="9" t="n"/>
      <c r="P5" s="9" t="n"/>
      <c r="Q5" s="10" t="n"/>
      <c r="R5" s="1" t="n"/>
    </row>
    <row r="6">
      <c r="A6" s="1" t="n"/>
      <c r="B6" s="11" t="n">
        <v>30</v>
      </c>
      <c r="C6" s="9" t="n"/>
      <c r="D6" s="9" t="n"/>
      <c r="E6" s="10" t="n"/>
      <c r="F6" s="12" t="n">
        <v>17</v>
      </c>
      <c r="G6" s="9" t="n"/>
      <c r="H6" s="9" t="n"/>
      <c r="I6" s="10" t="n"/>
      <c r="J6" s="13" t="n">
        <v>78.90000000000001</v>
      </c>
      <c r="K6" s="9" t="n"/>
      <c r="L6" s="9" t="n"/>
      <c r="M6" s="10" t="n"/>
      <c r="N6" s="14" t="n">
        <v>916.4</v>
      </c>
      <c r="O6" s="9" t="n"/>
      <c r="P6" s="9" t="n"/>
      <c r="Q6" s="10" t="n"/>
      <c r="R6" s="1" t="n"/>
    </row>
    <row r="7">
      <c r="A7" s="1" t="n"/>
      <c r="B7" s="15" t="inlineStr">
        <is>
          <t>22 đã gán · 8 chưa gán</t>
        </is>
      </c>
      <c r="C7" s="9" t="n"/>
      <c r="D7" s="9" t="n"/>
      <c r="E7" s="10" t="n"/>
      <c r="F7" s="15" t="inlineStr">
        <is>
          <t>23 xe standby (mục tiêu 3–5)</t>
        </is>
      </c>
      <c r="G7" s="9" t="n"/>
      <c r="H7" s="9" t="n"/>
      <c r="I7" s="10" t="n"/>
      <c r="J7" s="15" t="inlineStr">
        <is>
          <t>fill-rate trung bình các tuyến</t>
        </is>
      </c>
      <c r="K7" s="9" t="n"/>
      <c r="L7" s="9" t="n"/>
      <c r="M7" s="10" t="n"/>
      <c r="N7" s="15" t="inlineStr">
        <is>
          <t>giảm 249.6 km nhờ backhaul</t>
        </is>
      </c>
      <c r="O7" s="9" t="n"/>
      <c r="P7" s="9" t="n"/>
      <c r="Q7" s="10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 ht="5" customHeight="1">
      <c r="A9" s="1" t="n"/>
      <c r="B9" s="4" t="n"/>
      <c r="C9" s="4" t="n"/>
      <c r="D9" s="4" t="n"/>
      <c r="E9" s="4" t="n"/>
      <c r="F9" s="16" t="n"/>
      <c r="G9" s="16" t="n"/>
      <c r="H9" s="16" t="n"/>
      <c r="I9" s="16" t="n"/>
      <c r="J9" s="17" t="n"/>
      <c r="K9" s="17" t="n"/>
      <c r="L9" s="17" t="n"/>
      <c r="M9" s="17" t="n"/>
      <c r="N9" s="17" t="n"/>
      <c r="O9" s="17" t="n"/>
      <c r="P9" s="17" t="n"/>
      <c r="Q9" s="17" t="n"/>
      <c r="R9" s="1" t="n"/>
    </row>
    <row r="10">
      <c r="A10" s="1" t="n"/>
      <c r="B10" s="8" t="inlineStr">
        <is>
          <t>DOANH THU</t>
        </is>
      </c>
      <c r="C10" s="9" t="n"/>
      <c r="D10" s="9" t="n"/>
      <c r="E10" s="10" t="n"/>
      <c r="F10" s="8" t="inlineStr">
        <is>
          <t>TỔNG CHI PHÍ</t>
        </is>
      </c>
      <c r="G10" s="9" t="n"/>
      <c r="H10" s="9" t="n"/>
      <c r="I10" s="10" t="n"/>
      <c r="J10" s="8" t="inlineStr">
        <is>
          <t>LỢI NHUẬN</t>
        </is>
      </c>
      <c r="K10" s="9" t="n"/>
      <c r="L10" s="9" t="n"/>
      <c r="M10" s="10" t="n"/>
      <c r="N10" s="8" t="inlineStr">
        <is>
          <t>BIÊN LỢI NHUẬN</t>
        </is>
      </c>
      <c r="O10" s="9" t="n"/>
      <c r="P10" s="9" t="n"/>
      <c r="Q10" s="10" t="n"/>
      <c r="R10" s="1" t="n"/>
    </row>
    <row r="11">
      <c r="A11" s="1" t="n"/>
      <c r="B11" s="18" t="n">
        <v>26340000</v>
      </c>
      <c r="C11" s="9" t="n"/>
      <c r="D11" s="9" t="n"/>
      <c r="E11" s="10" t="n"/>
      <c r="F11" s="19" t="n">
        <v>21254223</v>
      </c>
      <c r="G11" s="9" t="n"/>
      <c r="H11" s="9" t="n"/>
      <c r="I11" s="10" t="n"/>
      <c r="J11" s="20" t="n">
        <v>5085777</v>
      </c>
      <c r="K11" s="9" t="n"/>
      <c r="L11" s="9" t="n"/>
      <c r="M11" s="10" t="n"/>
      <c r="N11" s="21" t="n">
        <v>19.3</v>
      </c>
      <c r="O11" s="9" t="n"/>
      <c r="P11" s="9" t="n"/>
      <c r="Q11" s="10" t="n"/>
      <c r="R11" s="1" t="n"/>
    </row>
    <row r="12">
      <c r="A12" s="1" t="n"/>
      <c r="B12" s="15" t="inlineStr">
        <is>
          <t>doanh thu kế hoạch</t>
        </is>
      </c>
      <c r="C12" s="9" t="n"/>
      <c r="D12" s="9" t="n"/>
      <c r="E12" s="10" t="n"/>
      <c r="F12" s="15" t="inlineStr">
        <is>
          <t>giá dầu 30.020đ/l</t>
        </is>
      </c>
      <c r="G12" s="9" t="n"/>
      <c r="H12" s="9" t="n"/>
      <c r="I12" s="10" t="n"/>
      <c r="J12" s="15" t="inlineStr">
        <is>
          <t>sau sự cố: 5.085.777đ</t>
        </is>
      </c>
      <c r="K12" s="9" t="n"/>
      <c r="L12" s="9" t="n"/>
      <c r="M12" s="10" t="n"/>
      <c r="N12" s="15" t="inlineStr">
        <is>
          <t>sau sự cố 19.3%</t>
        </is>
      </c>
      <c r="O12" s="9" t="n"/>
      <c r="P12" s="9" t="n"/>
      <c r="Q12" s="10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 ht="20" customHeight="1">
      <c r="A14" s="1" t="n"/>
      <c r="B14" s="22" t="inlineStr">
        <is>
          <t>GIÁ NHIÊN LIỆU: 30.020đ/lít  ·  Nguồn: Giá dự phòng (cấu hình hệ thống)  ·  Đang dùng giá dự phòng  ·  Cập nhật: 18/06/2026 01:43  (giá tự động đề xuất — có thể chỉnh tay trong sheet Tài chính P&amp;L)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</sheetData>
  <mergeCells count="27">
    <mergeCell ref="B2:P2"/>
    <mergeCell ref="B6:E6"/>
    <mergeCell ref="B14:P14"/>
    <mergeCell ref="J12:M12"/>
    <mergeCell ref="B1:P1"/>
    <mergeCell ref="B5:E5"/>
    <mergeCell ref="N6:Q6"/>
    <mergeCell ref="B10:E10"/>
    <mergeCell ref="F11:I11"/>
    <mergeCell ref="B7:E7"/>
    <mergeCell ref="N11:Q11"/>
    <mergeCell ref="J5:M5"/>
    <mergeCell ref="F10:I10"/>
    <mergeCell ref="N7:Q7"/>
    <mergeCell ref="F6:I6"/>
    <mergeCell ref="J10:M10"/>
    <mergeCell ref="F7:I7"/>
    <mergeCell ref="B12:E12"/>
    <mergeCell ref="F12:I12"/>
    <mergeCell ref="B11:E11"/>
    <mergeCell ref="J6:M6"/>
    <mergeCell ref="N12:Q12"/>
    <mergeCell ref="F5:I5"/>
    <mergeCell ref="N5:Q5"/>
    <mergeCell ref="J11:M11"/>
    <mergeCell ref="J7:M7"/>
    <mergeCell ref="N10: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3D91"/>
    <outlinePr summaryBelow="1" summaryRight="1"/>
    <pageSetUpPr/>
  </sheetPr>
  <dimension ref="A1:P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5" customWidth="1" min="4" max="4"/>
    <col width="15" customWidth="1" min="5" max="5"/>
    <col width="7" customWidth="1" min="6" max="6"/>
    <col width="8" customWidth="1" min="7" max="7"/>
    <col width="9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8" customWidth="1" min="14" max="14"/>
    <col width="9" customWidth="1" min="15" max="15"/>
    <col width="34" customWidth="1" min="16" max="16"/>
  </cols>
  <sheetData>
    <row r="1" ht="24" customHeight="1">
      <c r="A1" s="24" t="inlineStr">
        <is>
          <t>CÔNG TY CỔ PHẦN TIẾP VẬN HÒA PHÁT — KẾ HOẠCH TUYẾN</t>
        </is>
      </c>
    </row>
    <row r="2">
      <c r="A2" s="25" t="inlineStr">
        <is>
          <t>Kịch bản: Kịch bản 1 — Nhu cầu ổn định (thừa năng lực) · 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Mã xe</t>
        </is>
      </c>
      <c r="C3" s="26" t="inlineStr">
        <is>
          <t>Loại xe</t>
        </is>
      </c>
      <c r="D3" s="26" t="inlineStr">
        <is>
          <t>Tài xế</t>
        </is>
      </c>
      <c r="E3" s="26" t="inlineStr">
        <is>
          <t>Hành lang</t>
        </is>
      </c>
      <c r="F3" s="26" t="inlineStr">
        <is>
          <t>Số đơn</t>
        </is>
      </c>
      <c r="G3" s="26" t="inlineStr">
        <is>
          <t>Km</t>
        </is>
      </c>
      <c r="H3" s="26" t="inlineStr">
        <is>
          <t>Km rỗng</t>
        </is>
      </c>
      <c r="I3" s="26" t="inlineStr">
        <is>
          <t>Tải (kg)</t>
        </is>
      </c>
      <c r="J3" s="26" t="inlineStr">
        <is>
          <t>Tỷ lệ tải %</t>
        </is>
      </c>
      <c r="K3" s="26" t="inlineStr">
        <is>
          <t>Doanh thu</t>
        </is>
      </c>
      <c r="L3" s="26" t="inlineStr">
        <is>
          <t>Chi phí</t>
        </is>
      </c>
      <c r="M3" s="26" t="inlineStr">
        <is>
          <t>Lợi nhuận</t>
        </is>
      </c>
      <c r="N3" s="26" t="inlineStr">
        <is>
          <t>Biên %</t>
        </is>
      </c>
      <c r="O3" s="26" t="inlineStr">
        <is>
          <t>Backhaul</t>
        </is>
      </c>
      <c r="P3" s="26" t="inlineStr">
        <is>
          <t>Danh sách đơn</t>
        </is>
      </c>
    </row>
    <row r="4">
      <c r="A4" s="27" t="n">
        <v>1</v>
      </c>
      <c r="B4" s="28" t="inlineStr">
        <is>
          <t>V024</t>
        </is>
      </c>
      <c r="C4" s="28" t="inlineStr">
        <is>
          <t>5T</t>
        </is>
      </c>
      <c r="D4" s="28" t="inlineStr">
        <is>
          <t>Tài xế 24</t>
        </is>
      </c>
      <c r="E4" s="28" t="inlineStr">
        <is>
          <t>Bắc Trung Bộ</t>
        </is>
      </c>
      <c r="F4" s="27" t="n">
        <v>1</v>
      </c>
      <c r="G4" s="29" t="n">
        <v>110.3</v>
      </c>
      <c r="H4" s="29" t="n">
        <v>101</v>
      </c>
      <c r="I4" s="29" t="n">
        <v>4789</v>
      </c>
      <c r="J4" s="30" t="n">
        <v>95.8</v>
      </c>
      <c r="K4" s="31" t="n">
        <v>3620000</v>
      </c>
      <c r="L4" s="31" t="n">
        <v>1420253</v>
      </c>
      <c r="M4" s="31" t="n">
        <v>2199747</v>
      </c>
      <c r="N4" s="30" t="n">
        <v>60.8</v>
      </c>
      <c r="O4" s="27" t="inlineStr">
        <is>
          <t>—</t>
        </is>
      </c>
      <c r="P4" s="28" t="inlineStr">
        <is>
          <t>S1-ORD-030</t>
        </is>
      </c>
    </row>
    <row r="5">
      <c r="A5" s="27" t="n">
        <v>2</v>
      </c>
      <c r="B5" s="28" t="inlineStr">
        <is>
          <t>V030</t>
        </is>
      </c>
      <c r="C5" s="28" t="inlineStr">
        <is>
          <t>8T</t>
        </is>
      </c>
      <c r="D5" s="28" t="inlineStr">
        <is>
          <t>Tài xế 30</t>
        </is>
      </c>
      <c r="E5" s="28" t="inlineStr">
        <is>
          <t>Đông Bắc</t>
        </is>
      </c>
      <c r="F5" s="27" t="n">
        <v>1</v>
      </c>
      <c r="G5" s="29" t="n">
        <v>81.3</v>
      </c>
      <c r="H5" s="29" t="n">
        <v>47.6</v>
      </c>
      <c r="I5" s="29" t="n">
        <v>6453</v>
      </c>
      <c r="J5" s="30" t="n">
        <v>80.7</v>
      </c>
      <c r="K5" s="31" t="n">
        <v>2510000</v>
      </c>
      <c r="L5" s="31" t="n">
        <v>1264927</v>
      </c>
      <c r="M5" s="31" t="n">
        <v>1245073</v>
      </c>
      <c r="N5" s="30" t="n">
        <v>49.6</v>
      </c>
      <c r="O5" s="27" t="inlineStr">
        <is>
          <t>—</t>
        </is>
      </c>
      <c r="P5" s="28" t="inlineStr">
        <is>
          <t>S1-ORD-020</t>
        </is>
      </c>
    </row>
    <row r="6">
      <c r="A6" s="27" t="n">
        <v>3</v>
      </c>
      <c r="B6" s="28" t="inlineStr">
        <is>
          <t>V012</t>
        </is>
      </c>
      <c r="C6" s="28" t="inlineStr">
        <is>
          <t>1.25T</t>
        </is>
      </c>
      <c r="D6" s="28" t="inlineStr">
        <is>
          <t>Tài xế 12</t>
        </is>
      </c>
      <c r="E6" s="28" t="inlineStr">
        <is>
          <t>Nội thành Hà Nội</t>
        </is>
      </c>
      <c r="F6" s="27" t="n">
        <v>1</v>
      </c>
      <c r="G6" s="29" t="n">
        <v>27.2</v>
      </c>
      <c r="H6" s="29" t="n">
        <v>13.6</v>
      </c>
      <c r="I6" s="29" t="n">
        <v>1179</v>
      </c>
      <c r="J6" s="30" t="n">
        <v>94.3</v>
      </c>
      <c r="K6" s="31" t="n">
        <v>840000</v>
      </c>
      <c r="L6" s="31" t="n">
        <v>616993</v>
      </c>
      <c r="M6" s="31" t="n">
        <v>223007</v>
      </c>
      <c r="N6" s="30" t="n">
        <v>26.5</v>
      </c>
      <c r="O6" s="27" t="inlineStr">
        <is>
          <t>—</t>
        </is>
      </c>
      <c r="P6" s="28" t="inlineStr">
        <is>
          <t>S1-ORD-019</t>
        </is>
      </c>
    </row>
    <row r="7">
      <c r="A7" s="27" t="n">
        <v>4</v>
      </c>
      <c r="B7" s="28" t="inlineStr">
        <is>
          <t>V002</t>
        </is>
      </c>
      <c r="C7" s="28" t="inlineStr">
        <is>
          <t>5 tạ</t>
        </is>
      </c>
      <c r="D7" s="28" t="inlineStr">
        <is>
          <t>Tài xế 02</t>
        </is>
      </c>
      <c r="E7" s="28" t="inlineStr">
        <is>
          <t>Nội thành Hà Nội</t>
        </is>
      </c>
      <c r="F7" s="27" t="n">
        <v>1</v>
      </c>
      <c r="G7" s="29" t="n">
        <v>38.7</v>
      </c>
      <c r="H7" s="29" t="n">
        <v>30.2</v>
      </c>
      <c r="I7" s="29" t="n">
        <v>385</v>
      </c>
      <c r="J7" s="30" t="n">
        <v>77</v>
      </c>
      <c r="K7" s="31" t="n">
        <v>670000</v>
      </c>
      <c r="L7" s="31" t="n">
        <v>563456</v>
      </c>
      <c r="M7" s="31" t="n">
        <v>106544</v>
      </c>
      <c r="N7" s="30" t="n">
        <v>15.9</v>
      </c>
      <c r="O7" s="27" t="inlineStr">
        <is>
          <t>—</t>
        </is>
      </c>
      <c r="P7" s="28" t="inlineStr">
        <is>
          <t>S1-ORD-001</t>
        </is>
      </c>
    </row>
    <row r="8">
      <c r="A8" s="27" t="n">
        <v>5</v>
      </c>
      <c r="B8" s="28" t="inlineStr">
        <is>
          <t>V026</t>
        </is>
      </c>
      <c r="C8" s="28" t="inlineStr">
        <is>
          <t>5T</t>
        </is>
      </c>
      <c r="D8" s="28" t="inlineStr">
        <is>
          <t>Tài xế 26</t>
        </is>
      </c>
      <c r="E8" s="28" t="inlineStr">
        <is>
          <t>Đông Bắc</t>
        </is>
      </c>
      <c r="F8" s="27" t="n">
        <v>3</v>
      </c>
      <c r="G8" s="29" t="n">
        <v>266.6</v>
      </c>
      <c r="H8" s="29" t="n">
        <v>27.3</v>
      </c>
      <c r="I8" s="29" t="n">
        <v>4866</v>
      </c>
      <c r="J8" s="30" t="n">
        <v>97.3</v>
      </c>
      <c r="K8" s="31" t="n">
        <v>3610000</v>
      </c>
      <c r="L8" s="31" t="n">
        <v>3482153</v>
      </c>
      <c r="M8" s="31" t="n">
        <v>127847</v>
      </c>
      <c r="N8" s="30" t="n">
        <v>3.5</v>
      </c>
      <c r="O8" s="27" t="inlineStr">
        <is>
          <t>—</t>
        </is>
      </c>
      <c r="P8" s="28" t="inlineStr">
        <is>
          <t>S1-ORD-023, S1-ORD-027, S1-ORD-021</t>
        </is>
      </c>
    </row>
    <row r="9">
      <c r="A9" s="27" t="n">
        <v>6</v>
      </c>
      <c r="B9" s="28" t="inlineStr">
        <is>
          <t>V039</t>
        </is>
      </c>
      <c r="C9" s="28" t="inlineStr">
        <is>
          <t>4 chân</t>
        </is>
      </c>
      <c r="D9" s="28" t="inlineStr">
        <is>
          <t>Tài xế 39</t>
        </is>
      </c>
      <c r="E9" s="28" t="inlineStr">
        <is>
          <t>Đông Bắc</t>
        </is>
      </c>
      <c r="F9" s="27" t="n">
        <v>1</v>
      </c>
      <c r="G9" s="29" t="n">
        <v>260.3</v>
      </c>
      <c r="H9" s="29" t="n">
        <v>184.5</v>
      </c>
      <c r="I9" s="29" t="n">
        <v>7741</v>
      </c>
      <c r="J9" s="30" t="n">
        <v>43</v>
      </c>
      <c r="K9" s="31" t="n">
        <v>2200000</v>
      </c>
      <c r="L9" s="31" t="n">
        <v>3882126</v>
      </c>
      <c r="M9" s="31" t="n">
        <v>-1682126</v>
      </c>
      <c r="N9" s="30" t="n">
        <v>-76.5</v>
      </c>
      <c r="O9" s="27" t="inlineStr">
        <is>
          <t>—</t>
        </is>
      </c>
      <c r="P9" s="28" t="inlineStr">
        <is>
          <t>S1-ORD-016</t>
        </is>
      </c>
    </row>
    <row r="10">
      <c r="A10" s="27" t="n">
        <v>7</v>
      </c>
      <c r="B10" s="28" t="inlineStr">
        <is>
          <t>V018</t>
        </is>
      </c>
      <c r="C10" s="28" t="inlineStr">
        <is>
          <t>1.25T</t>
        </is>
      </c>
      <c r="D10" s="28" t="inlineStr">
        <is>
          <t>Tài xế 18</t>
        </is>
      </c>
      <c r="E10" s="28" t="inlineStr">
        <is>
          <t>Nội thành Hà Nội</t>
        </is>
      </c>
      <c r="F10" s="27" t="n">
        <v>1</v>
      </c>
      <c r="G10" s="29" t="n">
        <v>36.8</v>
      </c>
      <c r="H10" s="29" t="n">
        <v>18.4</v>
      </c>
      <c r="I10" s="29" t="n">
        <v>945</v>
      </c>
      <c r="J10" s="30" t="n">
        <v>75.59999999999999</v>
      </c>
      <c r="K10" s="31" t="n">
        <v>910000</v>
      </c>
      <c r="L10" s="31" t="n">
        <v>654284</v>
      </c>
      <c r="M10" s="31" t="n">
        <v>255716</v>
      </c>
      <c r="N10" s="30" t="n">
        <v>28.1</v>
      </c>
      <c r="O10" s="27" t="inlineStr">
        <is>
          <t>—</t>
        </is>
      </c>
      <c r="P10" s="28" t="inlineStr">
        <is>
          <t>S1-ORD-011</t>
        </is>
      </c>
    </row>
    <row r="11">
      <c r="A11" s="27" t="n">
        <v>8</v>
      </c>
      <c r="B11" s="28" t="inlineStr">
        <is>
          <t>V007</t>
        </is>
      </c>
      <c r="C11" s="28" t="inlineStr">
        <is>
          <t>1.25T</t>
        </is>
      </c>
      <c r="D11" s="28" t="inlineStr">
        <is>
          <t>Tài xế 07</t>
        </is>
      </c>
      <c r="E11" s="28" t="inlineStr">
        <is>
          <t>Nội thành Hà Nội</t>
        </is>
      </c>
      <c r="F11" s="27" t="n">
        <v>1</v>
      </c>
      <c r="G11" s="29" t="n">
        <v>38.5</v>
      </c>
      <c r="H11" s="29" t="n">
        <v>22.5</v>
      </c>
      <c r="I11" s="29" t="n">
        <v>1076</v>
      </c>
      <c r="J11" s="30" t="n">
        <v>86.09999999999999</v>
      </c>
      <c r="K11" s="31" t="n">
        <v>890000</v>
      </c>
      <c r="L11" s="31" t="n">
        <v>636178</v>
      </c>
      <c r="M11" s="31" t="n">
        <v>253822</v>
      </c>
      <c r="N11" s="30" t="n">
        <v>28.5</v>
      </c>
      <c r="O11" s="27" t="inlineStr">
        <is>
          <t>—</t>
        </is>
      </c>
      <c r="P11" s="28" t="inlineStr">
        <is>
          <t>S1-ORD-017</t>
        </is>
      </c>
    </row>
    <row r="12">
      <c r="A12" s="27" t="n">
        <v>9</v>
      </c>
      <c r="B12" s="28" t="inlineStr">
        <is>
          <t>V008</t>
        </is>
      </c>
      <c r="C12" s="28" t="inlineStr">
        <is>
          <t>1.25T</t>
        </is>
      </c>
      <c r="D12" s="28" t="inlineStr">
        <is>
          <t>Tài xế 08</t>
        </is>
      </c>
      <c r="E12" s="28" t="inlineStr">
        <is>
          <t>Nội thành Hà Nội</t>
        </is>
      </c>
      <c r="F12" s="27" t="n">
        <v>3</v>
      </c>
      <c r="G12" s="29" t="n">
        <v>59.3</v>
      </c>
      <c r="H12" s="29" t="n">
        <v>27.8</v>
      </c>
      <c r="I12" s="29" t="n">
        <v>1200</v>
      </c>
      <c r="J12" s="30" t="n">
        <v>96</v>
      </c>
      <c r="K12" s="31" t="n">
        <v>2730000</v>
      </c>
      <c r="L12" s="31" t="n">
        <v>986376</v>
      </c>
      <c r="M12" s="31" t="n">
        <v>1743624</v>
      </c>
      <c r="N12" s="30" t="n">
        <v>63.9</v>
      </c>
      <c r="O12" s="27" t="inlineStr">
        <is>
          <t>—</t>
        </is>
      </c>
      <c r="P12" s="28" t="inlineStr">
        <is>
          <t>S1-ORD-002, S1-ORD-018, S1-ORD-029</t>
        </is>
      </c>
    </row>
    <row r="13">
      <c r="A13" s="27" t="n">
        <v>10</v>
      </c>
      <c r="B13" s="28" t="inlineStr">
        <is>
          <t>V013</t>
        </is>
      </c>
      <c r="C13" s="28" t="inlineStr">
        <is>
          <t>1.25T</t>
        </is>
      </c>
      <c r="D13" s="28" t="inlineStr">
        <is>
          <t>Tài xế 13</t>
        </is>
      </c>
      <c r="E13" s="28" t="inlineStr">
        <is>
          <t>Nội thành Hà Nội</t>
        </is>
      </c>
      <c r="F13" s="27" t="n">
        <v>1</v>
      </c>
      <c r="G13" s="29" t="n">
        <v>48</v>
      </c>
      <c r="H13" s="29" t="n">
        <v>29.6</v>
      </c>
      <c r="I13" s="29" t="n">
        <v>988</v>
      </c>
      <c r="J13" s="30" t="n">
        <v>79</v>
      </c>
      <c r="K13" s="31" t="n">
        <v>780000</v>
      </c>
      <c r="L13" s="31" t="n">
        <v>643884</v>
      </c>
      <c r="M13" s="31" t="n">
        <v>136116</v>
      </c>
      <c r="N13" s="30" t="n">
        <v>17.5</v>
      </c>
      <c r="O13" s="27" t="inlineStr">
        <is>
          <t>—</t>
        </is>
      </c>
      <c r="P13" s="28" t="inlineStr">
        <is>
          <t>S1-ORD-025</t>
        </is>
      </c>
    </row>
    <row r="14">
      <c r="A14" s="27" t="n">
        <v>11</v>
      </c>
      <c r="B14" s="28" t="inlineStr">
        <is>
          <t>V001</t>
        </is>
      </c>
      <c r="C14" s="28" t="inlineStr">
        <is>
          <t>5 tạ</t>
        </is>
      </c>
      <c r="D14" s="28" t="inlineStr">
        <is>
          <t>Tài xế 01</t>
        </is>
      </c>
      <c r="E14" s="28" t="inlineStr">
        <is>
          <t>Nội thành Hà Nội</t>
        </is>
      </c>
      <c r="F14" s="27" t="n">
        <v>1</v>
      </c>
      <c r="G14" s="29" t="n">
        <v>49.7</v>
      </c>
      <c r="H14" s="29" t="n">
        <v>31.3</v>
      </c>
      <c r="I14" s="29" t="n">
        <v>349</v>
      </c>
      <c r="J14" s="30" t="n">
        <v>69.8</v>
      </c>
      <c r="K14" s="31" t="n">
        <v>780000</v>
      </c>
      <c r="L14" s="31" t="n">
        <v>633216</v>
      </c>
      <c r="M14" s="31" t="n">
        <v>146784</v>
      </c>
      <c r="N14" s="30" t="n">
        <v>18.8</v>
      </c>
      <c r="O14" s="27" t="inlineStr">
        <is>
          <t>—</t>
        </is>
      </c>
      <c r="P14" s="28" t="inlineStr">
        <is>
          <t>S1-ORD-012</t>
        </is>
      </c>
    </row>
    <row r="15">
      <c r="A15" s="27" t="n">
        <v>12</v>
      </c>
      <c r="B15" s="28" t="inlineStr">
        <is>
          <t>V014</t>
        </is>
      </c>
      <c r="C15" s="28" t="inlineStr">
        <is>
          <t>1.25T</t>
        </is>
      </c>
      <c r="D15" s="28" t="inlineStr">
        <is>
          <t>Tài xế 14</t>
        </is>
      </c>
      <c r="E15" s="28" t="inlineStr">
        <is>
          <t>Nội thành Hà Nội</t>
        </is>
      </c>
      <c r="F15" s="27" t="n">
        <v>2</v>
      </c>
      <c r="G15" s="29" t="n">
        <v>109.6</v>
      </c>
      <c r="H15" s="29" t="n">
        <v>42.1</v>
      </c>
      <c r="I15" s="29" t="n">
        <v>887</v>
      </c>
      <c r="J15" s="30" t="n">
        <v>71</v>
      </c>
      <c r="K15" s="31" t="n">
        <v>1340000</v>
      </c>
      <c r="L15" s="31" t="n">
        <v>1123391</v>
      </c>
      <c r="M15" s="31" t="n">
        <v>216609</v>
      </c>
      <c r="N15" s="30" t="n">
        <v>16.2</v>
      </c>
      <c r="O15" s="27" t="inlineStr">
        <is>
          <t>—</t>
        </is>
      </c>
      <c r="P15" s="28" t="inlineStr">
        <is>
          <t>S1-ORD-005, S1-ORD-004</t>
        </is>
      </c>
    </row>
    <row r="16">
      <c r="A16" s="27" t="n">
        <v>13</v>
      </c>
      <c r="B16" s="28" t="inlineStr">
        <is>
          <t>V029</t>
        </is>
      </c>
      <c r="C16" s="28" t="inlineStr">
        <is>
          <t>8T</t>
        </is>
      </c>
      <c r="D16" s="28" t="inlineStr">
        <is>
          <t>Tài xế 29</t>
        </is>
      </c>
      <c r="E16" s="28" t="inlineStr">
        <is>
          <t>Bắc Trung Bộ</t>
        </is>
      </c>
      <c r="F16" s="27" t="n">
        <v>1</v>
      </c>
      <c r="G16" s="29" t="n">
        <v>51.8</v>
      </c>
      <c r="H16" s="29" t="n">
        <v>32.8</v>
      </c>
      <c r="I16" s="29" t="n">
        <v>7751</v>
      </c>
      <c r="J16" s="30" t="n">
        <v>96.90000000000001</v>
      </c>
      <c r="K16" s="31" t="n">
        <v>1960000</v>
      </c>
      <c r="L16" s="31" t="n">
        <v>887562</v>
      </c>
      <c r="M16" s="31" t="n">
        <v>1072438</v>
      </c>
      <c r="N16" s="30" t="n">
        <v>54.7</v>
      </c>
      <c r="O16" s="27" t="inlineStr">
        <is>
          <t>—</t>
        </is>
      </c>
      <c r="P16" s="28" t="inlineStr">
        <is>
          <t>S1-ORD-003</t>
        </is>
      </c>
    </row>
    <row r="17">
      <c r="A17" s="27" t="n">
        <v>14</v>
      </c>
      <c r="B17" s="28" t="inlineStr">
        <is>
          <t>V023</t>
        </is>
      </c>
      <c r="C17" s="28" t="inlineStr">
        <is>
          <t>5T</t>
        </is>
      </c>
      <c r="D17" s="28" t="inlineStr">
        <is>
          <t>Tài xế 23</t>
        </is>
      </c>
      <c r="E17" s="28" t="inlineStr">
        <is>
          <t>Bắc Trung Bộ</t>
        </is>
      </c>
      <c r="F17" s="27" t="n">
        <v>1</v>
      </c>
      <c r="G17" s="29" t="n">
        <v>50.5</v>
      </c>
      <c r="H17" s="29" t="n">
        <v>25.3</v>
      </c>
      <c r="I17" s="29" t="n">
        <v>4822</v>
      </c>
      <c r="J17" s="30" t="n">
        <v>96.40000000000001</v>
      </c>
      <c r="K17" s="31" t="n">
        <v>1320000</v>
      </c>
      <c r="L17" s="31" t="n">
        <v>844011</v>
      </c>
      <c r="M17" s="31" t="n">
        <v>475989</v>
      </c>
      <c r="N17" s="30" t="n">
        <v>36.1</v>
      </c>
      <c r="O17" s="27" t="inlineStr">
        <is>
          <t>—</t>
        </is>
      </c>
      <c r="P17" s="28" t="inlineStr">
        <is>
          <t>S1-ORD-009</t>
        </is>
      </c>
    </row>
    <row r="18">
      <c r="A18" s="27" t="n">
        <v>15</v>
      </c>
      <c r="B18" s="28" t="inlineStr">
        <is>
          <t>V019</t>
        </is>
      </c>
      <c r="C18" s="28" t="inlineStr">
        <is>
          <t>5T</t>
        </is>
      </c>
      <c r="D18" s="28" t="inlineStr">
        <is>
          <t>Tài xế 19</t>
        </is>
      </c>
      <c r="E18" s="28" t="inlineStr">
        <is>
          <t>Đông Nam Hà Nội</t>
        </is>
      </c>
      <c r="F18" s="27" t="n">
        <v>1</v>
      </c>
      <c r="G18" s="29" t="n">
        <v>104.8</v>
      </c>
      <c r="H18" s="29" t="n">
        <v>33.7</v>
      </c>
      <c r="I18" s="29" t="n">
        <v>1820</v>
      </c>
      <c r="J18" s="30" t="n">
        <v>36.4</v>
      </c>
      <c r="K18" s="31" t="n">
        <v>910000</v>
      </c>
      <c r="L18" s="31" t="n">
        <v>1344829</v>
      </c>
      <c r="M18" s="31" t="n">
        <v>-434829</v>
      </c>
      <c r="N18" s="30" t="n">
        <v>-47.8</v>
      </c>
      <c r="O18" s="27" t="inlineStr">
        <is>
          <t>—</t>
        </is>
      </c>
      <c r="P18" s="28" t="inlineStr">
        <is>
          <t>S1-ORD-013</t>
        </is>
      </c>
    </row>
    <row r="19">
      <c r="A19" s="27" t="n">
        <v>16</v>
      </c>
      <c r="B19" s="28" t="inlineStr">
        <is>
          <t>V009</t>
        </is>
      </c>
      <c r="C19" s="28" t="inlineStr">
        <is>
          <t>1.25T</t>
        </is>
      </c>
      <c r="D19" s="28" t="inlineStr">
        <is>
          <t>Tài xế 09</t>
        </is>
      </c>
      <c r="E19" s="28" t="inlineStr">
        <is>
          <t>Nội thành Hà Nội</t>
        </is>
      </c>
      <c r="F19" s="27" t="n">
        <v>1</v>
      </c>
      <c r="G19" s="29" t="n">
        <v>153.2</v>
      </c>
      <c r="H19" s="29" t="n">
        <v>122.2</v>
      </c>
      <c r="I19" s="29" t="n">
        <v>909</v>
      </c>
      <c r="J19" s="30" t="n">
        <v>72.7</v>
      </c>
      <c r="K19" s="31" t="n">
        <v>600000</v>
      </c>
      <c r="L19" s="31" t="n">
        <v>1173896</v>
      </c>
      <c r="M19" s="31" t="n">
        <v>-573896</v>
      </c>
      <c r="N19" s="30" t="n">
        <v>-95.59999999999999</v>
      </c>
      <c r="O19" s="27" t="inlineStr">
        <is>
          <t>—</t>
        </is>
      </c>
      <c r="P19" s="28" t="inlineStr">
        <is>
          <t>S1-ORD-010</t>
        </is>
      </c>
    </row>
    <row r="20">
      <c r="A20" s="27" t="n">
        <v>17</v>
      </c>
      <c r="B20" s="28" t="inlineStr">
        <is>
          <t>V015</t>
        </is>
      </c>
      <c r="C20" s="28" t="inlineStr">
        <is>
          <t>1.25T</t>
        </is>
      </c>
      <c r="D20" s="28" t="inlineStr">
        <is>
          <t>Tài xế 15</t>
        </is>
      </c>
      <c r="E20" s="28" t="inlineStr">
        <is>
          <t>Nội thành Hà Nội</t>
        </is>
      </c>
      <c r="F20" s="27" t="n">
        <v>1</v>
      </c>
      <c r="G20" s="29" t="n">
        <v>141.7</v>
      </c>
      <c r="H20" s="29" t="n">
        <v>126.5</v>
      </c>
      <c r="I20" s="29" t="n">
        <v>914</v>
      </c>
      <c r="J20" s="30" t="n">
        <v>73.09999999999999</v>
      </c>
      <c r="K20" s="31" t="n">
        <v>670000</v>
      </c>
      <c r="L20" s="31" t="n">
        <v>1096688</v>
      </c>
      <c r="M20" s="31" t="n">
        <v>-426688</v>
      </c>
      <c r="N20" s="30" t="n">
        <v>-63.7</v>
      </c>
      <c r="O20" s="27" t="inlineStr">
        <is>
          <t>—</t>
        </is>
      </c>
      <c r="P20" s="28" t="inlineStr">
        <is>
          <t>S1-ORD-015</t>
        </is>
      </c>
    </row>
  </sheetData>
  <mergeCells count="2">
    <mergeCell ref="A1:P1"/>
    <mergeCell ref="A2:P2"/>
  </mergeCells>
  <conditionalFormatting sqref="J4:J20">
    <cfRule type="dataBar" priority="1">
      <dataBar>
        <cfvo type="num" val="0"/>
        <cfvo type="num" val="110"/>
        <color rgb="001565C0"/>
      </dataBar>
    </cfRule>
  </conditionalFormatting>
  <conditionalFormatting sqref="H4:H20">
    <cfRule type="colorScale" priority="2">
      <colorScale>
        <cfvo type="min"/>
        <cfvo type="percentile" val="50"/>
        <cfvo type="max"/>
        <color rgb="00E8F5EC"/>
        <color rgb="00FFE08A"/>
        <color rgb="00F4B9B5"/>
      </colorScale>
    </cfRule>
  </conditionalFormatting>
  <conditionalFormatting sqref="M4:M20">
    <cfRule type="dataBar" priority="3">
      <dataBar>
        <cfvo type="min"/>
        <cfvo type="max"/>
        <color rgb="001B7A2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3D91"/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5" customWidth="1" min="4" max="4"/>
    <col width="9" customWidth="1" min="5" max="5"/>
    <col width="10" customWidth="1" min="6" max="6"/>
    <col width="13" customWidth="1" min="7" max="7"/>
    <col width="14" customWidth="1" min="8" max="8"/>
    <col width="13" customWidth="1" min="9" max="9"/>
    <col width="14" customWidth="1" min="10" max="10"/>
    <col width="10" customWidth="1" min="11" max="11"/>
    <col width="34" customWidth="1" min="12" max="12"/>
  </cols>
  <sheetData>
    <row r="1" ht="24" customHeight="1">
      <c r="A1" s="24" t="inlineStr">
        <is>
          <t>CÔNG TY CỔ PHẦN TIẾP VẬN HÒA PHÁT — DANH SÁCH ĐƠN HÀNG</t>
        </is>
      </c>
    </row>
    <row r="2">
      <c r="A2" s="25" t="inlineStr">
        <is>
          <t>Kịch bản: Kịch bản 1 — Nhu cầu ổn định (thừa năng lực) · 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Mã đơn</t>
        </is>
      </c>
      <c r="C3" s="26" t="inlineStr">
        <is>
          <t>Khách hàng</t>
        </is>
      </c>
      <c r="D3" s="26" t="inlineStr">
        <is>
          <t>Hành lang</t>
        </is>
      </c>
      <c r="E3" s="26" t="inlineStr">
        <is>
          <t>Tải (kg)</t>
        </is>
      </c>
      <c r="F3" s="26" t="inlineStr">
        <is>
          <t>Loại xe</t>
        </is>
      </c>
      <c r="G3" s="26" t="inlineStr">
        <is>
          <t>Khung giao</t>
        </is>
      </c>
      <c r="H3" s="26" t="inlineStr">
        <is>
          <t>Doanh thu</t>
        </is>
      </c>
      <c r="I3" s="26" t="inlineStr">
        <is>
          <t>Kiểm định</t>
        </is>
      </c>
      <c r="J3" s="26" t="inlineStr">
        <is>
          <t>Trạng thái gán</t>
        </is>
      </c>
      <c r="K3" s="26" t="inlineStr">
        <is>
          <t>Xe gán</t>
        </is>
      </c>
      <c r="L3" s="26" t="inlineStr">
        <is>
          <t>Lý do cần xem xét</t>
        </is>
      </c>
    </row>
    <row r="4">
      <c r="A4" s="27" t="n">
        <v>1</v>
      </c>
      <c r="B4" s="28" t="inlineStr">
        <is>
          <t>S1-ORD-001</t>
        </is>
      </c>
      <c r="C4" s="28" t="inlineStr">
        <is>
          <t>VINMART Võ Thị Sáu</t>
        </is>
      </c>
      <c r="D4" s="28" t="inlineStr">
        <is>
          <t>Nội thành Hà Nội</t>
        </is>
      </c>
      <c r="E4" s="29" t="n">
        <v>385</v>
      </c>
      <c r="F4" s="27" t="inlineStr">
        <is>
          <t>5 tạ</t>
        </is>
      </c>
      <c r="G4" s="28" t="inlineStr">
        <is>
          <t>10:55-12:25</t>
        </is>
      </c>
      <c r="H4" s="31" t="n">
        <v>670000</v>
      </c>
      <c r="I4" s="28" t="inlineStr">
        <is>
          <t>Hợp lệ</t>
        </is>
      </c>
      <c r="J4" s="28" t="inlineStr">
        <is>
          <t>Đã gán</t>
        </is>
      </c>
      <c r="K4" s="28" t="inlineStr">
        <is>
          <t>V002</t>
        </is>
      </c>
      <c r="L4" s="28" t="inlineStr">
        <is>
          <t>Hợp lệ</t>
        </is>
      </c>
    </row>
    <row r="5">
      <c r="A5" s="27" t="n">
        <v>2</v>
      </c>
      <c r="B5" s="28" t="inlineStr">
        <is>
          <t>S1-ORD-002</t>
        </is>
      </c>
      <c r="C5" s="28" t="inlineStr">
        <is>
          <t>VINMART Royal City</t>
        </is>
      </c>
      <c r="D5" s="28" t="inlineStr">
        <is>
          <t>Nội thành Hà Nội</t>
        </is>
      </c>
      <c r="E5" s="29" t="n">
        <v>307</v>
      </c>
      <c r="F5" s="27" t="inlineStr">
        <is>
          <t>5 tạ</t>
        </is>
      </c>
      <c r="G5" s="28" t="inlineStr">
        <is>
          <t>11:58-13:58</t>
        </is>
      </c>
      <c r="H5" s="31" t="n">
        <v>860000</v>
      </c>
      <c r="I5" s="28" t="inlineStr">
        <is>
          <t>Hợp lệ</t>
        </is>
      </c>
      <c r="J5" s="28" t="inlineStr">
        <is>
          <t>Đã gán</t>
        </is>
      </c>
      <c r="K5" s="28" t="inlineStr">
        <is>
          <t>V008</t>
        </is>
      </c>
      <c r="L5" s="28" t="inlineStr">
        <is>
          <t>Hợp lệ</t>
        </is>
      </c>
    </row>
    <row r="6">
      <c r="A6" s="27" t="n">
        <v>3</v>
      </c>
      <c r="B6" s="28" t="inlineStr">
        <is>
          <t>S1-ORD-003</t>
        </is>
      </c>
      <c r="C6" s="28" t="inlineStr">
        <is>
          <t>VINMART Quế Võ</t>
        </is>
      </c>
      <c r="D6" s="28" t="inlineStr">
        <is>
          <t>Đông Bắc</t>
        </is>
      </c>
      <c r="E6" s="29" t="n">
        <v>7751</v>
      </c>
      <c r="F6" s="27" t="inlineStr">
        <is>
          <t>8T</t>
        </is>
      </c>
      <c r="G6" s="28" t="inlineStr">
        <is>
          <t>10:03-12:03</t>
        </is>
      </c>
      <c r="H6" s="31" t="n">
        <v>1810000</v>
      </c>
      <c r="I6" s="28" t="inlineStr">
        <is>
          <t>Hợp lệ</t>
        </is>
      </c>
      <c r="J6" s="28" t="inlineStr">
        <is>
          <t>Đã gán</t>
        </is>
      </c>
      <c r="K6" s="28" t="inlineStr">
        <is>
          <t>V029</t>
        </is>
      </c>
      <c r="L6" s="28" t="inlineStr">
        <is>
          <t>Hợp lệ</t>
        </is>
      </c>
    </row>
    <row r="7">
      <c r="A7" s="27" t="n">
        <v>4</v>
      </c>
      <c r="B7" s="28" t="inlineStr">
        <is>
          <t>S1-ORD-004</t>
        </is>
      </c>
      <c r="C7" s="28" t="inlineStr">
        <is>
          <t>VINMART Bắc Từ Liêm</t>
        </is>
      </c>
      <c r="D7" s="28" t="inlineStr">
        <is>
          <t>Nội thành Hà Nội</t>
        </is>
      </c>
      <c r="E7" s="29" t="n">
        <v>226</v>
      </c>
      <c r="F7" s="27" t="inlineStr">
        <is>
          <t>5 tạ</t>
        </is>
      </c>
      <c r="G7" s="28" t="inlineStr">
        <is>
          <t>09:17-12:17</t>
        </is>
      </c>
      <c r="H7" s="31" t="n">
        <v>850000</v>
      </c>
      <c r="I7" s="28" t="inlineStr">
        <is>
          <t>Hợp lệ</t>
        </is>
      </c>
      <c r="J7" s="28" t="inlineStr">
        <is>
          <t>Đã gán</t>
        </is>
      </c>
      <c r="K7" s="28" t="inlineStr">
        <is>
          <t>V014</t>
        </is>
      </c>
      <c r="L7" s="28" t="inlineStr">
        <is>
          <t>Hợp lệ</t>
        </is>
      </c>
    </row>
    <row r="8">
      <c r="A8" s="27" t="n">
        <v>5</v>
      </c>
      <c r="B8" s="28" t="inlineStr">
        <is>
          <t>S1-ORD-005</t>
        </is>
      </c>
      <c r="C8" s="28" t="inlineStr">
        <is>
          <t>VINMART Võ Thị Sáu</t>
        </is>
      </c>
      <c r="D8" s="28" t="inlineStr">
        <is>
          <t>Nội thành Hà Nội</t>
        </is>
      </c>
      <c r="E8" s="29" t="n">
        <v>661</v>
      </c>
      <c r="F8" s="27" t="inlineStr">
        <is>
          <t>1.25T</t>
        </is>
      </c>
      <c r="G8" s="28" t="inlineStr">
        <is>
          <t>09:12-11:12</t>
        </is>
      </c>
      <c r="H8" s="31" t="n">
        <v>490000</v>
      </c>
      <c r="I8" s="28" t="inlineStr">
        <is>
          <t>Hợp lệ</t>
        </is>
      </c>
      <c r="J8" s="28" t="inlineStr">
        <is>
          <t>Đã gán</t>
        </is>
      </c>
      <c r="K8" s="28" t="inlineStr">
        <is>
          <t>V014</t>
        </is>
      </c>
      <c r="L8" s="28" t="inlineStr">
        <is>
          <t>Hợp lệ</t>
        </is>
      </c>
    </row>
    <row r="9">
      <c r="A9" s="27" t="n">
        <v>6</v>
      </c>
      <c r="B9" s="28" t="inlineStr">
        <is>
          <t>S1-ORD-006</t>
        </is>
      </c>
      <c r="C9" s="28" t="inlineStr">
        <is>
          <t>Siêu thị Hải Dương</t>
        </is>
      </c>
      <c r="D9" s="28" t="inlineStr">
        <is>
          <t>Đông Bắc</t>
        </is>
      </c>
      <c r="E9" s="29" t="n">
        <v>7814</v>
      </c>
      <c r="F9" s="27" t="inlineStr">
        <is>
          <t>Container</t>
        </is>
      </c>
      <c r="G9" s="28" t="inlineStr">
        <is>
          <t>12:12-14:12</t>
        </is>
      </c>
      <c r="H9" s="31" t="n">
        <v>3320000</v>
      </c>
      <c r="I9" s="28" t="inlineStr">
        <is>
          <t>Cần xem xét</t>
        </is>
      </c>
      <c r="J9" s="28" t="inlineStr">
        <is>
          <t>Chưa gán</t>
        </is>
      </c>
      <c r="K9" s="28" t="inlineStr">
        <is>
          <t>—</t>
        </is>
      </c>
      <c r="L9" s="28" t="inlineStr">
        <is>
          <t>Loại xe tối thiểu vượt loại xe tối đa cho phép (cần Split/Chuyển tải)</t>
        </is>
      </c>
    </row>
    <row r="10">
      <c r="A10" s="27" t="n">
        <v>7</v>
      </c>
      <c r="B10" s="28" t="inlineStr">
        <is>
          <t>S1-ORD-007</t>
        </is>
      </c>
      <c r="C10" s="28" t="inlineStr">
        <is>
          <t>Thái Dương</t>
        </is>
      </c>
      <c r="D10" s="28" t="inlineStr">
        <is>
          <t>Nội thành Hà Nội</t>
        </is>
      </c>
      <c r="E10" s="29" t="n">
        <v>1470</v>
      </c>
      <c r="F10" s="27" t="inlineStr">
        <is>
          <t>8T</t>
        </is>
      </c>
      <c r="G10" s="28" t="inlineStr">
        <is>
          <t>09:23-11:23</t>
        </is>
      </c>
      <c r="H10" s="31" t="n">
        <v>660000</v>
      </c>
      <c r="I10" s="28" t="inlineStr">
        <is>
          <t>Cần xem xét</t>
        </is>
      </c>
      <c r="J10" s="28" t="inlineStr">
        <is>
          <t>Chưa gán</t>
        </is>
      </c>
      <c r="K10" s="28" t="inlineStr">
        <is>
          <t>—</t>
        </is>
      </c>
      <c r="L10" s="28" t="inlineStr">
        <is>
          <t>Loại xe tối thiểu vượt loại xe tối đa cho phép (cần Split/Chuyển tải); Đơn nội đô nhưng yêu cầu xe ≥5T (rủi ro cấm tải/đường nhỏ)</t>
        </is>
      </c>
    </row>
    <row r="11">
      <c r="A11" s="27" t="n">
        <v>8</v>
      </c>
      <c r="B11" s="28" t="inlineStr">
        <is>
          <t>S1-ORD-008</t>
        </is>
      </c>
      <c r="C11" s="28" t="inlineStr">
        <is>
          <t>VINMART Võ Thị Sáu</t>
        </is>
      </c>
      <c r="D11" s="28" t="inlineStr">
        <is>
          <t>Nội thành Hà Nội</t>
        </is>
      </c>
      <c r="E11" s="29" t="n">
        <v>1371</v>
      </c>
      <c r="F11" s="27" t="inlineStr">
        <is>
          <t>8T</t>
        </is>
      </c>
      <c r="G11" s="28" t="inlineStr">
        <is>
          <t>12:24-14:24</t>
        </is>
      </c>
      <c r="H11" s="31" t="n">
        <v>650000</v>
      </c>
      <c r="I11" s="28" t="inlineStr">
        <is>
          <t>Cần xem xét</t>
        </is>
      </c>
      <c r="J11" s="28" t="inlineStr">
        <is>
          <t>Chưa gán</t>
        </is>
      </c>
      <c r="K11" s="28" t="inlineStr">
        <is>
          <t>—</t>
        </is>
      </c>
      <c r="L11" s="28" t="inlineStr">
        <is>
          <t>Loại xe tối thiểu vượt loại xe tối đa cho phép (cần Split/Chuyển tải); Đơn nội đô nhưng yêu cầu xe ≥5T (rủi ro cấm tải/đường nhỏ)</t>
        </is>
      </c>
    </row>
    <row r="12">
      <c r="A12" s="27" t="n">
        <v>9</v>
      </c>
      <c r="B12" s="28" t="inlineStr">
        <is>
          <t>S1-ORD-009</t>
        </is>
      </c>
      <c r="C12" s="28" t="inlineStr">
        <is>
          <t>VINMART Hoài Đức</t>
        </is>
      </c>
      <c r="D12" s="28" t="inlineStr">
        <is>
          <t>Tây Bắc</t>
        </is>
      </c>
      <c r="E12" s="29" t="n">
        <v>4822</v>
      </c>
      <c r="F12" s="27" t="inlineStr">
        <is>
          <t>5T</t>
        </is>
      </c>
      <c r="G12" s="28" t="inlineStr">
        <is>
          <t>09:38-12:38</t>
        </is>
      </c>
      <c r="H12" s="31" t="n">
        <v>1170000</v>
      </c>
      <c r="I12" s="28" t="inlineStr">
        <is>
          <t>Hợp lệ</t>
        </is>
      </c>
      <c r="J12" s="28" t="inlineStr">
        <is>
          <t>Đã gán</t>
        </is>
      </c>
      <c r="K12" s="28" t="inlineStr">
        <is>
          <t>V023</t>
        </is>
      </c>
      <c r="L12" s="28" t="inlineStr">
        <is>
          <t>Hợp lệ</t>
        </is>
      </c>
    </row>
    <row r="13">
      <c r="A13" s="27" t="n">
        <v>10</v>
      </c>
      <c r="B13" s="28" t="inlineStr">
        <is>
          <t>S1-ORD-010</t>
        </is>
      </c>
      <c r="C13" s="28" t="inlineStr">
        <is>
          <t>Thái Dương</t>
        </is>
      </c>
      <c r="D13" s="28" t="inlineStr">
        <is>
          <t>Nội thành Hà Nội</t>
        </is>
      </c>
      <c r="E13" s="29" t="n">
        <v>909</v>
      </c>
      <c r="F13" s="27" t="inlineStr">
        <is>
          <t>1.25T</t>
        </is>
      </c>
      <c r="G13" s="28" t="inlineStr">
        <is>
          <t>09:15-10:45</t>
        </is>
      </c>
      <c r="H13" s="31" t="n">
        <v>600000</v>
      </c>
      <c r="I13" s="28" t="inlineStr">
        <is>
          <t>Hợp lệ</t>
        </is>
      </c>
      <c r="J13" s="28" t="inlineStr">
        <is>
          <t>Đã gán</t>
        </is>
      </c>
      <c r="K13" s="28" t="inlineStr">
        <is>
          <t>V009</t>
        </is>
      </c>
      <c r="L13" s="28" t="inlineStr">
        <is>
          <t>Hợp lệ</t>
        </is>
      </c>
    </row>
    <row r="14">
      <c r="A14" s="27" t="n">
        <v>11</v>
      </c>
      <c r="B14" s="28" t="inlineStr">
        <is>
          <t>S1-ORD-011</t>
        </is>
      </c>
      <c r="C14" s="28" t="inlineStr">
        <is>
          <t>VINMART Bắc Từ Liêm</t>
        </is>
      </c>
      <c r="D14" s="28" t="inlineStr">
        <is>
          <t>Nội thành Hà Nội</t>
        </is>
      </c>
      <c r="E14" s="29" t="n">
        <v>945</v>
      </c>
      <c r="F14" s="27" t="inlineStr">
        <is>
          <t>1.25T</t>
        </is>
      </c>
      <c r="G14" s="28" t="inlineStr">
        <is>
          <t>09:29-10:59</t>
        </is>
      </c>
      <c r="H14" s="31" t="n">
        <v>910000</v>
      </c>
      <c r="I14" s="28" t="inlineStr">
        <is>
          <t>Hợp lệ</t>
        </is>
      </c>
      <c r="J14" s="28" t="inlineStr">
        <is>
          <t>Đã gán</t>
        </is>
      </c>
      <c r="K14" s="28" t="inlineStr">
        <is>
          <t>V018</t>
        </is>
      </c>
      <c r="L14" s="28" t="inlineStr">
        <is>
          <t>Hợp lệ</t>
        </is>
      </c>
    </row>
    <row r="15">
      <c r="A15" s="27" t="n">
        <v>12</v>
      </c>
      <c r="B15" s="28" t="inlineStr">
        <is>
          <t>S1-ORD-012</t>
        </is>
      </c>
      <c r="C15" s="28" t="inlineStr">
        <is>
          <t>TOPS MARKET Garden Mall</t>
        </is>
      </c>
      <c r="D15" s="28" t="inlineStr">
        <is>
          <t>Nội thành Hà Nội</t>
        </is>
      </c>
      <c r="E15" s="29" t="n">
        <v>349</v>
      </c>
      <c r="F15" s="27" t="inlineStr">
        <is>
          <t>5 tạ</t>
        </is>
      </c>
      <c r="G15" s="28" t="inlineStr">
        <is>
          <t>10:23-13:23</t>
        </is>
      </c>
      <c r="H15" s="31" t="n">
        <v>510000</v>
      </c>
      <c r="I15" s="28" t="inlineStr">
        <is>
          <t>Hợp lệ</t>
        </is>
      </c>
      <c r="J15" s="28" t="inlineStr">
        <is>
          <t>Đã gán</t>
        </is>
      </c>
      <c r="K15" s="28" t="inlineStr">
        <is>
          <t>V001</t>
        </is>
      </c>
      <c r="L15" s="28" t="inlineStr">
        <is>
          <t>Hợp lệ</t>
        </is>
      </c>
    </row>
    <row r="16">
      <c r="A16" s="27" t="n">
        <v>13</v>
      </c>
      <c r="B16" s="28" t="inlineStr">
        <is>
          <t>S1-ORD-013</t>
        </is>
      </c>
      <c r="C16" s="28" t="inlineStr">
        <is>
          <t>Siêu thị Hải Dương</t>
        </is>
      </c>
      <c r="D16" s="28" t="inlineStr">
        <is>
          <t>Đông Bắc</t>
        </is>
      </c>
      <c r="E16" s="29" t="n">
        <v>1820</v>
      </c>
      <c r="F16" s="27" t="inlineStr">
        <is>
          <t>5T</t>
        </is>
      </c>
      <c r="G16" s="28" t="inlineStr">
        <is>
          <t>12:05-15:05</t>
        </is>
      </c>
      <c r="H16" s="31" t="n">
        <v>910000</v>
      </c>
      <c r="I16" s="28" t="inlineStr">
        <is>
          <t>Hợp lệ</t>
        </is>
      </c>
      <c r="J16" s="28" t="inlineStr">
        <is>
          <t>Đã gán</t>
        </is>
      </c>
      <c r="K16" s="28" t="inlineStr">
        <is>
          <t>V019</t>
        </is>
      </c>
      <c r="L16" s="28" t="inlineStr">
        <is>
          <t>Hợp lệ</t>
        </is>
      </c>
    </row>
    <row r="17">
      <c r="A17" s="27" t="n">
        <v>14</v>
      </c>
      <c r="B17" s="28" t="inlineStr">
        <is>
          <t>S1-ORD-014</t>
        </is>
      </c>
      <c r="C17" s="28" t="inlineStr">
        <is>
          <t>LOTTE MART Ba Đình</t>
        </is>
      </c>
      <c r="D17" s="28" t="inlineStr">
        <is>
          <t>Nội thành Hà Nội</t>
        </is>
      </c>
      <c r="E17" s="29" t="n">
        <v>1392</v>
      </c>
      <c r="F17" s="27" t="inlineStr">
        <is>
          <t>5T</t>
        </is>
      </c>
      <c r="G17" s="28" t="inlineStr">
        <is>
          <t>11:21-12:51</t>
        </is>
      </c>
      <c r="H17" s="31" t="n">
        <v>910000</v>
      </c>
      <c r="I17" s="28" t="inlineStr">
        <is>
          <t>Cần xem xét</t>
        </is>
      </c>
      <c r="J17" s="28" t="inlineStr">
        <is>
          <t>Chưa gán</t>
        </is>
      </c>
      <c r="K17" s="28" t="inlineStr">
        <is>
          <t>—</t>
        </is>
      </c>
      <c r="L17" s="28" t="inlineStr">
        <is>
          <t>Loại xe tối thiểu vượt loại xe tối đa cho phép (cần Split/Chuyển tải); Đơn nội đô nhưng yêu cầu xe ≥5T (rủi ro cấm tải/đường nhỏ)</t>
        </is>
      </c>
    </row>
    <row r="18">
      <c r="A18" s="27" t="n">
        <v>15</v>
      </c>
      <c r="B18" s="28" t="inlineStr">
        <is>
          <t>S1-ORD-015</t>
        </is>
      </c>
      <c r="C18" s="28" t="inlineStr">
        <is>
          <t>VINMART Trương Định</t>
        </is>
      </c>
      <c r="D18" s="28" t="inlineStr">
        <is>
          <t>Nội thành Hà Nội</t>
        </is>
      </c>
      <c r="E18" s="29" t="n">
        <v>914</v>
      </c>
      <c r="F18" s="27" t="inlineStr">
        <is>
          <t>1.25T</t>
        </is>
      </c>
      <c r="G18" s="28" t="inlineStr">
        <is>
          <t>11:44-13:14</t>
        </is>
      </c>
      <c r="H18" s="31" t="n">
        <v>520000</v>
      </c>
      <c r="I18" s="28" t="inlineStr">
        <is>
          <t>Hợp lệ</t>
        </is>
      </c>
      <c r="J18" s="28" t="inlineStr">
        <is>
          <t>Đã gán</t>
        </is>
      </c>
      <c r="K18" s="28" t="inlineStr">
        <is>
          <t>V015</t>
        </is>
      </c>
      <c r="L18" s="28" t="inlineStr">
        <is>
          <t>Hợp lệ</t>
        </is>
      </c>
    </row>
    <row r="19">
      <c r="A19" s="27" t="n">
        <v>16</v>
      </c>
      <c r="B19" s="28" t="inlineStr">
        <is>
          <t>S1-ORD-016</t>
        </is>
      </c>
      <c r="C19" s="28" t="inlineStr">
        <is>
          <t>VINMART Hoài Đức</t>
        </is>
      </c>
      <c r="D19" s="28" t="inlineStr">
        <is>
          <t>Tây Bắc</t>
        </is>
      </c>
      <c r="E19" s="29" t="n">
        <v>7741</v>
      </c>
      <c r="F19" s="27" t="inlineStr">
        <is>
          <t>4 chân</t>
        </is>
      </c>
      <c r="G19" s="28" t="inlineStr">
        <is>
          <t>13:18-15:48</t>
        </is>
      </c>
      <c r="H19" s="31" t="n">
        <v>2200000</v>
      </c>
      <c r="I19" s="28" t="inlineStr">
        <is>
          <t>Cần xem xét</t>
        </is>
      </c>
      <c r="J19" s="28" t="inlineStr">
        <is>
          <t>Đã gán</t>
        </is>
      </c>
      <c r="K19" s="28" t="inlineStr">
        <is>
          <t>V039</t>
        </is>
      </c>
      <c r="L19" s="28" t="inlineStr">
        <is>
          <t>Loại xe tối thiểu vượt loại xe tối đa cho phép (cần Split/Chuyển tải)</t>
        </is>
      </c>
    </row>
    <row r="20">
      <c r="A20" s="27" t="n">
        <v>17</v>
      </c>
      <c r="B20" s="28" t="inlineStr">
        <is>
          <t>S1-ORD-017</t>
        </is>
      </c>
      <c r="C20" s="28" t="inlineStr">
        <is>
          <t>Nam Dương</t>
        </is>
      </c>
      <c r="D20" s="28" t="inlineStr">
        <is>
          <t>Nội thành Hà Nội</t>
        </is>
      </c>
      <c r="E20" s="29" t="n">
        <v>1076</v>
      </c>
      <c r="F20" s="27" t="inlineStr">
        <is>
          <t>1.25T</t>
        </is>
      </c>
      <c r="G20" s="28" t="inlineStr">
        <is>
          <t>10:16-12:16</t>
        </is>
      </c>
      <c r="H20" s="31" t="n">
        <v>890000</v>
      </c>
      <c r="I20" s="28" t="inlineStr">
        <is>
          <t>Hợp lệ</t>
        </is>
      </c>
      <c r="J20" s="28" t="inlineStr">
        <is>
          <t>Đã gán</t>
        </is>
      </c>
      <c r="K20" s="28" t="inlineStr">
        <is>
          <t>V007</t>
        </is>
      </c>
      <c r="L20" s="28" t="inlineStr">
        <is>
          <t>Hợp lệ</t>
        </is>
      </c>
    </row>
    <row r="21">
      <c r="A21" s="27" t="n">
        <v>18</v>
      </c>
      <c r="B21" s="28" t="inlineStr">
        <is>
          <t>S1-ORD-018</t>
        </is>
      </c>
      <c r="C21" s="28" t="inlineStr">
        <is>
          <t>LOTTE MART Ba Đình</t>
        </is>
      </c>
      <c r="D21" s="28" t="inlineStr">
        <is>
          <t>Nội thành Hà Nội</t>
        </is>
      </c>
      <c r="E21" s="29" t="n">
        <v>670</v>
      </c>
      <c r="F21" s="27" t="inlineStr">
        <is>
          <t>1.25T</t>
        </is>
      </c>
      <c r="G21" s="28" t="inlineStr">
        <is>
          <t>09:38-12:08</t>
        </is>
      </c>
      <c r="H21" s="31" t="n">
        <v>750000</v>
      </c>
      <c r="I21" s="28" t="inlineStr">
        <is>
          <t>Hợp lệ</t>
        </is>
      </c>
      <c r="J21" s="28" t="inlineStr">
        <is>
          <t>Đã gán</t>
        </is>
      </c>
      <c r="K21" s="28" t="inlineStr">
        <is>
          <t>V008</t>
        </is>
      </c>
      <c r="L21" s="28" t="inlineStr">
        <is>
          <t>Hợp lệ</t>
        </is>
      </c>
    </row>
    <row r="22">
      <c r="A22" s="27" t="n">
        <v>19</v>
      </c>
      <c r="B22" s="28" t="inlineStr">
        <is>
          <t>S1-ORD-019</t>
        </is>
      </c>
      <c r="C22" s="28" t="inlineStr">
        <is>
          <t>VINMART Royal City</t>
        </is>
      </c>
      <c r="D22" s="28" t="inlineStr">
        <is>
          <t>Nội thành Hà Nội</t>
        </is>
      </c>
      <c r="E22" s="29" t="n">
        <v>1179</v>
      </c>
      <c r="F22" s="27" t="inlineStr">
        <is>
          <t>1.25T</t>
        </is>
      </c>
      <c r="G22" s="28" t="inlineStr">
        <is>
          <t>09:52-11:52</t>
        </is>
      </c>
      <c r="H22" s="31" t="n">
        <v>720000</v>
      </c>
      <c r="I22" s="28" t="inlineStr">
        <is>
          <t>Hợp lệ</t>
        </is>
      </c>
      <c r="J22" s="28" t="inlineStr">
        <is>
          <t>Đã gán</t>
        </is>
      </c>
      <c r="K22" s="28" t="inlineStr">
        <is>
          <t>V012</t>
        </is>
      </c>
      <c r="L22" s="28" t="inlineStr">
        <is>
          <t>Hợp lệ</t>
        </is>
      </c>
    </row>
    <row r="23">
      <c r="A23" s="27" t="n">
        <v>20</v>
      </c>
      <c r="B23" s="28" t="inlineStr">
        <is>
          <t>S1-ORD-020</t>
        </is>
      </c>
      <c r="C23" s="28" t="inlineStr">
        <is>
          <t>Siêu thị Hải Dương</t>
        </is>
      </c>
      <c r="D23" s="28" t="inlineStr">
        <is>
          <t>Đông Bắc</t>
        </is>
      </c>
      <c r="E23" s="29" t="n">
        <v>6453</v>
      </c>
      <c r="F23" s="27" t="inlineStr">
        <is>
          <t>8T</t>
        </is>
      </c>
      <c r="G23" s="28" t="inlineStr">
        <is>
          <t>11:08-13:08</t>
        </is>
      </c>
      <c r="H23" s="31" t="n">
        <v>2510000</v>
      </c>
      <c r="I23" s="28" t="inlineStr">
        <is>
          <t>Hợp lệ</t>
        </is>
      </c>
      <c r="J23" s="28" t="inlineStr">
        <is>
          <t>Đã gán</t>
        </is>
      </c>
      <c r="K23" s="28" t="inlineStr">
        <is>
          <t>V030</t>
        </is>
      </c>
      <c r="L23" s="28" t="inlineStr">
        <is>
          <t>Hợp lệ</t>
        </is>
      </c>
    </row>
    <row r="24">
      <c r="A24" s="27" t="n">
        <v>21</v>
      </c>
      <c r="B24" s="28" t="inlineStr">
        <is>
          <t>S1-ORD-021</t>
        </is>
      </c>
      <c r="C24" s="28" t="inlineStr">
        <is>
          <t>VINMART Uông Bí</t>
        </is>
      </c>
      <c r="D24" s="28" t="inlineStr">
        <is>
          <t>Đông Bắc</t>
        </is>
      </c>
      <c r="E24" s="29" t="n">
        <v>1872</v>
      </c>
      <c r="F24" s="27" t="inlineStr">
        <is>
          <t>5T</t>
        </is>
      </c>
      <c r="G24" s="28" t="inlineStr">
        <is>
          <t>13:20-14:50</t>
        </is>
      </c>
      <c r="H24" s="31" t="n">
        <v>1820000</v>
      </c>
      <c r="I24" s="28" t="inlineStr">
        <is>
          <t>Cần xem xét</t>
        </is>
      </c>
      <c r="J24" s="28" t="inlineStr">
        <is>
          <t>Đã gán</t>
        </is>
      </c>
      <c r="K24" s="28" t="inlineStr">
        <is>
          <t>V026</t>
        </is>
      </c>
      <c r="L24" s="28" t="inlineStr">
        <is>
          <t>Tuyến dài &gt;100km — bắt buộc kiểm tra chuyến quay đầu (backhaul)</t>
        </is>
      </c>
    </row>
    <row r="25">
      <c r="A25" s="27" t="n">
        <v>22</v>
      </c>
      <c r="B25" s="28" t="inlineStr">
        <is>
          <t>S1-ORD-022</t>
        </is>
      </c>
      <c r="C25" s="28" t="inlineStr">
        <is>
          <t>TOPS MARKET Garden Mall</t>
        </is>
      </c>
      <c r="D25" s="28" t="inlineStr">
        <is>
          <t>Nội thành Hà Nội</t>
        </is>
      </c>
      <c r="E25" s="29" t="n">
        <v>1345</v>
      </c>
      <c r="F25" s="27" t="inlineStr">
        <is>
          <t>5T</t>
        </is>
      </c>
      <c r="G25" s="28" t="inlineStr">
        <is>
          <t>12:05-14:05</t>
        </is>
      </c>
      <c r="H25" s="31" t="n">
        <v>690000</v>
      </c>
      <c r="I25" s="28" t="inlineStr">
        <is>
          <t>Cần xem xét</t>
        </is>
      </c>
      <c r="J25" s="28" t="inlineStr">
        <is>
          <t>Chưa gán</t>
        </is>
      </c>
      <c r="K25" s="28" t="inlineStr">
        <is>
          <t>—</t>
        </is>
      </c>
      <c r="L25" s="28" t="inlineStr">
        <is>
          <t>Loại xe tối thiểu vượt loại xe tối đa cho phép (cần Split/Chuyển tải); Đơn nội đô nhưng yêu cầu xe ≥5T (rủi ro cấm tải/đường nhỏ)</t>
        </is>
      </c>
    </row>
    <row r="26">
      <c r="A26" s="27" t="n">
        <v>23</v>
      </c>
      <c r="B26" s="28" t="inlineStr">
        <is>
          <t>S1-ORD-023</t>
        </is>
      </c>
      <c r="C26" s="28" t="inlineStr">
        <is>
          <t>Siêu thị Hải Phòng</t>
        </is>
      </c>
      <c r="D26" s="28" t="inlineStr">
        <is>
          <t>Đông Bắc</t>
        </is>
      </c>
      <c r="E26" s="29" t="n">
        <v>1219</v>
      </c>
      <c r="F26" s="27" t="inlineStr">
        <is>
          <t>1.25T</t>
        </is>
      </c>
      <c r="G26" s="28" t="inlineStr">
        <is>
          <t>09:32-12:02</t>
        </is>
      </c>
      <c r="H26" s="31" t="n">
        <v>530000</v>
      </c>
      <c r="I26" s="28" t="inlineStr">
        <is>
          <t>Hợp lệ</t>
        </is>
      </c>
      <c r="J26" s="28" t="inlineStr">
        <is>
          <t>Đã gán</t>
        </is>
      </c>
      <c r="K26" s="28" t="inlineStr">
        <is>
          <t>V026</t>
        </is>
      </c>
      <c r="L26" s="28" t="inlineStr">
        <is>
          <t>Hợp lệ</t>
        </is>
      </c>
    </row>
    <row r="27">
      <c r="A27" s="27" t="n">
        <v>24</v>
      </c>
      <c r="B27" s="28" t="inlineStr">
        <is>
          <t>S1-ORD-024</t>
        </is>
      </c>
      <c r="C27" s="28" t="inlineStr">
        <is>
          <t>LOTTE MART Đống Đa</t>
        </is>
      </c>
      <c r="D27" s="28" t="inlineStr">
        <is>
          <t>Nội thành Hà Nội</t>
        </is>
      </c>
      <c r="E27" s="29" t="n">
        <v>1402</v>
      </c>
      <c r="F27" s="27" t="inlineStr">
        <is>
          <t>5T</t>
        </is>
      </c>
      <c r="G27" s="28" t="inlineStr">
        <is>
          <t>10:15-13:15</t>
        </is>
      </c>
      <c r="H27" s="31" t="n">
        <v>1090000</v>
      </c>
      <c r="I27" s="28" t="inlineStr">
        <is>
          <t>Cần xem xét</t>
        </is>
      </c>
      <c r="J27" s="28" t="inlineStr">
        <is>
          <t>Chưa gán</t>
        </is>
      </c>
      <c r="K27" s="28" t="inlineStr">
        <is>
          <t>—</t>
        </is>
      </c>
      <c r="L27" s="28" t="inlineStr">
        <is>
          <t>Loại xe tối thiểu vượt loại xe tối đa cho phép (cần Split/Chuyển tải); Đơn nội đô nhưng yêu cầu xe ≥5T (rủi ro cấm tải/đường nhỏ)</t>
        </is>
      </c>
    </row>
    <row r="28">
      <c r="A28" s="27" t="n">
        <v>25</v>
      </c>
      <c r="B28" s="28" t="inlineStr">
        <is>
          <t>S1-ORD-025</t>
        </is>
      </c>
      <c r="C28" s="28" t="inlineStr">
        <is>
          <t>VINMART Bắc Từ Liêm</t>
        </is>
      </c>
      <c r="D28" s="28" t="inlineStr">
        <is>
          <t>Nội thành Hà Nội</t>
        </is>
      </c>
      <c r="E28" s="29" t="n">
        <v>988</v>
      </c>
      <c r="F28" s="27" t="inlineStr">
        <is>
          <t>1.25T</t>
        </is>
      </c>
      <c r="G28" s="28" t="inlineStr">
        <is>
          <t>12:24-15:24</t>
        </is>
      </c>
      <c r="H28" s="31" t="n">
        <v>780000</v>
      </c>
      <c r="I28" s="28" t="inlineStr">
        <is>
          <t>Hợp lệ</t>
        </is>
      </c>
      <c r="J28" s="28" t="inlineStr">
        <is>
          <t>Đã gán</t>
        </is>
      </c>
      <c r="K28" s="28" t="inlineStr">
        <is>
          <t>V013</t>
        </is>
      </c>
      <c r="L28" s="28" t="inlineStr">
        <is>
          <t>Hợp lệ</t>
        </is>
      </c>
    </row>
    <row r="29">
      <c r="A29" s="27" t="n">
        <v>26</v>
      </c>
      <c r="B29" s="28" t="inlineStr">
        <is>
          <t>S1-ORD-026</t>
        </is>
      </c>
      <c r="C29" s="28" t="inlineStr">
        <is>
          <t>TOPS MARKET Garden Mall</t>
        </is>
      </c>
      <c r="D29" s="28" t="inlineStr">
        <is>
          <t>Nội thành Hà Nội</t>
        </is>
      </c>
      <c r="E29" s="29" t="n">
        <v>1043</v>
      </c>
      <c r="F29" s="27" t="inlineStr">
        <is>
          <t>5T</t>
        </is>
      </c>
      <c r="G29" s="28" t="inlineStr">
        <is>
          <t>10:38-13:08</t>
        </is>
      </c>
      <c r="H29" s="31" t="n">
        <v>710000</v>
      </c>
      <c r="I29" s="28" t="inlineStr">
        <is>
          <t>Cần xem xét</t>
        </is>
      </c>
      <c r="J29" s="28" t="inlineStr">
        <is>
          <t>Chưa gán</t>
        </is>
      </c>
      <c r="K29" s="28" t="inlineStr">
        <is>
          <t>—</t>
        </is>
      </c>
      <c r="L29" s="28" t="inlineStr">
        <is>
          <t>Loại xe tối thiểu vượt loại xe tối đa cho phép (cần Split/Chuyển tải); Đơn nội đô nhưng yêu cầu xe ≥5T (rủi ro cấm tải/đường nhỏ)</t>
        </is>
      </c>
    </row>
    <row r="30">
      <c r="A30" s="27" t="n">
        <v>27</v>
      </c>
      <c r="B30" s="28" t="inlineStr">
        <is>
          <t>S1-ORD-027</t>
        </is>
      </c>
      <c r="C30" s="28" t="inlineStr">
        <is>
          <t>Siêu thị Hải Phòng</t>
        </is>
      </c>
      <c r="D30" s="28" t="inlineStr">
        <is>
          <t>Đông Bắc</t>
        </is>
      </c>
      <c r="E30" s="29" t="n">
        <v>1775</v>
      </c>
      <c r="F30" s="27" t="inlineStr">
        <is>
          <t>5T</t>
        </is>
      </c>
      <c r="G30" s="28" t="inlineStr">
        <is>
          <t>10:17-12:47</t>
        </is>
      </c>
      <c r="H30" s="31" t="n">
        <v>720000</v>
      </c>
      <c r="I30" s="28" t="inlineStr">
        <is>
          <t>Hợp lệ</t>
        </is>
      </c>
      <c r="J30" s="28" t="inlineStr">
        <is>
          <t>Đã gán</t>
        </is>
      </c>
      <c r="K30" s="28" t="inlineStr">
        <is>
          <t>V026</t>
        </is>
      </c>
      <c r="L30" s="28" t="inlineStr">
        <is>
          <t>Hợp lệ</t>
        </is>
      </c>
    </row>
    <row r="31">
      <c r="A31" s="27" t="n">
        <v>28</v>
      </c>
      <c r="B31" s="28" t="inlineStr">
        <is>
          <t>S1-ORD-028</t>
        </is>
      </c>
      <c r="C31" s="28" t="inlineStr">
        <is>
          <t>LOTTE MART Đống Đa</t>
        </is>
      </c>
      <c r="D31" s="28" t="inlineStr">
        <is>
          <t>Nội thành Hà Nội</t>
        </is>
      </c>
      <c r="E31" s="29" t="n">
        <v>1438</v>
      </c>
      <c r="F31" s="27" t="inlineStr">
        <is>
          <t>8T</t>
        </is>
      </c>
      <c r="G31" s="28" t="inlineStr">
        <is>
          <t>09:57-12:27</t>
        </is>
      </c>
      <c r="H31" s="31" t="n">
        <v>700000</v>
      </c>
      <c r="I31" s="28" t="inlineStr">
        <is>
          <t>Cần xem xét</t>
        </is>
      </c>
      <c r="J31" s="28" t="inlineStr">
        <is>
          <t>Chưa gán</t>
        </is>
      </c>
      <c r="K31" s="28" t="inlineStr">
        <is>
          <t>—</t>
        </is>
      </c>
      <c r="L31" s="28" t="inlineStr">
        <is>
          <t>Loại xe tối thiểu vượt loại xe tối đa cho phép (cần Split/Chuyển tải); Đơn nội đô nhưng yêu cầu xe ≥5T (rủi ro cấm tải/đường nhỏ)</t>
        </is>
      </c>
    </row>
    <row r="32">
      <c r="A32" s="27" t="n">
        <v>29</v>
      </c>
      <c r="B32" s="28" t="inlineStr">
        <is>
          <t>S1-ORD-029</t>
        </is>
      </c>
      <c r="C32" s="28" t="inlineStr">
        <is>
          <t>VINMART Times City</t>
        </is>
      </c>
      <c r="D32" s="28" t="inlineStr">
        <is>
          <t>Nội thành Hà Nội</t>
        </is>
      </c>
      <c r="E32" s="29" t="n">
        <v>223</v>
      </c>
      <c r="F32" s="27" t="inlineStr">
        <is>
          <t>5 tạ</t>
        </is>
      </c>
      <c r="G32" s="28" t="inlineStr">
        <is>
          <t>08:09-10:39</t>
        </is>
      </c>
      <c r="H32" s="31" t="n">
        <v>610000</v>
      </c>
      <c r="I32" s="28" t="inlineStr">
        <is>
          <t>Hợp lệ</t>
        </is>
      </c>
      <c r="J32" s="28" t="inlineStr">
        <is>
          <t>Đã gán</t>
        </is>
      </c>
      <c r="K32" s="28" t="inlineStr">
        <is>
          <t>V008</t>
        </is>
      </c>
      <c r="L32" s="28" t="inlineStr">
        <is>
          <t>Hợp lệ</t>
        </is>
      </c>
    </row>
    <row r="33">
      <c r="A33" s="27" t="n">
        <v>30</v>
      </c>
      <c r="B33" s="28" t="inlineStr">
        <is>
          <t>S1-ORD-030</t>
        </is>
      </c>
      <c r="C33" s="28" t="inlineStr">
        <is>
          <t>Siêu thị Hải Phòng</t>
        </is>
      </c>
      <c r="D33" s="28" t="inlineStr">
        <is>
          <t>Đông Bắc</t>
        </is>
      </c>
      <c r="E33" s="29" t="n">
        <v>4789</v>
      </c>
      <c r="F33" s="27" t="inlineStr">
        <is>
          <t>5T</t>
        </is>
      </c>
      <c r="G33" s="28" t="inlineStr">
        <is>
          <t>11:16-13:46</t>
        </is>
      </c>
      <c r="H33" s="31" t="n">
        <v>3350000</v>
      </c>
      <c r="I33" s="28" t="inlineStr">
        <is>
          <t>Cần xem xét</t>
        </is>
      </c>
      <c r="J33" s="28" t="inlineStr">
        <is>
          <t>Đã gán</t>
        </is>
      </c>
      <c r="K33" s="28" t="inlineStr">
        <is>
          <t>V024</t>
        </is>
      </c>
      <c r="L33" s="28" t="inlineStr">
        <is>
          <t>Tuyến dài &gt;100km — bắt buộc kiểm tra chuyến quay đầu (backhaul)</t>
        </is>
      </c>
    </row>
  </sheetData>
  <mergeCells count="2">
    <mergeCell ref="A2:L2"/>
    <mergeCell ref="A1:L1"/>
  </mergeCells>
  <conditionalFormatting sqref="J4:J33">
    <cfRule type="cellIs" priority="1" operator="equal" dxfId="0">
      <formula>"Chưa gán"</formula>
    </cfRule>
    <cfRule type="cellIs" priority="2" operator="equal" dxfId="1">
      <formula>"Đã gán"</formula>
    </cfRule>
  </conditionalFormatting>
  <conditionalFormatting sqref="I4:I33">
    <cfRule type="cellIs" priority="3" operator="equal" dxfId="2">
      <formula>"Cần xem xét"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3D91"/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6" customWidth="1" min="5" max="5"/>
    <col width="22" customWidth="1" min="6" max="6"/>
    <col width="15" customWidth="1" min="7" max="7"/>
    <col width="13" customWidth="1" min="8" max="8"/>
    <col width="12" customWidth="1" min="9" max="9"/>
    <col width="16" customWidth="1" min="10" max="10"/>
  </cols>
  <sheetData>
    <row r="1" ht="24" customHeight="1">
      <c r="A1" s="24" t="inlineStr">
        <is>
          <t>CÔNG TY CỔ PHẦN TIẾP VẬN HÒA PHÁT — ĐỘI XE &amp; TÀI XẾ</t>
        </is>
      </c>
    </row>
    <row r="2">
      <c r="A2" s="25" t="inlineStr">
        <is>
          <t>Tổng 40 xe · 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Mã xe</t>
        </is>
      </c>
      <c r="C3" s="26" t="inlineStr">
        <is>
          <t>Biển số</t>
        </is>
      </c>
      <c r="D3" s="26" t="inlineStr">
        <is>
          <t>Loại xe</t>
        </is>
      </c>
      <c r="E3" s="26" t="inlineStr">
        <is>
          <t>Tài xế</t>
        </is>
      </c>
      <c r="F3" s="26" t="inlineStr">
        <is>
          <t>Depot</t>
        </is>
      </c>
      <c r="G3" s="26" t="inlineStr">
        <is>
          <t>Hành lang</t>
        </is>
      </c>
      <c r="H3" s="26" t="inlineStr">
        <is>
          <t>Tải tối đa (kg)</t>
        </is>
      </c>
      <c r="I3" s="26" t="inlineStr">
        <is>
          <t>Dung tích (m³)</t>
        </is>
      </c>
      <c r="J3" s="26" t="inlineStr">
        <is>
          <t>Trạng thái</t>
        </is>
      </c>
    </row>
    <row r="4">
      <c r="A4" s="27" t="n">
        <v>1</v>
      </c>
      <c r="B4" s="28" t="inlineStr">
        <is>
          <t>V001</t>
        </is>
      </c>
      <c r="C4" s="28" t="inlineStr">
        <is>
          <t>30F-50137</t>
        </is>
      </c>
      <c r="D4" s="28" t="inlineStr">
        <is>
          <t>5 tạ</t>
        </is>
      </c>
      <c r="E4" s="28" t="inlineStr">
        <is>
          <t>Tài xế 01</t>
        </is>
      </c>
      <c r="F4" s="28" t="inlineStr">
        <is>
          <t>Kho Linfox KCN VSIP Bắc Ninh</t>
        </is>
      </c>
      <c r="G4" s="28" t="inlineStr">
        <is>
          <t>Nội thành Hà Nội</t>
        </is>
      </c>
      <c r="H4" s="29" t="n">
        <v>500</v>
      </c>
      <c r="I4" s="29" t="n">
        <v>4</v>
      </c>
      <c r="J4" s="28" t="inlineStr">
        <is>
          <t>Đang chạy</t>
        </is>
      </c>
    </row>
    <row r="5">
      <c r="A5" s="27" t="n">
        <v>2</v>
      </c>
      <c r="B5" s="28" t="inlineStr">
        <is>
          <t>V002</t>
        </is>
      </c>
      <c r="C5" s="28" t="inlineStr">
        <is>
          <t>31F-50274</t>
        </is>
      </c>
      <c r="D5" s="28" t="inlineStr">
        <is>
          <t>5 tạ</t>
        </is>
      </c>
      <c r="E5" s="28" t="inlineStr">
        <is>
          <t>Tài xế 02</t>
        </is>
      </c>
      <c r="F5" s="28" t="inlineStr">
        <is>
          <t>Kho/Nhà máy khách hàng Mỹ Hào</t>
        </is>
      </c>
      <c r="G5" s="28" t="inlineStr">
        <is>
          <t>Nội thành Hà Nội</t>
        </is>
      </c>
      <c r="H5" s="29" t="n">
        <v>500</v>
      </c>
      <c r="I5" s="29" t="n">
        <v>4</v>
      </c>
      <c r="J5" s="28" t="inlineStr">
        <is>
          <t>Đang chạy</t>
        </is>
      </c>
    </row>
    <row r="6">
      <c r="A6" s="27" t="n">
        <v>3</v>
      </c>
      <c r="B6" s="28" t="inlineStr">
        <is>
          <t>V003</t>
        </is>
      </c>
      <c r="C6" s="28" t="inlineStr">
        <is>
          <t>34C-50411</t>
        </is>
      </c>
      <c r="D6" s="28" t="inlineStr">
        <is>
          <t>5 tạ</t>
        </is>
      </c>
      <c r="E6" s="28" t="inlineStr">
        <is>
          <t>Tài xế 03</t>
        </is>
      </c>
      <c r="F6" s="28" t="inlineStr">
        <is>
          <t>Kho Hải Phòng - Đình Vũ</t>
        </is>
      </c>
      <c r="G6" s="28" t="inlineStr">
        <is>
          <t>Nội thành Hà Nội</t>
        </is>
      </c>
      <c r="H6" s="29" t="n">
        <v>500</v>
      </c>
      <c r="I6" s="29" t="n">
        <v>4</v>
      </c>
      <c r="J6" s="28" t="inlineStr">
        <is>
          <t>Standby/Sẵn sàng</t>
        </is>
      </c>
    </row>
    <row r="7">
      <c r="A7" s="27" t="n">
        <v>4</v>
      </c>
      <c r="B7" s="28" t="inlineStr">
        <is>
          <t>V004</t>
        </is>
      </c>
      <c r="C7" s="28" t="inlineStr">
        <is>
          <t>36C-50548</t>
        </is>
      </c>
      <c r="D7" s="28" t="inlineStr">
        <is>
          <t>5 tạ</t>
        </is>
      </c>
      <c r="E7" s="28" t="inlineStr">
        <is>
          <t>Tài xế 04</t>
        </is>
      </c>
      <c r="F7" s="28" t="inlineStr">
        <is>
          <t>Kho DC Thanh Hóa - Quảng Xương</t>
        </is>
      </c>
      <c r="G7" s="28" t="inlineStr">
        <is>
          <t>Nội thành Hà Nội</t>
        </is>
      </c>
      <c r="H7" s="29" t="n">
        <v>500</v>
      </c>
      <c r="I7" s="29" t="n">
        <v>4</v>
      </c>
      <c r="J7" s="28" t="inlineStr">
        <is>
          <t>Standby/Sẵn sàng</t>
        </is>
      </c>
    </row>
    <row r="8">
      <c r="A8" s="27" t="n">
        <v>5</v>
      </c>
      <c r="B8" s="28" t="inlineStr">
        <is>
          <t>V005</t>
        </is>
      </c>
      <c r="C8" s="28" t="inlineStr">
        <is>
          <t>17C-50685</t>
        </is>
      </c>
      <c r="D8" s="28" t="inlineStr">
        <is>
          <t>5 tạ</t>
        </is>
      </c>
      <c r="E8" s="28" t="inlineStr">
        <is>
          <t>Tài xế 05</t>
        </is>
      </c>
      <c r="F8" s="28" t="inlineStr">
        <is>
          <t>Kho DC Vinh - KCN Bắc Vinh</t>
        </is>
      </c>
      <c r="G8" s="28" t="inlineStr">
        <is>
          <t>Nội thành Hà Nội</t>
        </is>
      </c>
      <c r="H8" s="29" t="n">
        <v>500</v>
      </c>
      <c r="I8" s="29" t="n">
        <v>4</v>
      </c>
      <c r="J8" s="28" t="inlineStr">
        <is>
          <t>Standby/Sẵn sàng</t>
        </is>
      </c>
    </row>
    <row r="9">
      <c r="A9" s="27" t="n">
        <v>6</v>
      </c>
      <c r="B9" s="28" t="inlineStr">
        <is>
          <t>V006</t>
        </is>
      </c>
      <c r="C9" s="28" t="inlineStr">
        <is>
          <t>29C-50822</t>
        </is>
      </c>
      <c r="D9" s="28" t="inlineStr">
        <is>
          <t>5 tạ</t>
        </is>
      </c>
      <c r="E9" s="28" t="inlineStr">
        <is>
          <t>Tài xế 06</t>
        </is>
      </c>
      <c r="F9" s="28" t="inlineStr">
        <is>
          <t>HPL Depot Long Biên - 20 Thạch Bàn</t>
        </is>
      </c>
      <c r="G9" s="28" t="inlineStr">
        <is>
          <t>Nội thành Hà Nội</t>
        </is>
      </c>
      <c r="H9" s="29" t="n">
        <v>500</v>
      </c>
      <c r="I9" s="29" t="n">
        <v>4</v>
      </c>
      <c r="J9" s="28" t="inlineStr">
        <is>
          <t>Standby/Sẵn sàng</t>
        </is>
      </c>
    </row>
    <row r="10">
      <c r="A10" s="27" t="n">
        <v>7</v>
      </c>
      <c r="B10" s="28" t="inlineStr">
        <is>
          <t>V007</t>
        </is>
      </c>
      <c r="C10" s="28" t="inlineStr">
        <is>
          <t>30F-50959</t>
        </is>
      </c>
      <c r="D10" s="28" t="inlineStr">
        <is>
          <t>1.25T</t>
        </is>
      </c>
      <c r="E10" s="28" t="inlineStr">
        <is>
          <t>Tài xế 07</t>
        </is>
      </c>
      <c r="F10" s="28" t="inlineStr">
        <is>
          <t>Kho Linfox KCN VSIP Bắc Ninh</t>
        </is>
      </c>
      <c r="G10" s="28" t="inlineStr">
        <is>
          <t>Nội thành Hà Nội</t>
        </is>
      </c>
      <c r="H10" s="29" t="n">
        <v>1250</v>
      </c>
      <c r="I10" s="29" t="n">
        <v>10</v>
      </c>
      <c r="J10" s="28" t="inlineStr">
        <is>
          <t>Đang chạy</t>
        </is>
      </c>
    </row>
    <row r="11">
      <c r="A11" s="27" t="n">
        <v>8</v>
      </c>
      <c r="B11" s="28" t="inlineStr">
        <is>
          <t>V008</t>
        </is>
      </c>
      <c r="C11" s="28" t="inlineStr">
        <is>
          <t>31F-51096</t>
        </is>
      </c>
      <c r="D11" s="28" t="inlineStr">
        <is>
          <t>1.25T</t>
        </is>
      </c>
      <c r="E11" s="28" t="inlineStr">
        <is>
          <t>Tài xế 08</t>
        </is>
      </c>
      <c r="F11" s="28" t="inlineStr">
        <is>
          <t>Kho/Nhà máy khách hàng Mỹ Hào</t>
        </is>
      </c>
      <c r="G11" s="28" t="inlineStr">
        <is>
          <t>Nội thành Hà Nội</t>
        </is>
      </c>
      <c r="H11" s="29" t="n">
        <v>1250</v>
      </c>
      <c r="I11" s="29" t="n">
        <v>10</v>
      </c>
      <c r="J11" s="28" t="inlineStr">
        <is>
          <t>Đang chạy</t>
        </is>
      </c>
    </row>
    <row r="12">
      <c r="A12" s="27" t="n">
        <v>9</v>
      </c>
      <c r="B12" s="28" t="inlineStr">
        <is>
          <t>V009</t>
        </is>
      </c>
      <c r="C12" s="28" t="inlineStr">
        <is>
          <t>34C-51233</t>
        </is>
      </c>
      <c r="D12" s="28" t="inlineStr">
        <is>
          <t>1.25T</t>
        </is>
      </c>
      <c r="E12" s="28" t="inlineStr">
        <is>
          <t>Tài xế 09</t>
        </is>
      </c>
      <c r="F12" s="28" t="inlineStr">
        <is>
          <t>Kho Hải Phòng - Đình Vũ</t>
        </is>
      </c>
      <c r="G12" s="28" t="inlineStr">
        <is>
          <t>Nội thành Hà Nội</t>
        </is>
      </c>
      <c r="H12" s="29" t="n">
        <v>1250</v>
      </c>
      <c r="I12" s="29" t="n">
        <v>10</v>
      </c>
      <c r="J12" s="28" t="inlineStr">
        <is>
          <t>Đang chạy</t>
        </is>
      </c>
    </row>
    <row r="13">
      <c r="A13" s="27" t="n">
        <v>10</v>
      </c>
      <c r="B13" s="28" t="inlineStr">
        <is>
          <t>V010</t>
        </is>
      </c>
      <c r="C13" s="28" t="inlineStr">
        <is>
          <t>36C-51370</t>
        </is>
      </c>
      <c r="D13" s="28" t="inlineStr">
        <is>
          <t>1.25T</t>
        </is>
      </c>
      <c r="E13" s="28" t="inlineStr">
        <is>
          <t>Tài xế 10</t>
        </is>
      </c>
      <c r="F13" s="28" t="inlineStr">
        <is>
          <t>Kho DC Thanh Hóa - Quảng Xương</t>
        </is>
      </c>
      <c r="G13" s="28" t="inlineStr">
        <is>
          <t>Nội thành Hà Nội</t>
        </is>
      </c>
      <c r="H13" s="29" t="n">
        <v>1250</v>
      </c>
      <c r="I13" s="29" t="n">
        <v>10</v>
      </c>
      <c r="J13" s="28" t="inlineStr">
        <is>
          <t>Standby/Sẵn sàng</t>
        </is>
      </c>
    </row>
    <row r="14">
      <c r="A14" s="27" t="n">
        <v>11</v>
      </c>
      <c r="B14" s="28" t="inlineStr">
        <is>
          <t>V011</t>
        </is>
      </c>
      <c r="C14" s="28" t="inlineStr">
        <is>
          <t>17C-51507</t>
        </is>
      </c>
      <c r="D14" s="28" t="inlineStr">
        <is>
          <t>1.25T</t>
        </is>
      </c>
      <c r="E14" s="28" t="inlineStr">
        <is>
          <t>Tài xế 11</t>
        </is>
      </c>
      <c r="F14" s="28" t="inlineStr">
        <is>
          <t>Kho DC Vinh - KCN Bắc Vinh</t>
        </is>
      </c>
      <c r="G14" s="28" t="inlineStr">
        <is>
          <t>Nội thành Hà Nội</t>
        </is>
      </c>
      <c r="H14" s="29" t="n">
        <v>1250</v>
      </c>
      <c r="I14" s="29" t="n">
        <v>10</v>
      </c>
      <c r="J14" s="28" t="inlineStr">
        <is>
          <t>Standby/Sẵn sàng</t>
        </is>
      </c>
    </row>
    <row r="15">
      <c r="A15" s="27" t="n">
        <v>12</v>
      </c>
      <c r="B15" s="28" t="inlineStr">
        <is>
          <t>V012</t>
        </is>
      </c>
      <c r="C15" s="28" t="inlineStr">
        <is>
          <t>29C-51644</t>
        </is>
      </c>
      <c r="D15" s="28" t="inlineStr">
        <is>
          <t>1.25T</t>
        </is>
      </c>
      <c r="E15" s="28" t="inlineStr">
        <is>
          <t>Tài xế 12</t>
        </is>
      </c>
      <c r="F15" s="28" t="inlineStr">
        <is>
          <t>HPL Depot Long Biên - 20 Thạch Bàn</t>
        </is>
      </c>
      <c r="G15" s="28" t="inlineStr">
        <is>
          <t>Nội thành Hà Nội</t>
        </is>
      </c>
      <c r="H15" s="29" t="n">
        <v>1250</v>
      </c>
      <c r="I15" s="29" t="n">
        <v>10</v>
      </c>
      <c r="J15" s="28" t="inlineStr">
        <is>
          <t>Đang chạy</t>
        </is>
      </c>
    </row>
    <row r="16">
      <c r="A16" s="27" t="n">
        <v>13</v>
      </c>
      <c r="B16" s="28" t="inlineStr">
        <is>
          <t>V013</t>
        </is>
      </c>
      <c r="C16" s="28" t="inlineStr">
        <is>
          <t>30F-51781</t>
        </is>
      </c>
      <c r="D16" s="28" t="inlineStr">
        <is>
          <t>1.25T</t>
        </is>
      </c>
      <c r="E16" s="28" t="inlineStr">
        <is>
          <t>Tài xế 13</t>
        </is>
      </c>
      <c r="F16" s="28" t="inlineStr">
        <is>
          <t>Kho Linfox KCN VSIP Bắc Ninh</t>
        </is>
      </c>
      <c r="G16" s="28" t="inlineStr">
        <is>
          <t>Nội thành Hà Nội</t>
        </is>
      </c>
      <c r="H16" s="29" t="n">
        <v>1250</v>
      </c>
      <c r="I16" s="29" t="n">
        <v>10</v>
      </c>
      <c r="J16" s="28" t="inlineStr">
        <is>
          <t>Đang chạy</t>
        </is>
      </c>
    </row>
    <row r="17">
      <c r="A17" s="27" t="n">
        <v>14</v>
      </c>
      <c r="B17" s="28" t="inlineStr">
        <is>
          <t>V014</t>
        </is>
      </c>
      <c r="C17" s="28" t="inlineStr">
        <is>
          <t>31F-51918</t>
        </is>
      </c>
      <c r="D17" s="28" t="inlineStr">
        <is>
          <t>1.25T</t>
        </is>
      </c>
      <c r="E17" s="28" t="inlineStr">
        <is>
          <t>Tài xế 14</t>
        </is>
      </c>
      <c r="F17" s="28" t="inlineStr">
        <is>
          <t>Kho/Nhà máy khách hàng Mỹ Hào</t>
        </is>
      </c>
      <c r="G17" s="28" t="inlineStr">
        <is>
          <t>Nội thành Hà Nội</t>
        </is>
      </c>
      <c r="H17" s="29" t="n">
        <v>1250</v>
      </c>
      <c r="I17" s="29" t="n">
        <v>10</v>
      </c>
      <c r="J17" s="28" t="inlineStr">
        <is>
          <t>Đang chạy</t>
        </is>
      </c>
    </row>
    <row r="18">
      <c r="A18" s="27" t="n">
        <v>15</v>
      </c>
      <c r="B18" s="28" t="inlineStr">
        <is>
          <t>V015</t>
        </is>
      </c>
      <c r="C18" s="28" t="inlineStr">
        <is>
          <t>34C-52055</t>
        </is>
      </c>
      <c r="D18" s="28" t="inlineStr">
        <is>
          <t>1.25T</t>
        </is>
      </c>
      <c r="E18" s="28" t="inlineStr">
        <is>
          <t>Tài xế 15</t>
        </is>
      </c>
      <c r="F18" s="28" t="inlineStr">
        <is>
          <t>Kho Hải Phòng - Đình Vũ</t>
        </is>
      </c>
      <c r="G18" s="28" t="inlineStr">
        <is>
          <t>Nội thành Hà Nội</t>
        </is>
      </c>
      <c r="H18" s="29" t="n">
        <v>1250</v>
      </c>
      <c r="I18" s="29" t="n">
        <v>10</v>
      </c>
      <c r="J18" s="28" t="inlineStr">
        <is>
          <t>Đang chạy</t>
        </is>
      </c>
    </row>
    <row r="19">
      <c r="A19" s="27" t="n">
        <v>16</v>
      </c>
      <c r="B19" s="28" t="inlineStr">
        <is>
          <t>V016</t>
        </is>
      </c>
      <c r="C19" s="28" t="inlineStr">
        <is>
          <t>36C-52192</t>
        </is>
      </c>
      <c r="D19" s="28" t="inlineStr">
        <is>
          <t>1.25T</t>
        </is>
      </c>
      <c r="E19" s="28" t="inlineStr">
        <is>
          <t>Tài xế 16</t>
        </is>
      </c>
      <c r="F19" s="28" t="inlineStr">
        <is>
          <t>Kho DC Thanh Hóa - Quảng Xương</t>
        </is>
      </c>
      <c r="G19" s="28" t="inlineStr">
        <is>
          <t>Nội thành Hà Nội</t>
        </is>
      </c>
      <c r="H19" s="29" t="n">
        <v>1250</v>
      </c>
      <c r="I19" s="29" t="n">
        <v>10</v>
      </c>
      <c r="J19" s="28" t="inlineStr">
        <is>
          <t>Standby/Sẵn sàng</t>
        </is>
      </c>
    </row>
    <row r="20">
      <c r="A20" s="27" t="n">
        <v>17</v>
      </c>
      <c r="B20" s="28" t="inlineStr">
        <is>
          <t>V017</t>
        </is>
      </c>
      <c r="C20" s="28" t="inlineStr">
        <is>
          <t>17C-52329</t>
        </is>
      </c>
      <c r="D20" s="28" t="inlineStr">
        <is>
          <t>1.25T</t>
        </is>
      </c>
      <c r="E20" s="28" t="inlineStr">
        <is>
          <t>Tài xế 17</t>
        </is>
      </c>
      <c r="F20" s="28" t="inlineStr">
        <is>
          <t>Kho DC Vinh - KCN Bắc Vinh</t>
        </is>
      </c>
      <c r="G20" s="28" t="inlineStr">
        <is>
          <t>Nội thành Hà Nội</t>
        </is>
      </c>
      <c r="H20" s="29" t="n">
        <v>1250</v>
      </c>
      <c r="I20" s="29" t="n">
        <v>10</v>
      </c>
      <c r="J20" s="28" t="inlineStr">
        <is>
          <t>Standby/Sẵn sàng</t>
        </is>
      </c>
    </row>
    <row r="21">
      <c r="A21" s="27" t="n">
        <v>18</v>
      </c>
      <c r="B21" s="28" t="inlineStr">
        <is>
          <t>V018</t>
        </is>
      </c>
      <c r="C21" s="28" t="inlineStr">
        <is>
          <t>29C-52466</t>
        </is>
      </c>
      <c r="D21" s="28" t="inlineStr">
        <is>
          <t>1.25T</t>
        </is>
      </c>
      <c r="E21" s="28" t="inlineStr">
        <is>
          <t>Tài xế 18</t>
        </is>
      </c>
      <c r="F21" s="28" t="inlineStr">
        <is>
          <t>HPL Depot Long Biên - 20 Thạch Bàn</t>
        </is>
      </c>
      <c r="G21" s="28" t="inlineStr">
        <is>
          <t>Nội thành Hà Nội</t>
        </is>
      </c>
      <c r="H21" s="29" t="n">
        <v>1250</v>
      </c>
      <c r="I21" s="29" t="n">
        <v>10</v>
      </c>
      <c r="J21" s="28" t="inlineStr">
        <is>
          <t>Đang chạy</t>
        </is>
      </c>
    </row>
    <row r="22">
      <c r="A22" s="27" t="n">
        <v>19</v>
      </c>
      <c r="B22" s="28" t="inlineStr">
        <is>
          <t>V019</t>
        </is>
      </c>
      <c r="C22" s="28" t="inlineStr">
        <is>
          <t>30F-52603</t>
        </is>
      </c>
      <c r="D22" s="28" t="inlineStr">
        <is>
          <t>5T</t>
        </is>
      </c>
      <c r="E22" s="28" t="inlineStr">
        <is>
          <t>Tài xế 19</t>
        </is>
      </c>
      <c r="F22" s="28" t="inlineStr">
        <is>
          <t>Kho/Nhà máy khách hàng Mỹ Hào</t>
        </is>
      </c>
      <c r="G22" s="28" t="inlineStr">
        <is>
          <t>Đông Nam Hà Nội</t>
        </is>
      </c>
      <c r="H22" s="29" t="n">
        <v>5000</v>
      </c>
      <c r="I22" s="29" t="n">
        <v>30</v>
      </c>
      <c r="J22" s="28" t="inlineStr">
        <is>
          <t>Đang chạy</t>
        </is>
      </c>
    </row>
    <row r="23">
      <c r="A23" s="27" t="n">
        <v>20</v>
      </c>
      <c r="B23" s="28" t="inlineStr">
        <is>
          <t>V020</t>
        </is>
      </c>
      <c r="C23" s="28" t="inlineStr">
        <is>
          <t>31F-52740</t>
        </is>
      </c>
      <c r="D23" s="28" t="inlineStr">
        <is>
          <t>5T</t>
        </is>
      </c>
      <c r="E23" s="28" t="inlineStr">
        <is>
          <t>Tài xế 20</t>
        </is>
      </c>
      <c r="F23" s="28" t="inlineStr">
        <is>
          <t>Kho Hải Phòng - Đình Vũ</t>
        </is>
      </c>
      <c r="G23" s="28" t="inlineStr">
        <is>
          <t>Tây Bắc</t>
        </is>
      </c>
      <c r="H23" s="29" t="n">
        <v>5000</v>
      </c>
      <c r="I23" s="29" t="n">
        <v>30</v>
      </c>
      <c r="J23" s="28" t="inlineStr">
        <is>
          <t>Standby/Sẵn sàng</t>
        </is>
      </c>
    </row>
    <row r="24">
      <c r="A24" s="27" t="n">
        <v>21</v>
      </c>
      <c r="B24" s="28" t="inlineStr">
        <is>
          <t>V021</t>
        </is>
      </c>
      <c r="C24" s="28" t="inlineStr">
        <is>
          <t>34C-52877</t>
        </is>
      </c>
      <c r="D24" s="28" t="inlineStr">
        <is>
          <t>5T</t>
        </is>
      </c>
      <c r="E24" s="28" t="inlineStr">
        <is>
          <t>Tài xế 21</t>
        </is>
      </c>
      <c r="F24" s="28" t="inlineStr">
        <is>
          <t>Kho DC Thanh Hóa - Quảng Xương</t>
        </is>
      </c>
      <c r="G24" s="28" t="inlineStr">
        <is>
          <t>Bắc Trung Bộ</t>
        </is>
      </c>
      <c r="H24" s="29" t="n">
        <v>5000</v>
      </c>
      <c r="I24" s="29" t="n">
        <v>30</v>
      </c>
      <c r="J24" s="28" t="inlineStr">
        <is>
          <t>Standby/Sẵn sàng</t>
        </is>
      </c>
    </row>
    <row r="25">
      <c r="A25" s="27" t="n">
        <v>22</v>
      </c>
      <c r="B25" s="28" t="inlineStr">
        <is>
          <t>V022</t>
        </is>
      </c>
      <c r="C25" s="28" t="inlineStr">
        <is>
          <t>36C-53014</t>
        </is>
      </c>
      <c r="D25" s="28" t="inlineStr">
        <is>
          <t>5T</t>
        </is>
      </c>
      <c r="E25" s="28" t="inlineStr">
        <is>
          <t>Tài xế 22</t>
        </is>
      </c>
      <c r="F25" s="28" t="inlineStr">
        <is>
          <t>Kho DC Vinh - KCN Bắc Vinh</t>
        </is>
      </c>
      <c r="G25" s="28" t="inlineStr">
        <is>
          <t>Đông Nam Hà Nội</t>
        </is>
      </c>
      <c r="H25" s="29" t="n">
        <v>5000</v>
      </c>
      <c r="I25" s="29" t="n">
        <v>30</v>
      </c>
      <c r="J25" s="28" t="inlineStr">
        <is>
          <t>Standby/Sẵn sàng</t>
        </is>
      </c>
    </row>
    <row r="26">
      <c r="A26" s="27" t="n">
        <v>23</v>
      </c>
      <c r="B26" s="28" t="inlineStr">
        <is>
          <t>V023</t>
        </is>
      </c>
      <c r="C26" s="28" t="inlineStr">
        <is>
          <t>17C-53151</t>
        </is>
      </c>
      <c r="D26" s="28" t="inlineStr">
        <is>
          <t>5T</t>
        </is>
      </c>
      <c r="E26" s="28" t="inlineStr">
        <is>
          <t>Tài xế 23</t>
        </is>
      </c>
      <c r="F26" s="28" t="inlineStr">
        <is>
          <t>HPL Depot Long Biên - 20 Thạch Bàn</t>
        </is>
      </c>
      <c r="G26" s="28" t="inlineStr">
        <is>
          <t>Bắc Trung Bộ</t>
        </is>
      </c>
      <c r="H26" s="29" t="n">
        <v>5000</v>
      </c>
      <c r="I26" s="29" t="n">
        <v>30</v>
      </c>
      <c r="J26" s="28" t="inlineStr">
        <is>
          <t>Đang chạy</t>
        </is>
      </c>
    </row>
    <row r="27">
      <c r="A27" s="27" t="n">
        <v>24</v>
      </c>
      <c r="B27" s="28" t="inlineStr">
        <is>
          <t>V024</t>
        </is>
      </c>
      <c r="C27" s="28" t="inlineStr">
        <is>
          <t>29C-53288</t>
        </is>
      </c>
      <c r="D27" s="28" t="inlineStr">
        <is>
          <t>5T</t>
        </is>
      </c>
      <c r="E27" s="28" t="inlineStr">
        <is>
          <t>Tài xế 24</t>
        </is>
      </c>
      <c r="F27" s="28" t="inlineStr">
        <is>
          <t>Kho Linfox KCN VSIP Bắc Ninh</t>
        </is>
      </c>
      <c r="G27" s="28" t="inlineStr">
        <is>
          <t>Bắc Trung Bộ</t>
        </is>
      </c>
      <c r="H27" s="29" t="n">
        <v>5000</v>
      </c>
      <c r="I27" s="29" t="n">
        <v>30</v>
      </c>
      <c r="J27" s="28" t="inlineStr">
        <is>
          <t>Đang chạy</t>
        </is>
      </c>
    </row>
    <row r="28">
      <c r="A28" s="27" t="n">
        <v>25</v>
      </c>
      <c r="B28" s="28" t="inlineStr">
        <is>
          <t>V025</t>
        </is>
      </c>
      <c r="C28" s="28" t="inlineStr">
        <is>
          <t>30F-53425</t>
        </is>
      </c>
      <c r="D28" s="28" t="inlineStr">
        <is>
          <t>5T</t>
        </is>
      </c>
      <c r="E28" s="28" t="inlineStr">
        <is>
          <t>Tài xế 25</t>
        </is>
      </c>
      <c r="F28" s="28" t="inlineStr">
        <is>
          <t>Kho/Nhà máy khách hàng Mỹ Hào</t>
        </is>
      </c>
      <c r="G28" s="28" t="inlineStr">
        <is>
          <t>Đông Nam Hà Nội</t>
        </is>
      </c>
      <c r="H28" s="29" t="n">
        <v>5000</v>
      </c>
      <c r="I28" s="29" t="n">
        <v>30</v>
      </c>
      <c r="J28" s="28" t="inlineStr">
        <is>
          <t>Standby/Sẵn sàng</t>
        </is>
      </c>
    </row>
    <row r="29">
      <c r="A29" s="27" t="n">
        <v>26</v>
      </c>
      <c r="B29" s="28" t="inlineStr">
        <is>
          <t>V026</t>
        </is>
      </c>
      <c r="C29" s="28" t="inlineStr">
        <is>
          <t>31F-53562</t>
        </is>
      </c>
      <c r="D29" s="28" t="inlineStr">
        <is>
          <t>5T</t>
        </is>
      </c>
      <c r="E29" s="28" t="inlineStr">
        <is>
          <t>Tài xế 26</t>
        </is>
      </c>
      <c r="F29" s="28" t="inlineStr">
        <is>
          <t>Kho Hải Phòng - Đình Vũ</t>
        </is>
      </c>
      <c r="G29" s="28" t="inlineStr">
        <is>
          <t>Đông Bắc</t>
        </is>
      </c>
      <c r="H29" s="29" t="n">
        <v>5000</v>
      </c>
      <c r="I29" s="29" t="n">
        <v>30</v>
      </c>
      <c r="J29" s="28" t="inlineStr">
        <is>
          <t>Đang chạy</t>
        </is>
      </c>
    </row>
    <row r="30">
      <c r="A30" s="27" t="n">
        <v>27</v>
      </c>
      <c r="B30" s="28" t="inlineStr">
        <is>
          <t>V027</t>
        </is>
      </c>
      <c r="C30" s="28" t="inlineStr">
        <is>
          <t>34C-53699</t>
        </is>
      </c>
      <c r="D30" s="28" t="inlineStr">
        <is>
          <t>5T</t>
        </is>
      </c>
      <c r="E30" s="28" t="inlineStr">
        <is>
          <t>Tài xế 27</t>
        </is>
      </c>
      <c r="F30" s="28" t="inlineStr">
        <is>
          <t>Kho DC Thanh Hóa - Quảng Xương</t>
        </is>
      </c>
      <c r="G30" s="28" t="inlineStr">
        <is>
          <t>Đông Nam Hà Nội</t>
        </is>
      </c>
      <c r="H30" s="29" t="n">
        <v>5000</v>
      </c>
      <c r="I30" s="29" t="n">
        <v>30</v>
      </c>
      <c r="J30" s="28" t="inlineStr">
        <is>
          <t>Standby/Sẵn sàng</t>
        </is>
      </c>
    </row>
    <row r="31">
      <c r="A31" s="27" t="n">
        <v>28</v>
      </c>
      <c r="B31" s="28" t="inlineStr">
        <is>
          <t>V028</t>
        </is>
      </c>
      <c r="C31" s="28" t="inlineStr">
        <is>
          <t>36C-53836</t>
        </is>
      </c>
      <c r="D31" s="28" t="inlineStr">
        <is>
          <t>5T</t>
        </is>
      </c>
      <c r="E31" s="28" t="inlineStr">
        <is>
          <t>Tài xế 28</t>
        </is>
      </c>
      <c r="F31" s="28" t="inlineStr">
        <is>
          <t>Kho DC Vinh - KCN Bắc Vinh</t>
        </is>
      </c>
      <c r="G31" s="28" t="inlineStr">
        <is>
          <t>Đông Bắc</t>
        </is>
      </c>
      <c r="H31" s="29" t="n">
        <v>5000</v>
      </c>
      <c r="I31" s="29" t="n">
        <v>30</v>
      </c>
      <c r="J31" s="28" t="inlineStr">
        <is>
          <t>Standby/Sẵn sàng</t>
        </is>
      </c>
    </row>
    <row r="32">
      <c r="A32" s="27" t="n">
        <v>29</v>
      </c>
      <c r="B32" s="28" t="inlineStr">
        <is>
          <t>V029</t>
        </is>
      </c>
      <c r="C32" s="28" t="inlineStr">
        <is>
          <t>17C-53973</t>
        </is>
      </c>
      <c r="D32" s="28" t="inlineStr">
        <is>
          <t>8T</t>
        </is>
      </c>
      <c r="E32" s="28" t="inlineStr">
        <is>
          <t>Tài xế 29</t>
        </is>
      </c>
      <c r="F32" s="28" t="inlineStr">
        <is>
          <t>HPL Depot Long Biên - 20 Thạch Bàn</t>
        </is>
      </c>
      <c r="G32" s="28" t="inlineStr">
        <is>
          <t>Bắc Trung Bộ</t>
        </is>
      </c>
      <c r="H32" s="29" t="n">
        <v>8000</v>
      </c>
      <c r="I32" s="29" t="n">
        <v>45</v>
      </c>
      <c r="J32" s="28" t="inlineStr">
        <is>
          <t>Đang chạy</t>
        </is>
      </c>
    </row>
    <row r="33">
      <c r="A33" s="27" t="n">
        <v>30</v>
      </c>
      <c r="B33" s="28" t="inlineStr">
        <is>
          <t>V030</t>
        </is>
      </c>
      <c r="C33" s="28" t="inlineStr">
        <is>
          <t>29C-54110</t>
        </is>
      </c>
      <c r="D33" s="28" t="inlineStr">
        <is>
          <t>8T</t>
        </is>
      </c>
      <c r="E33" s="28" t="inlineStr">
        <is>
          <t>Tài xế 30</t>
        </is>
      </c>
      <c r="F33" s="28" t="inlineStr">
        <is>
          <t>Kho Linfox KCN VSIP Bắc Ninh</t>
        </is>
      </c>
      <c r="G33" s="28" t="inlineStr">
        <is>
          <t>Đông Bắc</t>
        </is>
      </c>
      <c r="H33" s="29" t="n">
        <v>8000</v>
      </c>
      <c r="I33" s="29" t="n">
        <v>45</v>
      </c>
      <c r="J33" s="28" t="inlineStr">
        <is>
          <t>Đang chạy</t>
        </is>
      </c>
    </row>
    <row r="34">
      <c r="A34" s="27" t="n">
        <v>31</v>
      </c>
      <c r="B34" s="28" t="inlineStr">
        <is>
          <t>V031</t>
        </is>
      </c>
      <c r="C34" s="28" t="inlineStr">
        <is>
          <t>30F-54247</t>
        </is>
      </c>
      <c r="D34" s="28" t="inlineStr">
        <is>
          <t>8T</t>
        </is>
      </c>
      <c r="E34" s="28" t="inlineStr">
        <is>
          <t>Tài xế 31</t>
        </is>
      </c>
      <c r="F34" s="28" t="inlineStr">
        <is>
          <t>Kho/Nhà máy khách hàng Mỹ Hào</t>
        </is>
      </c>
      <c r="G34" s="28" t="inlineStr">
        <is>
          <t>Tây Bắc</t>
        </is>
      </c>
      <c r="H34" s="29" t="n">
        <v>8000</v>
      </c>
      <c r="I34" s="29" t="n">
        <v>45</v>
      </c>
      <c r="J34" s="28" t="inlineStr">
        <is>
          <t>Standby/Sẵn sàng</t>
        </is>
      </c>
    </row>
    <row r="35">
      <c r="A35" s="27" t="n">
        <v>32</v>
      </c>
      <c r="B35" s="28" t="inlineStr">
        <is>
          <t>V032</t>
        </is>
      </c>
      <c r="C35" s="28" t="inlineStr">
        <is>
          <t>31F-54384</t>
        </is>
      </c>
      <c r="D35" s="28" t="inlineStr">
        <is>
          <t>8T</t>
        </is>
      </c>
      <c r="E35" s="28" t="inlineStr">
        <is>
          <t>Tài xế 32</t>
        </is>
      </c>
      <c r="F35" s="28" t="inlineStr">
        <is>
          <t>Kho Hải Phòng - Đình Vũ</t>
        </is>
      </c>
      <c r="G35" s="28" t="inlineStr">
        <is>
          <t>Tây Bắc</t>
        </is>
      </c>
      <c r="H35" s="29" t="n">
        <v>8000</v>
      </c>
      <c r="I35" s="29" t="n">
        <v>45</v>
      </c>
      <c r="J35" s="28" t="inlineStr">
        <is>
          <t>Standby/Sẵn sàng</t>
        </is>
      </c>
    </row>
    <row r="36">
      <c r="A36" s="27" t="n">
        <v>33</v>
      </c>
      <c r="B36" s="28" t="inlineStr">
        <is>
          <t>V033</t>
        </is>
      </c>
      <c r="C36" s="28" t="inlineStr">
        <is>
          <t>34C-54521</t>
        </is>
      </c>
      <c r="D36" s="28" t="inlineStr">
        <is>
          <t>8T</t>
        </is>
      </c>
      <c r="E36" s="28" t="inlineStr">
        <is>
          <t>Tài xế 33</t>
        </is>
      </c>
      <c r="F36" s="28" t="inlineStr">
        <is>
          <t>Kho DC Thanh Hóa - Quảng Xương</t>
        </is>
      </c>
      <c r="G36" s="28" t="inlineStr">
        <is>
          <t>Tây Bắc</t>
        </is>
      </c>
      <c r="H36" s="29" t="n">
        <v>8000</v>
      </c>
      <c r="I36" s="29" t="n">
        <v>45</v>
      </c>
      <c r="J36" s="28" t="inlineStr">
        <is>
          <t>Standby/Sẵn sàng</t>
        </is>
      </c>
    </row>
    <row r="37">
      <c r="A37" s="27" t="n">
        <v>34</v>
      </c>
      <c r="B37" s="28" t="inlineStr">
        <is>
          <t>V034</t>
        </is>
      </c>
      <c r="C37" s="28" t="inlineStr">
        <is>
          <t>36C-54658</t>
        </is>
      </c>
      <c r="D37" s="28" t="inlineStr">
        <is>
          <t>8T</t>
        </is>
      </c>
      <c r="E37" s="28" t="inlineStr">
        <is>
          <t>Tài xế 34</t>
        </is>
      </c>
      <c r="F37" s="28" t="inlineStr">
        <is>
          <t>Kho DC Vinh - KCN Bắc Vinh</t>
        </is>
      </c>
      <c r="G37" s="28" t="inlineStr">
        <is>
          <t>Đông Bắc</t>
        </is>
      </c>
      <c r="H37" s="29" t="n">
        <v>8000</v>
      </c>
      <c r="I37" s="29" t="n">
        <v>45</v>
      </c>
      <c r="J37" s="28" t="inlineStr">
        <is>
          <t>Standby/Sẵn sàng</t>
        </is>
      </c>
    </row>
    <row r="38">
      <c r="A38" s="27" t="n">
        <v>35</v>
      </c>
      <c r="B38" s="28" t="inlineStr">
        <is>
          <t>V035</t>
        </is>
      </c>
      <c r="C38" s="28" t="inlineStr">
        <is>
          <t>17C-54795</t>
        </is>
      </c>
      <c r="D38" s="28" t="inlineStr">
        <is>
          <t>3 chân</t>
        </is>
      </c>
      <c r="E38" s="28" t="inlineStr">
        <is>
          <t>Tài xế 35</t>
        </is>
      </c>
      <c r="F38" s="28" t="inlineStr">
        <is>
          <t>HPL Depot Long Biên - 20 Thạch Bàn</t>
        </is>
      </c>
      <c r="G38" s="28" t="inlineStr">
        <is>
          <t>Bắc Trung Bộ</t>
        </is>
      </c>
      <c r="H38" s="29" t="n">
        <v>15000</v>
      </c>
      <c r="I38" s="29" t="n">
        <v>70</v>
      </c>
      <c r="J38" s="28" t="inlineStr">
        <is>
          <t>Standby/Sẵn sàng</t>
        </is>
      </c>
    </row>
    <row r="39">
      <c r="A39" s="27" t="n">
        <v>36</v>
      </c>
      <c r="B39" s="28" t="inlineStr">
        <is>
          <t>V036</t>
        </is>
      </c>
      <c r="C39" s="28" t="inlineStr">
        <is>
          <t>29C-54932</t>
        </is>
      </c>
      <c r="D39" s="28" t="inlineStr">
        <is>
          <t>3 chân</t>
        </is>
      </c>
      <c r="E39" s="28" t="inlineStr">
        <is>
          <t>Tài xế 36</t>
        </is>
      </c>
      <c r="F39" s="28" t="inlineStr">
        <is>
          <t>Kho Linfox KCN VSIP Bắc Ninh</t>
        </is>
      </c>
      <c r="G39" s="28" t="inlineStr">
        <is>
          <t>Đông Bắc</t>
        </is>
      </c>
      <c r="H39" s="29" t="n">
        <v>15000</v>
      </c>
      <c r="I39" s="29" t="n">
        <v>70</v>
      </c>
      <c r="J39" s="28" t="inlineStr">
        <is>
          <t>Standby/Sẵn sàng</t>
        </is>
      </c>
    </row>
    <row r="40">
      <c r="A40" s="27" t="n">
        <v>37</v>
      </c>
      <c r="B40" s="28" t="inlineStr">
        <is>
          <t>V037</t>
        </is>
      </c>
      <c r="C40" s="28" t="inlineStr">
        <is>
          <t>30F-55069</t>
        </is>
      </c>
      <c r="D40" s="28" t="inlineStr">
        <is>
          <t>3 chân</t>
        </is>
      </c>
      <c r="E40" s="28" t="inlineStr">
        <is>
          <t>Tài xế 37</t>
        </is>
      </c>
      <c r="F40" s="28" t="inlineStr">
        <is>
          <t>Kho/Nhà máy khách hàng Mỹ Hào</t>
        </is>
      </c>
      <c r="G40" s="28" t="inlineStr">
        <is>
          <t>Đông Bắc</t>
        </is>
      </c>
      <c r="H40" s="29" t="n">
        <v>15000</v>
      </c>
      <c r="I40" s="29" t="n">
        <v>70</v>
      </c>
      <c r="J40" s="28" t="inlineStr">
        <is>
          <t>Standby/Sẵn sàng</t>
        </is>
      </c>
    </row>
    <row r="41">
      <c r="A41" s="27" t="n">
        <v>38</v>
      </c>
      <c r="B41" s="28" t="inlineStr">
        <is>
          <t>V038</t>
        </is>
      </c>
      <c r="C41" s="28" t="inlineStr">
        <is>
          <t>31F-55206</t>
        </is>
      </c>
      <c r="D41" s="28" t="inlineStr">
        <is>
          <t>3 chân</t>
        </is>
      </c>
      <c r="E41" s="28" t="inlineStr">
        <is>
          <t>Tài xế 38</t>
        </is>
      </c>
      <c r="F41" s="28" t="inlineStr">
        <is>
          <t>Kho Hải Phòng - Đình Vũ</t>
        </is>
      </c>
      <c r="G41" s="28" t="inlineStr">
        <is>
          <t>Bắc Trung Bộ</t>
        </is>
      </c>
      <c r="H41" s="29" t="n">
        <v>15000</v>
      </c>
      <c r="I41" s="29" t="n">
        <v>70</v>
      </c>
      <c r="J41" s="28" t="inlineStr">
        <is>
          <t>Standby/Sẵn sàng</t>
        </is>
      </c>
    </row>
    <row r="42">
      <c r="A42" s="27" t="n">
        <v>39</v>
      </c>
      <c r="B42" s="28" t="inlineStr">
        <is>
          <t>V039</t>
        </is>
      </c>
      <c r="C42" s="28" t="inlineStr">
        <is>
          <t>34C-55343</t>
        </is>
      </c>
      <c r="D42" s="28" t="inlineStr">
        <is>
          <t>4 chân</t>
        </is>
      </c>
      <c r="E42" s="28" t="inlineStr">
        <is>
          <t>Tài xế 39</t>
        </is>
      </c>
      <c r="F42" s="28" t="inlineStr">
        <is>
          <t>Kho DC Thanh Hóa - Quảng Xương</t>
        </is>
      </c>
      <c r="G42" s="28" t="inlineStr">
        <is>
          <t>Đông Bắc</t>
        </is>
      </c>
      <c r="H42" s="29" t="n">
        <v>18000</v>
      </c>
      <c r="I42" s="29" t="n">
        <v>90</v>
      </c>
      <c r="J42" s="28" t="inlineStr">
        <is>
          <t>Đang chạy</t>
        </is>
      </c>
    </row>
    <row r="43">
      <c r="A43" s="27" t="n">
        <v>40</v>
      </c>
      <c r="B43" s="28" t="inlineStr">
        <is>
          <t>V040</t>
        </is>
      </c>
      <c r="C43" s="28" t="inlineStr">
        <is>
          <t>36C-55480</t>
        </is>
      </c>
      <c r="D43" s="28" t="inlineStr">
        <is>
          <t>4 chân</t>
        </is>
      </c>
      <c r="E43" s="28" t="inlineStr">
        <is>
          <t>Tài xế 40</t>
        </is>
      </c>
      <c r="F43" s="28" t="inlineStr">
        <is>
          <t>Kho DC Vinh - KCN Bắc Vinh</t>
        </is>
      </c>
      <c r="G43" s="28" t="inlineStr">
        <is>
          <t>Bắc Trung Bộ</t>
        </is>
      </c>
      <c r="H43" s="29" t="n">
        <v>18000</v>
      </c>
      <c r="I43" s="29" t="n">
        <v>90</v>
      </c>
      <c r="J43" s="28" t="inlineStr">
        <is>
          <t>Standby/Sẵn sàng</t>
        </is>
      </c>
    </row>
  </sheetData>
  <mergeCells count="2">
    <mergeCell ref="A1:J1"/>
    <mergeCell ref="A2:J2"/>
  </mergeCells>
  <conditionalFormatting sqref="J4:J43">
    <cfRule type="cellIs" priority="1" operator="equal" dxfId="3">
      <formula>"Standby/Sẵn sàng"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B3D91"/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2" customWidth="1" min="4" max="4"/>
    <col width="20" customWidth="1" min="5" max="5"/>
    <col width="20" customWidth="1" min="6" max="6"/>
    <col width="13" customWidth="1" min="7" max="7"/>
    <col width="11" customWidth="1" min="8" max="8"/>
    <col width="12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</cols>
  <sheetData>
    <row r="1" ht="24" customHeight="1">
      <c r="A1" s="24" t="inlineStr">
        <is>
          <t>CÔNG TY CỔ PHẦN TIẾP VẬN HÒA PHÁT — GHÉP CHUYẾN QUAY ĐẦU (BACKHAUL)</t>
        </is>
      </c>
    </row>
    <row r="2">
      <c r="A2" s="25" t="inlineStr">
        <is>
          <t>Đề xuất ghép chiều về · 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Xe</t>
        </is>
      </c>
      <c r="C3" s="26" t="inlineStr">
        <is>
          <t>Hành lang</t>
        </is>
      </c>
      <c r="D3" s="26" t="inlineStr">
        <is>
          <t>Đơn ghép</t>
        </is>
      </c>
      <c r="E3" s="26" t="inlineStr">
        <is>
          <t>Điểm lấy</t>
        </is>
      </c>
      <c r="F3" s="26" t="inlineStr">
        <is>
          <t>Điểm trả</t>
        </is>
      </c>
      <c r="G3" s="26" t="inlineStr">
        <is>
          <t>Đến điểm lấy (km)</t>
        </is>
      </c>
      <c r="H3" s="26" t="inlineStr">
        <is>
          <t>Km rỗng giảm</t>
        </is>
      </c>
      <c r="I3" s="26" t="inlineStr">
        <is>
          <t>Fill chiều về %</t>
        </is>
      </c>
      <c r="J3" s="26" t="inlineStr">
        <is>
          <t>Doanh thu thêm</t>
        </is>
      </c>
      <c r="K3" s="26" t="inlineStr">
        <is>
          <t>Chi phí thêm</t>
        </is>
      </c>
      <c r="L3" s="26" t="inlineStr">
        <is>
          <t>Lợi nhuận thêm</t>
        </is>
      </c>
      <c r="M3" s="26" t="inlineStr">
        <is>
          <t>Điểm phù hợp</t>
        </is>
      </c>
      <c r="N3" s="26" t="inlineStr">
        <is>
          <t>Quyết định</t>
        </is>
      </c>
    </row>
    <row r="4">
      <c r="A4" s="27" t="n">
        <v>1</v>
      </c>
      <c r="B4" s="28" t="inlineStr">
        <is>
          <t>V024</t>
        </is>
      </c>
      <c r="C4" s="28" t="inlineStr">
        <is>
          <t>Bắc Trung Bộ</t>
        </is>
      </c>
      <c r="D4" s="28" t="inlineStr">
        <is>
          <t>BK-HP-01</t>
        </is>
      </c>
      <c r="E4" s="28" t="inlineStr">
        <is>
          <t>KCN Đình Vũ - Hải Phòng</t>
        </is>
      </c>
      <c r="F4" s="28" t="inlineStr">
        <is>
          <t>HPL Depot Long Biên</t>
        </is>
      </c>
      <c r="G4" s="29" t="n">
        <v>4.2</v>
      </c>
      <c r="H4" s="29" t="n">
        <v>71</v>
      </c>
      <c r="I4" s="30" t="n">
        <v>19</v>
      </c>
      <c r="J4" s="31" t="n">
        <v>2200000</v>
      </c>
      <c r="K4" s="31" t="n">
        <v>1098778</v>
      </c>
      <c r="L4" s="31" t="n">
        <v>1669534</v>
      </c>
      <c r="M4" s="29" t="n">
        <v>86.7</v>
      </c>
      <c r="N4" s="28" t="inlineStr">
        <is>
          <t>Đề xuất ghép</t>
        </is>
      </c>
    </row>
    <row r="5">
      <c r="A5" s="27" t="n">
        <v>2</v>
      </c>
      <c r="B5" s="28" t="inlineStr">
        <is>
          <t>V039</t>
        </is>
      </c>
      <c r="C5" s="28" t="inlineStr">
        <is>
          <t>Đông Bắc</t>
        </is>
      </c>
      <c r="D5" s="28" t="inlineStr">
        <is>
          <t>3PL-HB-104</t>
        </is>
      </c>
      <c r="E5" s="28" t="inlineStr">
        <is>
          <t>Hoài Đức - Hà Nội</t>
        </is>
      </c>
      <c r="F5" s="28" t="inlineStr">
        <is>
          <t>KCN VSIP Bắc Ninh</t>
        </is>
      </c>
      <c r="G5" s="29" t="n">
        <v>0</v>
      </c>
      <c r="H5" s="29" t="n">
        <v>154.5</v>
      </c>
      <c r="I5" s="30" t="n">
        <v>5</v>
      </c>
      <c r="J5" s="31" t="n">
        <v>1600000</v>
      </c>
      <c r="K5" s="31" t="n">
        <v>3130659</v>
      </c>
      <c r="L5" s="31" t="n">
        <v>494496</v>
      </c>
      <c r="M5" s="29" t="n">
        <v>81.8</v>
      </c>
      <c r="N5" s="28" t="inlineStr">
        <is>
          <t>Đề xuất ghép</t>
        </is>
      </c>
    </row>
    <row r="6">
      <c r="A6" s="27" t="n">
        <v>3</v>
      </c>
      <c r="B6" s="28" t="inlineStr">
        <is>
          <t>V012</t>
        </is>
      </c>
      <c r="C6" s="28" t="inlineStr">
        <is>
          <t>Nội thành Hà Nội</t>
        </is>
      </c>
      <c r="D6" s="28" t="inlineStr">
        <is>
          <t>GY-002</t>
        </is>
      </c>
      <c r="E6" s="28" t="inlineStr">
        <is>
          <t>Trương Định - Hoàng Mai</t>
        </is>
      </c>
      <c r="F6" s="28" t="inlineStr">
        <is>
          <t>KCN VSIP Bắc Ninh</t>
        </is>
      </c>
      <c r="G6" s="29" t="n">
        <v>5.2</v>
      </c>
      <c r="H6" s="29" t="n">
        <v>0</v>
      </c>
      <c r="I6" s="30" t="n">
        <v>60</v>
      </c>
      <c r="J6" s="31" t="n">
        <v>1480000</v>
      </c>
      <c r="K6" s="31" t="n">
        <v>273355</v>
      </c>
      <c r="L6" s="31" t="n">
        <v>1206645</v>
      </c>
      <c r="M6" s="29" t="n">
        <v>79.8</v>
      </c>
      <c r="N6" s="28" t="inlineStr">
        <is>
          <t>Đề xuất ghép</t>
        </is>
      </c>
    </row>
    <row r="7">
      <c r="A7" s="27" t="n">
        <v>4</v>
      </c>
      <c r="B7" s="28" t="inlineStr">
        <is>
          <t>V030</t>
        </is>
      </c>
      <c r="C7" s="28" t="inlineStr">
        <is>
          <t>Đông Bắc</t>
        </is>
      </c>
      <c r="D7" s="28" t="inlineStr">
        <is>
          <t>3PL-HD-102</t>
        </is>
      </c>
      <c r="E7" s="28" t="inlineStr">
        <is>
          <t>Big C Hải Dương</t>
        </is>
      </c>
      <c r="F7" s="28" t="inlineStr">
        <is>
          <t>Kho Mỹ Hào Hưng Yên</t>
        </is>
      </c>
      <c r="G7" s="29" t="n">
        <v>0</v>
      </c>
      <c r="H7" s="29" t="n">
        <v>17.6</v>
      </c>
      <c r="I7" s="30" t="n">
        <v>7.5</v>
      </c>
      <c r="J7" s="31" t="n">
        <v>1350000</v>
      </c>
      <c r="K7" s="31" t="n">
        <v>610627</v>
      </c>
      <c r="L7" s="31" t="n">
        <v>911952</v>
      </c>
      <c r="M7" s="29" t="n">
        <v>75.7</v>
      </c>
      <c r="N7" s="28" t="inlineStr">
        <is>
          <t>Đề xuất ghép</t>
        </is>
      </c>
    </row>
    <row r="8">
      <c r="A8" s="27" t="n">
        <v>5</v>
      </c>
      <c r="B8" s="28" t="inlineStr">
        <is>
          <t>V019</t>
        </is>
      </c>
      <c r="C8" s="28" t="inlineStr">
        <is>
          <t>Đông Nam Hà Nội</t>
        </is>
      </c>
      <c r="D8" s="28" t="inlineStr">
        <is>
          <t>BK-HD-02</t>
        </is>
      </c>
      <c r="E8" s="28" t="inlineStr">
        <is>
          <t>KCN Đại An - Hải Dương</t>
        </is>
      </c>
      <c r="F8" s="28" t="inlineStr">
        <is>
          <t>Kho Linfox VSIP Bắc Ninh</t>
        </is>
      </c>
      <c r="G8" s="29" t="n">
        <v>2.8</v>
      </c>
      <c r="H8" s="29" t="n">
        <v>3.7</v>
      </c>
      <c r="I8" s="30" t="n">
        <v>16</v>
      </c>
      <c r="J8" s="31" t="n">
        <v>1500000</v>
      </c>
      <c r="K8" s="31" t="n">
        <v>650463</v>
      </c>
      <c r="L8" s="31" t="n">
        <v>879153</v>
      </c>
      <c r="M8" s="29" t="n">
        <v>73.09999999999999</v>
      </c>
      <c r="N8" s="28" t="inlineStr">
        <is>
          <t>Đề xuất ghép</t>
        </is>
      </c>
    </row>
    <row r="9">
      <c r="A9" s="27" t="n">
        <v>6</v>
      </c>
      <c r="B9" s="28" t="inlineStr">
        <is>
          <t>V029</t>
        </is>
      </c>
      <c r="C9" s="28" t="inlineStr">
        <is>
          <t>Bắc Trung Bộ</t>
        </is>
      </c>
      <c r="D9" s="28" t="inlineStr">
        <is>
          <t>3PL-QV-101</t>
        </is>
      </c>
      <c r="E9" s="28" t="inlineStr">
        <is>
          <t>KCN Quế Võ - Bắc Ninh</t>
        </is>
      </c>
      <c r="F9" s="28" t="inlineStr">
        <is>
          <t>HPL Depot Long Biên</t>
        </is>
      </c>
      <c r="G9" s="29" t="n">
        <v>1.8</v>
      </c>
      <c r="H9" s="29" t="n">
        <v>2.8</v>
      </c>
      <c r="I9" s="30" t="n">
        <v>8.800000000000001</v>
      </c>
      <c r="J9" s="31" t="n">
        <v>1450000</v>
      </c>
      <c r="K9" s="31" t="n">
        <v>388681</v>
      </c>
      <c r="L9" s="31" t="n">
        <v>1088775</v>
      </c>
      <c r="M9" s="29" t="n">
        <v>69.90000000000001</v>
      </c>
      <c r="N9" s="28" t="inlineStr">
        <is>
          <t>Đề xuất ghép</t>
        </is>
      </c>
    </row>
    <row r="10">
      <c r="A10" s="27" t="n">
        <v>7</v>
      </c>
      <c r="B10" s="28" t="inlineStr">
        <is>
          <t>V018</t>
        </is>
      </c>
      <c r="C10" s="28" t="inlineStr">
        <is>
          <t>Nội thành Hà Nội</t>
        </is>
      </c>
      <c r="D10" s="28" t="inlineStr">
        <is>
          <t>GY-001</t>
        </is>
      </c>
      <c r="E10" s="28" t="inlineStr">
        <is>
          <t>Thái Dương - Thanh Trì</t>
        </is>
      </c>
      <c r="F10" s="28" t="inlineStr">
        <is>
          <t>HPL Depot Long Biên</t>
        </is>
      </c>
      <c r="G10" s="29" t="n">
        <v>21.5</v>
      </c>
      <c r="H10" s="29" t="n">
        <v>0</v>
      </c>
      <c r="I10" s="30" t="n">
        <v>64</v>
      </c>
      <c r="J10" s="31" t="n">
        <v>1550000</v>
      </c>
      <c r="K10" s="31" t="n">
        <v>233813</v>
      </c>
      <c r="L10" s="31" t="n">
        <v>1316187</v>
      </c>
      <c r="M10" s="29" t="n">
        <v>63.5</v>
      </c>
      <c r="N10" s="28" t="inlineStr">
        <is>
          <t>Đề xuất ghép</t>
        </is>
      </c>
    </row>
    <row r="11">
      <c r="A11" s="27" t="n">
        <v>8</v>
      </c>
      <c r="B11" s="28" t="inlineStr">
        <is>
          <t>V008</t>
        </is>
      </c>
      <c r="C11" s="28" t="inlineStr">
        <is>
          <t>Nội thành Hà Nội</t>
        </is>
      </c>
      <c r="D11" s="28" t="inlineStr">
        <is>
          <t>BK-HY-03</t>
        </is>
      </c>
      <c r="E11" s="28" t="inlineStr">
        <is>
          <t>Nhà máy Mỹ Hào - Hưng Yên</t>
        </is>
      </c>
      <c r="F11" s="28" t="inlineStr">
        <is>
          <t>HPL Depot Long Biên</t>
        </is>
      </c>
      <c r="G11" s="29" t="n">
        <v>27.8</v>
      </c>
      <c r="H11" s="29" t="n">
        <v>0</v>
      </c>
      <c r="I11" s="30" t="n">
        <v>80</v>
      </c>
      <c r="J11" s="31" t="n">
        <v>1700000</v>
      </c>
      <c r="K11" s="31" t="n">
        <v>433348</v>
      </c>
      <c r="L11" s="31" t="n">
        <v>1266652</v>
      </c>
      <c r="M11" s="29" t="n">
        <v>57.2</v>
      </c>
      <c r="N11" s="28" t="inlineStr">
        <is>
          <t>Cân nhắc</t>
        </is>
      </c>
    </row>
  </sheetData>
  <mergeCells count="2">
    <mergeCell ref="A2:N2"/>
    <mergeCell ref="A1:N1"/>
  </mergeCells>
  <conditionalFormatting sqref="L4:L11">
    <cfRule type="dataBar" priority="1">
      <dataBar>
        <cfvo type="min"/>
        <cfvo type="max"/>
        <color rgb="001B7A2F"/>
      </dataBar>
    </cfRule>
  </conditionalFormatting>
  <conditionalFormatting sqref="H4:H11">
    <cfRule type="dataBar" priority="2">
      <dataBar>
        <cfvo type="min"/>
        <cfvo type="max"/>
        <color rgb="001565C0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3D91"/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  <col width="9" customWidth="1" min="14" max="14"/>
  </cols>
  <sheetData>
    <row r="1" ht="24" customHeight="1">
      <c r="A1" s="24" t="inlineStr">
        <is>
          <t>CÔNG TY CỔ PHẦN TIẾP VẬN HÒA PHÁT — BÁO CÁO TÀI CHÍNH — LỢI NHUẬN KỲ VỌNG (P&amp;L)</t>
        </is>
      </c>
    </row>
    <row r="2">
      <c r="A2" s="25" t="inlineStr">
        <is>
          <t>Biên kế hoạch: 19.3% · Sau xử lý sự cố: 19.3% · Giá nhiên liệu: 30.020đ/lít (Giá dự phòng (cấu hình hệ thống)) · 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Mã xe</t>
        </is>
      </c>
      <c r="C3" s="26" t="inlineStr">
        <is>
          <t>Loại xe</t>
        </is>
      </c>
      <c r="D3" s="26" t="inlineStr">
        <is>
          <t>Doanh thu</t>
        </is>
      </c>
      <c r="E3" s="26" t="inlineStr">
        <is>
          <t>Nhiên liệu</t>
        </is>
      </c>
      <c r="F3" s="26" t="inlineStr">
        <is>
          <t>Cầu đường</t>
        </is>
      </c>
      <c r="G3" s="26" t="inlineStr">
        <is>
          <t>Tài xế</t>
        </is>
      </c>
      <c r="H3" s="26" t="inlineStr">
        <is>
          <t>Chi phí xe</t>
        </is>
      </c>
      <c r="I3" s="26" t="inlineStr">
        <is>
          <t>Bốc xếp</t>
        </is>
      </c>
      <c r="J3" s="26" t="inlineStr">
        <is>
          <t>Chạy rỗng</t>
        </is>
      </c>
      <c r="K3" s="26" t="inlineStr">
        <is>
          <t>Quản lý</t>
        </is>
      </c>
      <c r="L3" s="26" t="inlineStr">
        <is>
          <t>Tổng chi phí</t>
        </is>
      </c>
      <c r="M3" s="26" t="inlineStr">
        <is>
          <t>Lợi nhuận</t>
        </is>
      </c>
      <c r="N3" s="26" t="inlineStr">
        <is>
          <t>Biên %</t>
        </is>
      </c>
    </row>
    <row r="4">
      <c r="A4" s="27" t="n">
        <v>1</v>
      </c>
      <c r="B4" s="28" t="inlineStr">
        <is>
          <t>V024</t>
        </is>
      </c>
      <c r="C4" s="28" t="inlineStr">
        <is>
          <t>5T</t>
        </is>
      </c>
      <c r="D4" s="31" t="n">
        <v>3620000</v>
      </c>
      <c r="E4" s="31" t="n">
        <v>61421</v>
      </c>
      <c r="F4" s="31" t="n">
        <v>13020</v>
      </c>
      <c r="G4" s="31" t="n">
        <v>380000</v>
      </c>
      <c r="H4" s="31" t="n">
        <v>57900</v>
      </c>
      <c r="I4" s="31" t="n">
        <v>50000</v>
      </c>
      <c r="J4" s="31" t="n">
        <v>568312</v>
      </c>
      <c r="K4" s="31" t="n">
        <v>289600</v>
      </c>
      <c r="L4" s="31" t="n">
        <v>1420253</v>
      </c>
      <c r="M4" s="31" t="n">
        <v>2199747</v>
      </c>
      <c r="N4" s="30" t="n">
        <v>60.8</v>
      </c>
    </row>
    <row r="5">
      <c r="A5" s="27" t="n">
        <v>2</v>
      </c>
      <c r="B5" s="28" t="inlineStr">
        <is>
          <t>V030</t>
        </is>
      </c>
      <c r="C5" s="28" t="inlineStr">
        <is>
          <t>8T</t>
        </is>
      </c>
      <c r="D5" s="31" t="n">
        <v>2510000</v>
      </c>
      <c r="E5" s="31" t="n">
        <v>283269</v>
      </c>
      <c r="F5" s="31" t="n">
        <v>47180</v>
      </c>
      <c r="G5" s="31" t="n">
        <v>380000</v>
      </c>
      <c r="H5" s="31" t="n">
        <v>131100</v>
      </c>
      <c r="I5" s="31" t="n">
        <v>50000</v>
      </c>
      <c r="J5" s="31" t="n">
        <v>172579</v>
      </c>
      <c r="K5" s="31" t="n">
        <v>200800</v>
      </c>
      <c r="L5" s="31" t="n">
        <v>1264927</v>
      </c>
      <c r="M5" s="31" t="n">
        <v>1245073</v>
      </c>
      <c r="N5" s="30" t="n">
        <v>49.6</v>
      </c>
    </row>
    <row r="6">
      <c r="A6" s="27" t="n">
        <v>3</v>
      </c>
      <c r="B6" s="28" t="inlineStr">
        <is>
          <t>V012</t>
        </is>
      </c>
      <c r="C6" s="28" t="inlineStr">
        <is>
          <t>1.25T</t>
        </is>
      </c>
      <c r="D6" s="31" t="n">
        <v>840000</v>
      </c>
      <c r="E6" s="31" t="n">
        <v>48993</v>
      </c>
      <c r="F6" s="31" t="n">
        <v>0</v>
      </c>
      <c r="G6" s="31" t="n">
        <v>380000</v>
      </c>
      <c r="H6" s="31" t="n">
        <v>70800</v>
      </c>
      <c r="I6" s="31" t="n">
        <v>50000</v>
      </c>
      <c r="J6" s="31" t="n">
        <v>0</v>
      </c>
      <c r="K6" s="31" t="n">
        <v>67200</v>
      </c>
      <c r="L6" s="31" t="n">
        <v>616993</v>
      </c>
      <c r="M6" s="31" t="n">
        <v>223007</v>
      </c>
      <c r="N6" s="30" t="n">
        <v>26.5</v>
      </c>
    </row>
    <row r="7">
      <c r="A7" s="27" t="n">
        <v>4</v>
      </c>
      <c r="B7" s="28" t="inlineStr">
        <is>
          <t>V002</t>
        </is>
      </c>
      <c r="C7" s="28" t="inlineStr">
        <is>
          <t>5 tạ</t>
        </is>
      </c>
      <c r="D7" s="31" t="n">
        <v>670000</v>
      </c>
      <c r="E7" s="31" t="n">
        <v>23235</v>
      </c>
      <c r="F7" s="31" t="n">
        <v>0</v>
      </c>
      <c r="G7" s="31" t="n">
        <v>380000</v>
      </c>
      <c r="H7" s="31" t="n">
        <v>55800</v>
      </c>
      <c r="I7" s="31" t="n">
        <v>50000</v>
      </c>
      <c r="J7" s="31" t="n">
        <v>820</v>
      </c>
      <c r="K7" s="31" t="n">
        <v>53600</v>
      </c>
      <c r="L7" s="31" t="n">
        <v>563456</v>
      </c>
      <c r="M7" s="31" t="n">
        <v>106544</v>
      </c>
      <c r="N7" s="30" t="n">
        <v>15.9</v>
      </c>
    </row>
    <row r="8">
      <c r="A8" s="27" t="n">
        <v>5</v>
      </c>
      <c r="B8" s="28" t="inlineStr">
        <is>
          <t>V026</t>
        </is>
      </c>
      <c r="C8" s="28" t="inlineStr">
        <is>
          <t>5T</t>
        </is>
      </c>
      <c r="D8" s="31" t="n">
        <v>3610000</v>
      </c>
      <c r="E8" s="31" t="n">
        <v>1580433</v>
      </c>
      <c r="F8" s="31" t="n">
        <v>335020</v>
      </c>
      <c r="G8" s="31" t="n">
        <v>380000</v>
      </c>
      <c r="H8" s="31" t="n">
        <v>747900</v>
      </c>
      <c r="I8" s="31" t="n">
        <v>150000</v>
      </c>
      <c r="J8" s="31" t="n">
        <v>0</v>
      </c>
      <c r="K8" s="31" t="n">
        <v>288800</v>
      </c>
      <c r="L8" s="31" t="n">
        <v>3482153</v>
      </c>
      <c r="M8" s="31" t="n">
        <v>127847</v>
      </c>
      <c r="N8" s="30" t="n">
        <v>3.5</v>
      </c>
    </row>
    <row r="9">
      <c r="A9" s="27" t="n">
        <v>6</v>
      </c>
      <c r="B9" s="28" t="inlineStr">
        <is>
          <t>V039</t>
        </is>
      </c>
      <c r="C9" s="28" t="inlineStr">
        <is>
          <t>4 chân</t>
        </is>
      </c>
      <c r="D9" s="31" t="n">
        <v>2200000</v>
      </c>
      <c r="E9" s="31" t="n">
        <v>887451</v>
      </c>
      <c r="F9" s="31" t="n">
        <v>106120</v>
      </c>
      <c r="G9" s="31" t="n">
        <v>380000</v>
      </c>
      <c r="H9" s="31" t="n">
        <v>257400</v>
      </c>
      <c r="I9" s="31" t="n">
        <v>50000</v>
      </c>
      <c r="J9" s="31" t="n">
        <v>2025155</v>
      </c>
      <c r="K9" s="31" t="n">
        <v>176000</v>
      </c>
      <c r="L9" s="31" t="n">
        <v>3882126</v>
      </c>
      <c r="M9" s="31" t="n">
        <v>-1682126</v>
      </c>
      <c r="N9" s="30" t="n">
        <v>-76.5</v>
      </c>
    </row>
    <row r="10">
      <c r="A10" s="27" t="n">
        <v>7</v>
      </c>
      <c r="B10" s="28" t="inlineStr">
        <is>
          <t>V018</t>
        </is>
      </c>
      <c r="C10" s="28" t="inlineStr">
        <is>
          <t>1.25T</t>
        </is>
      </c>
      <c r="D10" s="31" t="n">
        <v>910000</v>
      </c>
      <c r="E10" s="31" t="n">
        <v>66284</v>
      </c>
      <c r="F10" s="31" t="n">
        <v>0</v>
      </c>
      <c r="G10" s="31" t="n">
        <v>380000</v>
      </c>
      <c r="H10" s="31" t="n">
        <v>85200</v>
      </c>
      <c r="I10" s="31" t="n">
        <v>50000</v>
      </c>
      <c r="J10" s="31" t="n">
        <v>0</v>
      </c>
      <c r="K10" s="31" t="n">
        <v>72800</v>
      </c>
      <c r="L10" s="31" t="n">
        <v>654284</v>
      </c>
      <c r="M10" s="31" t="n">
        <v>255716</v>
      </c>
      <c r="N10" s="30" t="n">
        <v>28.1</v>
      </c>
    </row>
    <row r="11">
      <c r="A11" s="27" t="n">
        <v>8</v>
      </c>
      <c r="B11" s="28" t="inlineStr">
        <is>
          <t>V007</t>
        </is>
      </c>
      <c r="C11" s="28" t="inlineStr">
        <is>
          <t>1.25T</t>
        </is>
      </c>
      <c r="D11" s="31" t="n">
        <v>890000</v>
      </c>
      <c r="E11" s="31" t="n">
        <v>57278</v>
      </c>
      <c r="F11" s="31" t="n">
        <v>0</v>
      </c>
      <c r="G11" s="31" t="n">
        <v>380000</v>
      </c>
      <c r="H11" s="31" t="n">
        <v>77700</v>
      </c>
      <c r="I11" s="31" t="n">
        <v>50000</v>
      </c>
      <c r="J11" s="31" t="n">
        <v>0</v>
      </c>
      <c r="K11" s="31" t="n">
        <v>71200</v>
      </c>
      <c r="L11" s="31" t="n">
        <v>636178</v>
      </c>
      <c r="M11" s="31" t="n">
        <v>253822</v>
      </c>
      <c r="N11" s="30" t="n">
        <v>28.5</v>
      </c>
    </row>
    <row r="12">
      <c r="A12" s="27" t="n">
        <v>9</v>
      </c>
      <c r="B12" s="28" t="inlineStr">
        <is>
          <t>V008</t>
        </is>
      </c>
      <c r="C12" s="28" t="inlineStr">
        <is>
          <t>1.25T</t>
        </is>
      </c>
      <c r="D12" s="31" t="n">
        <v>2730000</v>
      </c>
      <c r="E12" s="31" t="n">
        <v>113476</v>
      </c>
      <c r="F12" s="31" t="n">
        <v>0</v>
      </c>
      <c r="G12" s="31" t="n">
        <v>380000</v>
      </c>
      <c r="H12" s="31" t="n">
        <v>124500</v>
      </c>
      <c r="I12" s="31" t="n">
        <v>150000</v>
      </c>
      <c r="J12" s="31" t="n">
        <v>0</v>
      </c>
      <c r="K12" s="31" t="n">
        <v>218400</v>
      </c>
      <c r="L12" s="31" t="n">
        <v>986376</v>
      </c>
      <c r="M12" s="31" t="n">
        <v>1743624</v>
      </c>
      <c r="N12" s="30" t="n">
        <v>63.9</v>
      </c>
    </row>
    <row r="13">
      <c r="A13" s="27" t="n">
        <v>10</v>
      </c>
      <c r="B13" s="28" t="inlineStr">
        <is>
          <t>V013</t>
        </is>
      </c>
      <c r="C13" s="28" t="inlineStr">
        <is>
          <t>1.25T</t>
        </is>
      </c>
      <c r="D13" s="31" t="n">
        <v>780000</v>
      </c>
      <c r="E13" s="31" t="n">
        <v>66284</v>
      </c>
      <c r="F13" s="31" t="n">
        <v>0</v>
      </c>
      <c r="G13" s="31" t="n">
        <v>380000</v>
      </c>
      <c r="H13" s="31" t="n">
        <v>85200</v>
      </c>
      <c r="I13" s="31" t="n">
        <v>50000</v>
      </c>
      <c r="J13" s="31" t="n">
        <v>0</v>
      </c>
      <c r="K13" s="31" t="n">
        <v>62400</v>
      </c>
      <c r="L13" s="31" t="n">
        <v>643884</v>
      </c>
      <c r="M13" s="31" t="n">
        <v>136116</v>
      </c>
      <c r="N13" s="30" t="n">
        <v>17.5</v>
      </c>
    </row>
    <row r="14">
      <c r="A14" s="27" t="n">
        <v>11</v>
      </c>
      <c r="B14" s="28" t="inlineStr">
        <is>
          <t>V001</t>
        </is>
      </c>
      <c r="C14" s="28" t="inlineStr">
        <is>
          <t>5 tạ</t>
        </is>
      </c>
      <c r="D14" s="31" t="n">
        <v>780000</v>
      </c>
      <c r="E14" s="31" t="n">
        <v>49983</v>
      </c>
      <c r="F14" s="31" t="n">
        <v>0</v>
      </c>
      <c r="G14" s="31" t="n">
        <v>380000</v>
      </c>
      <c r="H14" s="31" t="n">
        <v>85500</v>
      </c>
      <c r="I14" s="31" t="n">
        <v>50000</v>
      </c>
      <c r="J14" s="31" t="n">
        <v>5332</v>
      </c>
      <c r="K14" s="31" t="n">
        <v>62400</v>
      </c>
      <c r="L14" s="31" t="n">
        <v>633216</v>
      </c>
      <c r="M14" s="31" t="n">
        <v>146784</v>
      </c>
      <c r="N14" s="30" t="n">
        <v>18.8</v>
      </c>
    </row>
    <row r="15">
      <c r="A15" s="27" t="n">
        <v>12</v>
      </c>
      <c r="B15" s="28" t="inlineStr">
        <is>
          <t>V014</t>
        </is>
      </c>
      <c r="C15" s="28" t="inlineStr">
        <is>
          <t>1.25T</t>
        </is>
      </c>
      <c r="D15" s="31" t="n">
        <v>1340000</v>
      </c>
      <c r="E15" s="31" t="n">
        <v>243162</v>
      </c>
      <c r="F15" s="31" t="n">
        <v>0</v>
      </c>
      <c r="G15" s="31" t="n">
        <v>380000</v>
      </c>
      <c r="H15" s="31" t="n">
        <v>232500</v>
      </c>
      <c r="I15" s="31" t="n">
        <v>100000</v>
      </c>
      <c r="J15" s="31" t="n">
        <v>60529</v>
      </c>
      <c r="K15" s="31" t="n">
        <v>107200</v>
      </c>
      <c r="L15" s="31" t="n">
        <v>1123391</v>
      </c>
      <c r="M15" s="31" t="n">
        <v>216609</v>
      </c>
      <c r="N15" s="30" t="n">
        <v>16.2</v>
      </c>
    </row>
    <row r="16">
      <c r="A16" s="27" t="n">
        <v>13</v>
      </c>
      <c r="B16" s="28" t="inlineStr">
        <is>
          <t>V029</t>
        </is>
      </c>
      <c r="C16" s="28" t="inlineStr">
        <is>
          <t>8T</t>
        </is>
      </c>
      <c r="D16" s="31" t="n">
        <v>1960000</v>
      </c>
      <c r="E16" s="31" t="n">
        <v>159706</v>
      </c>
      <c r="F16" s="31" t="n">
        <v>26600</v>
      </c>
      <c r="G16" s="31" t="n">
        <v>380000</v>
      </c>
      <c r="H16" s="31" t="n">
        <v>87000</v>
      </c>
      <c r="I16" s="31" t="n">
        <v>50000</v>
      </c>
      <c r="J16" s="31" t="n">
        <v>27456</v>
      </c>
      <c r="K16" s="31" t="n">
        <v>156800</v>
      </c>
      <c r="L16" s="31" t="n">
        <v>887562</v>
      </c>
      <c r="M16" s="31" t="n">
        <v>1072438</v>
      </c>
      <c r="N16" s="30" t="n">
        <v>54.7</v>
      </c>
    </row>
    <row r="17">
      <c r="A17" s="27" t="n">
        <v>14</v>
      </c>
      <c r="B17" s="28" t="inlineStr">
        <is>
          <t>V023</t>
        </is>
      </c>
      <c r="C17" s="28" t="inlineStr">
        <is>
          <t>5T</t>
        </is>
      </c>
      <c r="D17" s="31" t="n">
        <v>1320000</v>
      </c>
      <c r="E17" s="31" t="n">
        <v>167091</v>
      </c>
      <c r="F17" s="31" t="n">
        <v>35420</v>
      </c>
      <c r="G17" s="31" t="n">
        <v>380000</v>
      </c>
      <c r="H17" s="31" t="n">
        <v>105900</v>
      </c>
      <c r="I17" s="31" t="n">
        <v>50000</v>
      </c>
      <c r="J17" s="31" t="n">
        <v>0</v>
      </c>
      <c r="K17" s="31" t="n">
        <v>105600</v>
      </c>
      <c r="L17" s="31" t="n">
        <v>844011</v>
      </c>
      <c r="M17" s="31" t="n">
        <v>475989</v>
      </c>
      <c r="N17" s="30" t="n">
        <v>36.1</v>
      </c>
    </row>
    <row r="18">
      <c r="A18" s="27" t="n">
        <v>15</v>
      </c>
      <c r="B18" s="28" t="inlineStr">
        <is>
          <t>V019</t>
        </is>
      </c>
      <c r="C18" s="28" t="inlineStr">
        <is>
          <t>5T</t>
        </is>
      </c>
      <c r="D18" s="31" t="n">
        <v>910000</v>
      </c>
      <c r="E18" s="31" t="n">
        <v>469573</v>
      </c>
      <c r="F18" s="31" t="n">
        <v>99540</v>
      </c>
      <c r="G18" s="31" t="n">
        <v>380000</v>
      </c>
      <c r="H18" s="31" t="n">
        <v>243300</v>
      </c>
      <c r="I18" s="31" t="n">
        <v>50000</v>
      </c>
      <c r="J18" s="31" t="n">
        <v>29616</v>
      </c>
      <c r="K18" s="31" t="n">
        <v>72800</v>
      </c>
      <c r="L18" s="31" t="n">
        <v>1344829</v>
      </c>
      <c r="M18" s="31" t="n">
        <v>-434829</v>
      </c>
      <c r="N18" s="30" t="n">
        <v>-47.8</v>
      </c>
    </row>
    <row r="19">
      <c r="A19" s="27" t="n">
        <v>16</v>
      </c>
      <c r="B19" s="28" t="inlineStr">
        <is>
          <t>V009</t>
        </is>
      </c>
      <c r="C19" s="28" t="inlineStr">
        <is>
          <t>1.25T</t>
        </is>
      </c>
      <c r="D19" s="31" t="n">
        <v>600000</v>
      </c>
      <c r="E19" s="31" t="n">
        <v>111674</v>
      </c>
      <c r="F19" s="31" t="n">
        <v>0</v>
      </c>
      <c r="G19" s="31" t="n">
        <v>380000</v>
      </c>
      <c r="H19" s="31" t="n">
        <v>123000</v>
      </c>
      <c r="I19" s="31" t="n">
        <v>50000</v>
      </c>
      <c r="J19" s="31" t="n">
        <v>461221</v>
      </c>
      <c r="K19" s="31" t="n">
        <v>48000</v>
      </c>
      <c r="L19" s="31" t="n">
        <v>1173896</v>
      </c>
      <c r="M19" s="31" t="n">
        <v>-573896</v>
      </c>
      <c r="N19" s="30" t="n">
        <v>-95.59999999999999</v>
      </c>
    </row>
    <row r="20">
      <c r="A20" s="27" t="n">
        <v>17</v>
      </c>
      <c r="B20" s="28" t="inlineStr">
        <is>
          <t>V015</t>
        </is>
      </c>
      <c r="C20" s="28" t="inlineStr">
        <is>
          <t>1.25T</t>
        </is>
      </c>
      <c r="D20" s="31" t="n">
        <v>670000</v>
      </c>
      <c r="E20" s="31" t="n">
        <v>54756</v>
      </c>
      <c r="F20" s="31" t="n">
        <v>0</v>
      </c>
      <c r="G20" s="31" t="n">
        <v>380000</v>
      </c>
      <c r="H20" s="31" t="n">
        <v>75600</v>
      </c>
      <c r="I20" s="31" t="n">
        <v>50000</v>
      </c>
      <c r="J20" s="31" t="n">
        <v>482732</v>
      </c>
      <c r="K20" s="31" t="n">
        <v>53600</v>
      </c>
      <c r="L20" s="31" t="n">
        <v>1096688</v>
      </c>
      <c r="M20" s="31" t="n">
        <v>-426688</v>
      </c>
      <c r="N20" s="30" t="n">
        <v>-63.7</v>
      </c>
    </row>
    <row r="21">
      <c r="A21" s="32" t="inlineStr">
        <is>
          <t>TỔNG</t>
        </is>
      </c>
      <c r="B21" s="32" t="inlineStr"/>
      <c r="C21" s="32" t="inlineStr"/>
      <c r="D21" s="33" t="n">
        <v>26340000</v>
      </c>
      <c r="E21" s="33" t="n">
        <v>4444069</v>
      </c>
      <c r="F21" s="33" t="n">
        <v>662900</v>
      </c>
      <c r="G21" s="33" t="n">
        <v>6460000</v>
      </c>
      <c r="H21" s="33" t="n">
        <v>2646300</v>
      </c>
      <c r="I21" s="33" t="n">
        <v>1100000</v>
      </c>
      <c r="J21" s="33" t="n">
        <v>3833752</v>
      </c>
      <c r="K21" s="33" t="n">
        <v>2107200</v>
      </c>
      <c r="L21" s="33" t="n">
        <v>21254223</v>
      </c>
      <c r="M21" s="33" t="n">
        <v>5085777</v>
      </c>
      <c r="N21" s="34" t="n">
        <v>19.3</v>
      </c>
    </row>
  </sheetData>
  <mergeCells count="2">
    <mergeCell ref="A2:N2"/>
    <mergeCell ref="A1:N1"/>
  </mergeCells>
  <conditionalFormatting sqref="N4:N20">
    <cfRule type="colorScale" priority="1">
      <colorScale>
        <cfvo type="num" val="0"/>
        <cfvo type="num" val="15"/>
        <cfvo type="num" val="25"/>
        <color rgb="00F4B9B5"/>
        <color rgb="00FFE08A"/>
        <color rgb="00A8D5B5"/>
      </colorScale>
    </cfRule>
  </conditionalFormatting>
  <conditionalFormatting sqref="M4:M20">
    <cfRule type="dataBar" priority="2">
      <dataBar>
        <cfvo type="min"/>
        <cfvo type="max"/>
        <color rgb="001B7A2F"/>
      </dataBar>
    </cfRule>
  </conditionalFormatting>
  <conditionalFormatting sqref="L4:L20">
    <cfRule type="dataBar" priority="3">
      <dataBar>
        <cfvo type="min"/>
        <cfvo type="max"/>
        <color rgb="00C9A0A0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B71C1C"/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0" customWidth="1" min="4" max="4"/>
    <col width="10" customWidth="1" min="5" max="5"/>
    <col width="18" customWidth="1" min="6" max="6"/>
    <col width="12" customWidth="1" min="7" max="7"/>
    <col width="10" customWidth="1" min="8" max="8"/>
    <col width="16" customWidth="1" min="9" max="9"/>
    <col width="30" customWidth="1" min="10" max="10"/>
  </cols>
  <sheetData>
    <row r="1" ht="24" customHeight="1">
      <c r="A1" s="24" t="inlineStr">
        <is>
          <t>CÔNG TY CỔ PHẦN TIẾP VẬN HÒA PHÁT — SỰ CỐ TRONG NGÀY</t>
        </is>
      </c>
    </row>
    <row r="2">
      <c r="A2" s="25" t="inlineStr">
        <is>
          <t>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Mã sự cố</t>
        </is>
      </c>
      <c r="C3" s="26" t="inlineStr">
        <is>
          <t>Mã đơn</t>
        </is>
      </c>
      <c r="D3" s="26" t="inlineStr">
        <is>
          <t>Loại sự cố</t>
        </is>
      </c>
      <c r="E3" s="26" t="inlineStr">
        <is>
          <t>Ưu tiên</t>
        </is>
      </c>
      <c r="F3" s="26" t="inlineStr">
        <is>
          <t>Thời điểm</t>
        </is>
      </c>
      <c r="G3" s="26" t="inlineStr">
        <is>
          <t>Xe</t>
        </is>
      </c>
      <c r="H3" s="26" t="inlineStr">
        <is>
          <t>Tuyến</t>
        </is>
      </c>
      <c r="I3" s="26" t="inlineStr">
        <is>
          <t>Trạng thái</t>
        </is>
      </c>
      <c r="J3" s="26" t="inlineStr">
        <is>
          <t>Phương án chọn</t>
        </is>
      </c>
    </row>
    <row r="4">
      <c r="A4" s="35" t="inlineStr">
        <is>
          <t>(Chưa có dữ liệu)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6678"/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8" customWidth="1" min="4" max="4"/>
    <col width="12" customWidth="1" min="5" max="5"/>
    <col width="18" customWidth="1" min="6" max="6"/>
    <col width="30" customWidth="1" min="7" max="7"/>
    <col width="11" customWidth="1" min="8" max="8"/>
    <col width="16" customWidth="1" min="9" max="9"/>
    <col width="26" customWidth="1" min="10" max="10"/>
  </cols>
  <sheetData>
    <row r="1" ht="24" customHeight="1">
      <c r="A1" s="24" t="inlineStr">
        <is>
          <t>CÔNG TY CỔ PHẦN TIẾP VẬN HÒA PHÁT — NHẬT KÝ &amp; LƯU VẾT ĐIỀU PHỐI</t>
        </is>
      </c>
    </row>
    <row r="2">
      <c r="A2" s="25" t="inlineStr">
        <is>
          <t>Phục vụ kiểm toán nội bộ / Close &amp; Learn · Cập nhật lần cuối: 18/06/2026 02:15</t>
        </is>
      </c>
    </row>
    <row r="3" ht="30" customHeight="1">
      <c r="A3" s="26" t="inlineStr">
        <is>
          <t>STT</t>
        </is>
      </c>
      <c r="B3" s="26" t="inlineStr">
        <is>
          <t>Thời điểm</t>
        </is>
      </c>
      <c r="C3" s="26" t="inlineStr">
        <is>
          <t>Mã sự cố</t>
        </is>
      </c>
      <c r="D3" s="26" t="inlineStr">
        <is>
          <t>Nguồn</t>
        </is>
      </c>
      <c r="E3" s="26" t="inlineStr">
        <is>
          <t>Đơn</t>
        </is>
      </c>
      <c r="F3" s="26" t="inlineStr">
        <is>
          <t>Loại</t>
        </is>
      </c>
      <c r="G3" s="26" t="inlineStr">
        <is>
          <t>Phương án</t>
        </is>
      </c>
      <c r="H3" s="26" t="inlineStr">
        <is>
          <t>Xe</t>
        </is>
      </c>
      <c r="I3" s="26" t="inlineStr">
        <is>
          <t>Trạng thái</t>
        </is>
      </c>
      <c r="J3" s="26" t="inlineStr">
        <is>
          <t>Ghi chú</t>
        </is>
      </c>
    </row>
    <row r="4">
      <c r="A4" s="35" t="inlineStr">
        <is>
          <t>(Chưa có dữ liệu)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 chi phí</t>
        </is>
      </c>
      <c r="B1" t="inlineStr">
        <is>
          <t>Giá trị</t>
        </is>
      </c>
      <c r="D1" t="inlineStr">
        <is>
          <t>Chạy rỗng</t>
        </is>
      </c>
      <c r="E1" t="inlineStr">
        <is>
          <t>Km</t>
        </is>
      </c>
      <c r="G1" t="inlineStr">
        <is>
          <t>Đơn</t>
        </is>
      </c>
      <c r="H1" t="inlineStr">
        <is>
          <t>Số lượng</t>
        </is>
      </c>
    </row>
    <row r="2">
      <c r="A2" t="inlineStr">
        <is>
          <t>Nhiên liệu</t>
        </is>
      </c>
      <c r="B2">
        <f>SUM('Tài chính P&amp;L'!E4:E20)</f>
        <v/>
      </c>
      <c r="D2" t="inlineStr">
        <is>
          <t>Km rỗng kế hoạch</t>
        </is>
      </c>
      <c r="E2" t="n">
        <v>916.4</v>
      </c>
      <c r="G2" t="inlineStr">
        <is>
          <t>Đã gán</t>
        </is>
      </c>
      <c r="H2">
        <f>COUNTIF('Đơn hàng'!J4:J33,"Đã gán")</f>
        <v/>
      </c>
    </row>
    <row r="3">
      <c r="A3" t="inlineStr">
        <is>
          <t>Cầu đường</t>
        </is>
      </c>
      <c r="B3">
        <f>SUM('Tài chính P&amp;L'!F4:F20)</f>
        <v/>
      </c>
      <c r="D3" t="inlineStr">
        <is>
          <t>Km rỗng giảm nhờ ghép</t>
        </is>
      </c>
      <c r="E3" t="n">
        <v>249.6</v>
      </c>
      <c r="G3" t="inlineStr">
        <is>
          <t>Chưa gán</t>
        </is>
      </c>
      <c r="H3">
        <f>COUNTIF('Đơn hàng'!J4:J33,"Chưa gán")</f>
        <v/>
      </c>
    </row>
    <row r="4">
      <c r="A4" t="inlineStr">
        <is>
          <t>Tài xế</t>
        </is>
      </c>
      <c r="B4">
        <f>SUM('Tài chính P&amp;L'!G4:G20)</f>
        <v/>
      </c>
    </row>
    <row r="5">
      <c r="A5" t="inlineStr">
        <is>
          <t>Chi phí xe</t>
        </is>
      </c>
      <c r="B5">
        <f>SUM('Tài chính P&amp;L'!H4:H20)</f>
        <v/>
      </c>
    </row>
    <row r="6">
      <c r="A6" t="inlineStr">
        <is>
          <t>Bốc xếp</t>
        </is>
      </c>
      <c r="B6">
        <f>SUM('Tài chính P&amp;L'!I4:I20)</f>
        <v/>
      </c>
    </row>
    <row r="7">
      <c r="A7" t="inlineStr">
        <is>
          <t>Chạy rỗng</t>
        </is>
      </c>
      <c r="B7">
        <f>SUM('Tài chính P&amp;L'!J4:J20)</f>
        <v/>
      </c>
    </row>
    <row r="8">
      <c r="A8" t="inlineStr">
        <is>
          <t>Quản lý</t>
        </is>
      </c>
      <c r="B8">
        <f>SUM('Tài chính P&amp;L'!K4:K20)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8B4CC"/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6" t="inlineStr">
        <is>
          <t>HƯỚNG DẪN SỬ DỤNG DASHBOARD &amp; DỮ LIỆU</t>
        </is>
      </c>
    </row>
    <row r="2">
      <c r="A2" s="37" t="inlineStr"/>
    </row>
    <row r="3">
      <c r="A3" s="37" t="inlineStr">
        <is>
          <t>• Sheet Dashboard tự cập nhật KPI và biểu đồ theo dữ liệu các sheet nguồn.</t>
        </is>
      </c>
    </row>
    <row r="4">
      <c r="A4" s="37" t="inlineStr">
        <is>
          <t>• Mỗi sheet dữ liệu là một Excel Table (có nút lọc, banded rows).</t>
        </is>
      </c>
    </row>
    <row r="5">
      <c r="A5" s="37" t="inlineStr"/>
    </row>
    <row r="6">
      <c r="A6" s="38" t="inlineStr">
        <is>
          <t>TẠO PIVOTTABLE / SLICER / TIMELINE (native):</t>
        </is>
      </c>
    </row>
    <row r="7">
      <c r="A7" s="37" t="inlineStr">
        <is>
          <t>1) Mở sheet dữ liệu (vd 'Tài chính P&amp;L' hoặc 'Kế hoạch tuyến').</t>
        </is>
      </c>
    </row>
    <row r="8">
      <c r="A8" s="37" t="inlineStr">
        <is>
          <t>2) Bấm vào bảng → ribbon Insert ▸ PivotTable (bảng đã đặt tên: tbl_finance, tbl_routes, tbl_orders, tbl_backhaul...).</t>
        </is>
      </c>
    </row>
    <row r="9">
      <c r="A9" s="37" t="inlineStr">
        <is>
          <t>3) Trong PivotTable: PivotTable Analyze ▸ Insert Slicer (lọc theo Hành lang/Loại xe...) và Insert Timeline (theo thời gian).</t>
        </is>
      </c>
    </row>
    <row r="10">
      <c r="A10" s="37" t="inlineStr">
        <is>
          <t>4) Tạo PivotChart: PivotTable Analyze ▸ PivotChart.</t>
        </is>
      </c>
    </row>
    <row r="11">
      <c r="A11" s="37" t="inlineStr"/>
    </row>
    <row r="12">
      <c r="A12" s="39" t="inlineStr">
        <is>
          <t>GHI CHÚ: Slicer/Timeline/PivotTable là tính năng native của Excel, được bật sẵn nhờ dữ liệu đã chuẩn hóa thành Table.</t>
        </is>
      </c>
    </row>
    <row r="13">
      <c r="A13" s="39" t="inlineStr">
        <is>
          <t>Giá nhiên liệu trên dashboard là giá hệ thống tự đề xuất; doanh nghiệp có thể chỉnh tay trong sheet Tài chính P&amp;L.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2026-06-17T19:15:55Z</dcterms:created>
  <dcterms:modified xsi:type="dcterms:W3CDTF">2026-06-17T19:15:55Z</dcterms:modified>
</cp:coreProperties>
</file>