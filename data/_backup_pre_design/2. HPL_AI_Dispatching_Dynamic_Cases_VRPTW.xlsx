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arameters" sheetId="2" r:id="rId6"/>
    <sheet state="visible" name="Dynamic_Cases" sheetId="3" r:id="rId7"/>
    <sheet state="visible" name="Vehicles_Live_40" sheetId="4" r:id="rId8"/>
    <sheet state="visible" name="Orders_Live" sheetId="5" r:id="rId9"/>
    <sheet state="visible" name="Replacement_Candidates" sheetId="6" r:id="rId10"/>
    <sheet state="visible" name="Event_Workflow" sheetId="7" r:id="rId11"/>
    <sheet state="visible" name="Soft_Skill_Playbook" sheetId="8" r:id="rId12"/>
    <sheet state="visible" name="Constraint_Functions" sheetId="9" r:id="rId13"/>
    <sheet state="visible" name="Risk_Register" sheetId="10" r:id="rId14"/>
    <sheet state="visible" name="Dashboard" sheetId="11" r:id="rId15"/>
  </sheets>
  <definedNames/>
  <calcPr/>
</workbook>
</file>

<file path=xl/sharedStrings.xml><?xml version="1.0" encoding="utf-8"?>
<sst xmlns="http://schemas.openxmlformats.org/spreadsheetml/2006/main" count="1350" uniqueCount="692">
  <si>
    <t>HPL AI Dispatching &amp; Routing Engine - Dynamic Simulation Dataset</t>
  </si>
  <si>
    <t>Mục đích</t>
  </si>
  <si>
    <t>Bổ sung dữ liệu động trong ngày vận hành để mô phỏng các sự cố phát sinh sau khi kế hoạch pre-day đã được duyệt.</t>
  </si>
  <si>
    <t>Phạm vi</t>
  </si>
  <si>
    <t>3 case chính: xe hỏng giữa đường; khách đổi khung giờ/đóng hàng muộn; tắc nghẽn giao thông và xe bị kiểm tra dẫn đến trễ SLA.</t>
  </si>
  <si>
    <t>Nguyên tắc</t>
  </si>
  <si>
    <t>Không hủy đơn nếu còn phương án xử lý; ưu tiên re-route, điều xe gần nhất, thương lượng khung giờ, xin duyệt cấp trên và kiểm soát chi phí/phạt rỗng.</t>
  </si>
  <si>
    <t>Luồng xử lý</t>
  </si>
  <si>
    <t>Detect → Classify → Impact Analysis → Generate Options → Dispatcher Decision → Re-optimize → Notify → Close &amp; Learn.</t>
  </si>
  <si>
    <t>Logic hệ thống</t>
  </si>
  <si>
    <t>Tất cả tình huống được thiết kế để phục vụ thuật toán Dynamic Re-routing, Candidate Vehicle Search, Soft Time Window, SLA Penalty và Risk Scoring.</t>
  </si>
  <si>
    <t>Ghi chú dữ liệu</t>
  </si>
  <si>
    <t>Dữ liệu là mô phỏng có kiểm soát, bám theo bài toán HPL: xe phân phối, khung giờ, tải trọng/dung tích, điều phối bán kính, tài xế xác nhận và khách hàng xác nhận.</t>
  </si>
  <si>
    <t>NOTE</t>
  </si>
  <si>
    <t xml:space="preserve">Ví dụ bây giờ data động, cần biết thời gian xảy ra. </t>
  </si>
  <si>
    <t xml:space="preserve">Tick cột đấy ở data tĩnh =&gt; Đơn hàng sẽ track ra 1 sheets khác =&gt; Dispatcher sẽ summary lại =&gt; Cần thiết kế sao cho có sự liên kết từ các đơn cũ =&gt; Tránh thời gian thủ công. Track từ data tĩnh sang sheets của data động. </t>
  </si>
  <si>
    <t>Từ đây update data =&gt; Định tuyến lại hoặc soft skill =&gt; Note từ Dispatcher để lưu vết, sau để truy xuất</t>
  </si>
  <si>
    <t>Parameter</t>
  </si>
  <si>
    <t>Value</t>
  </si>
  <si>
    <t>Unit</t>
  </si>
  <si>
    <t>Purpose</t>
  </si>
  <si>
    <t>Search_Radius_Min</t>
  </si>
  <si>
    <t>km</t>
  </si>
  <si>
    <t>Bán kính tối thiểu khi quét xe thay thế</t>
  </si>
  <si>
    <t>Search_Radius_Max</t>
  </si>
  <si>
    <t>Bán kính tối đa khi quét xe thay thế</t>
  </si>
  <si>
    <t>Average_Recovery_Speed</t>
  </si>
  <si>
    <t>km/h</t>
  </si>
  <si>
    <t>Tốc độ trung bình để xe thay thế tiếp cận điểm sự cố</t>
  </si>
  <si>
    <t>Transfer_Service_Time</t>
  </si>
  <si>
    <t>minutes</t>
  </si>
  <si>
    <t>Thời gian chuyển tải/đổi xe tại điểm an toàn</t>
  </si>
  <si>
    <t>Empty_Run_Cost_Per_Km</t>
  </si>
  <si>
    <t>VND/km</t>
  </si>
  <si>
    <t>Chi phí/phạt rỗng để đánh giá phương án quay đầu</t>
  </si>
  <si>
    <t>Late_Penalty_Per_Min</t>
  </si>
  <si>
    <t>VND/min</t>
  </si>
  <si>
    <t>Phạt trễ SLA mô phỏng</t>
  </si>
  <si>
    <t>Escalation_Cost_Threshold</t>
  </si>
  <si>
    <t>VND</t>
  </si>
  <si>
    <t>Ngưỡng chi phí cần xin duyệt cấp trên</t>
  </si>
  <si>
    <t>Max_Accepted_Minor_Late</t>
  </si>
  <si>
    <t>Ngưỡng trễ nhẹ có thể thương lượng</t>
  </si>
  <si>
    <t>Driver_Confirm_Required</t>
  </si>
  <si>
    <t>YES</t>
  </si>
  <si>
    <t>text</t>
  </si>
  <si>
    <t>Mọi re-route phải có xác nhận của tài xế nhận lệnh</t>
  </si>
  <si>
    <t>Case_ID</t>
  </si>
  <si>
    <t>Case_Name</t>
  </si>
  <si>
    <t>Event_Time</t>
  </si>
  <si>
    <t>Phase</t>
  </si>
  <si>
    <t>Trigger_Source</t>
  </si>
  <si>
    <t>Route_ID</t>
  </si>
  <si>
    <t>Primary_Order_ID</t>
  </si>
  <si>
    <t>Original_Vehicle</t>
  </si>
  <si>
    <t>Event_Type</t>
  </si>
  <si>
    <t>Original_TW_Start</t>
  </si>
  <si>
    <t>Original_TW_End</t>
  </si>
  <si>
    <t>ETA_No_Action</t>
  </si>
  <si>
    <t>Revised_ETA_After_Action</t>
  </si>
  <si>
    <t>Impacted_Orders</t>
  </si>
  <si>
    <t>Required_Load_Ton</t>
  </si>
  <si>
    <t>Required_Volume_m3</t>
  </si>
  <si>
    <t>Must_Not_Cancel</t>
  </si>
  <si>
    <t>Negotiation_Result</t>
  </si>
  <si>
    <t>Selected_Decision</t>
  </si>
  <si>
    <t>Delay_Before_Min</t>
  </si>
  <si>
    <t>Delay_After_Min</t>
  </si>
  <si>
    <t>SLA_After_Action</t>
  </si>
  <si>
    <t>Revenue_At_Risk_VND</t>
  </si>
  <si>
    <t>Additional_Cost_VND</t>
  </si>
  <si>
    <t>Empty_KM_Avoided</t>
  </si>
  <si>
    <t>Empty_Cost_Avoided_VND</t>
  </si>
  <si>
    <t>Profit_Protected_VND</t>
  </si>
  <si>
    <t>Resolution_Status</t>
  </si>
  <si>
    <t>Residual_Risk</t>
  </si>
  <si>
    <t>Core_Rationale</t>
  </si>
  <si>
    <t>DYN01</t>
  </si>
  <si>
    <t>Xe hỏng giữa đường - buộc điều xe gần nhất</t>
  </si>
  <si>
    <t>In-Day Dynamic Re-routing</t>
  </si>
  <si>
    <t>Driver SOS button/GPS stop &gt; 10 phút</t>
  </si>
  <si>
    <t>HN-ST-02</t>
  </si>
  <si>
    <t>ORD-014</t>
  </si>
  <si>
    <t>HPL-T005</t>
  </si>
  <si>
    <t>Vehicle Breakdown</t>
  </si>
  <si>
    <t>ORD-014; ORD-015; ORD-016</t>
  </si>
  <si>
    <t>Không thương lượng được do kho đã khóa slot nhập hàng 13:30</t>
  </si>
  <si>
    <t>Điều xe rỗng gần nhất trong bán kính 2-30km, chuyển tải tại điểm an toàn, gửi lệnh mới cho tài xế và yêu cầu confirm</t>
  </si>
  <si>
    <t>Resolved</t>
  </si>
  <si>
    <t>Medium</t>
  </si>
  <si>
    <t>Không hủy đơn; xe thay thế đủ tải/dung tích và tới kịp trước deadline; chấp nhận tăng chi phí để bảo vệ SLA và doanh thu.</t>
  </si>
  <si>
    <t>DYN02</t>
  </si>
  <si>
    <t>Khách đổi giờ giao + kho đóng hàng muộn</t>
  </si>
  <si>
    <t>In-Day Dynamic Re-sequencing</t>
  </si>
  <si>
    <t>Customer call + warehouse status update</t>
  </si>
  <si>
    <t>BN-MT-01</t>
  </si>
  <si>
    <t>ORD-022</t>
  </si>
  <si>
    <t>HPL-T012</t>
  </si>
  <si>
    <t>Customer TW Change &amp; Late Loading</t>
  </si>
  <si>
    <t>ORD-021; ORD-022; ORD-023; ORD-024</t>
  </si>
  <si>
    <t>Khách đồng ý đổi slot 13:00-14:30 sau khi dispatcher gọi xác nhận và gửi ETA mới</t>
  </si>
  <si>
    <t>Đổi thứ tự giao: giao ORD-023 trước, giữ xe trên tuyến, cập nhật TW mềm và lưu xác nhận khách hàng</t>
  </si>
  <si>
    <t>Low</t>
  </si>
  <si>
    <t>Thương lượng thành công nên không cần điều xe khác; re-sequence giúp giảm thời gian chờ và vẫn giữ được SLA.</t>
  </si>
  <si>
    <t>DYN03</t>
  </si>
  <si>
    <t>Tắc đường (phổ biến) + xe bị kiểm tra (optional)</t>
  </si>
  <si>
    <t>Traffic alert + driver report</t>
  </si>
  <si>
    <t>HP-HN-04</t>
  </si>
  <si>
    <t>ORD-033</t>
  </si>
  <si>
    <t>HPL-T018</t>
  </si>
  <si>
    <t>Traffic Congestion &amp; Police Check</t>
  </si>
  <si>
    <t>ORD-033; ORD-034</t>
  </si>
  <si>
    <t>Khách chỉ chấp nhận trễ tối đa 15 phút; cần có xác nhận cấp trên cho chi phí chuyển tải</t>
  </si>
  <si>
    <t>Tách 2 điểm nội thành sang xe 1.25T gần nhất, xe lớn dừng tại điểm trung chuyển ngoài vành đai, cập nhật ETA cho khách</t>
  </si>
  <si>
    <t>Medium-High</t>
  </si>
  <si>
    <t>Phương án tuân thủ cấm tải, giảm trễ SLA, nhưng có rủi ro chi phí chuyển tải và cần kiểm soát xác nhận tài xế/khách.</t>
  </si>
  <si>
    <t xml:space="preserve">Đến nhưng phải chờ, phát sinh chờ giờ </t>
  </si>
  <si>
    <t>Kho đóng hàng muộn</t>
  </si>
  <si>
    <t>Ràng buộc: nếu như trên 1 tiếng thì ntn, dưới 1 tiếng thì ntn</t>
  </si>
  <si>
    <t>Giao nhầm điểm</t>
  </si>
  <si>
    <t>Phát sinh đơn mới vào sáng hôm sau</t>
  </si>
  <si>
    <t>Điều xe trống</t>
  </si>
  <si>
    <t>...</t>
  </si>
  <si>
    <t>Vehicle_ID</t>
  </si>
  <si>
    <t>Plate_No</t>
  </si>
  <si>
    <t>Vehicle_Type</t>
  </si>
  <si>
    <t>Max_Ton</t>
  </si>
  <si>
    <t>Max_m3</t>
  </si>
  <si>
    <t>Driver</t>
  </si>
  <si>
    <t>Phone</t>
  </si>
  <si>
    <t>Home_Depot</t>
  </si>
  <si>
    <t>Region_Profile</t>
  </si>
  <si>
    <t>Shift_Start</t>
  </si>
  <si>
    <t>Shift_End</t>
  </si>
  <si>
    <t>Current_Status</t>
  </si>
  <si>
    <t>Current_Location</t>
  </si>
  <si>
    <t>Lat</t>
  </si>
  <si>
    <t>Lon</t>
  </si>
  <si>
    <t>Current_Route</t>
  </si>
  <si>
    <t>Remaining_Capacity_Ton</t>
  </si>
  <si>
    <t>Remaining_Volume_m3</t>
  </si>
  <si>
    <t>Remaining_Stops</t>
  </si>
  <si>
    <t>Current_Load_Ton</t>
  </si>
  <si>
    <t>GPS_Last_Update</t>
  </si>
  <si>
    <t>Can_Reroute</t>
  </si>
  <si>
    <t>Maintenance_Risk</t>
  </si>
  <si>
    <t>Driver_Time_Risk</t>
  </si>
  <si>
    <t>Notes</t>
  </si>
  <si>
    <t>HPL-T001</t>
  </si>
  <si>
    <t>30C-101.07</t>
  </si>
  <si>
    <t>1.25T</t>
  </si>
  <si>
    <t>Tài xế 01</t>
  </si>
  <si>
    <t>0910000001</t>
  </si>
  <si>
    <t>Long Bien Depot</t>
  </si>
  <si>
    <t>Ngoai thanh HN</t>
  </si>
  <si>
    <t>In Execution</t>
  </si>
  <si>
    <t>Bac Ninh ICD</t>
  </si>
  <si>
    <t>NO</t>
  </si>
  <si>
    <t>Normal</t>
  </si>
  <si>
    <t>HPL-T002</t>
  </si>
  <si>
    <t>31C-102.14</t>
  </si>
  <si>
    <t>5T</t>
  </si>
  <si>
    <t>Tài xế 02</t>
  </si>
  <si>
    <t>0910000002</t>
  </si>
  <si>
    <t>Dong Bac</t>
  </si>
  <si>
    <t>Hai Duong QL5</t>
  </si>
  <si>
    <t>HN-ST-03</t>
  </si>
  <si>
    <t>HPL-T003</t>
  </si>
  <si>
    <t>32C-103.21</t>
  </si>
  <si>
    <t>8T</t>
  </si>
  <si>
    <t>Tài xế 03</t>
  </si>
  <si>
    <t>0910000003</t>
  </si>
  <si>
    <t>Tay Bac</t>
  </si>
  <si>
    <t>Available</t>
  </si>
  <si>
    <t>Hai Phong Port</t>
  </si>
  <si>
    <t>HPL-T004</t>
  </si>
  <si>
    <t>33C-104.28</t>
  </si>
  <si>
    <t>3-chan</t>
  </si>
  <si>
    <t>Tài xế 04</t>
  </si>
  <si>
    <t>0910000004</t>
  </si>
  <si>
    <t>Hai Phong - Bac Ninh</t>
  </si>
  <si>
    <t>Soc Son</t>
  </si>
  <si>
    <t>HN-ST-05</t>
  </si>
  <si>
    <t>29C-105.35</t>
  </si>
  <si>
    <t>4-chan</t>
  </si>
  <si>
    <t>Tài xế 05</t>
  </si>
  <si>
    <t>0910000005</t>
  </si>
  <si>
    <t>Thanh Hoa - Nghe An</t>
  </si>
  <si>
    <t>Breakdown</t>
  </si>
  <si>
    <t>Km24 Dai lo Thang Long</t>
  </si>
  <si>
    <t>HN-ST-01</t>
  </si>
  <si>
    <t>High</t>
  </si>
  <si>
    <t>Impacted vehicle</t>
  </si>
  <si>
    <t>HPL-T006</t>
  </si>
  <si>
    <t>30C-106.42</t>
  </si>
  <si>
    <t>5-ta</t>
  </si>
  <si>
    <t>Tài xế 06</t>
  </si>
  <si>
    <t>0910000006</t>
  </si>
  <si>
    <t>Da Nang</t>
  </si>
  <si>
    <t>Standby</t>
  </si>
  <si>
    <t>Ha Dong</t>
  </si>
  <si>
    <t>HPL-T007</t>
  </si>
  <si>
    <t>31C-107.49</t>
  </si>
  <si>
    <t>Tài xế 07</t>
  </si>
  <si>
    <t>0910000007</t>
  </si>
  <si>
    <t>HCM</t>
  </si>
  <si>
    <t>Thanh Hoa DC</t>
  </si>
  <si>
    <t>HPL-T008</t>
  </si>
  <si>
    <t>32C-108.56</t>
  </si>
  <si>
    <t>Tài xế 08</t>
  </si>
  <si>
    <t>0910000008</t>
  </si>
  <si>
    <t>Noi thanh HN</t>
  </si>
  <si>
    <t>Pho Noi</t>
  </si>
  <si>
    <t>HN-ST-04</t>
  </si>
  <si>
    <t>HPL-T009</t>
  </si>
  <si>
    <t>33C-109.63</t>
  </si>
  <si>
    <t>Tài xế 09</t>
  </si>
  <si>
    <t>0910000009</t>
  </si>
  <si>
    <t>Gia Lam</t>
  </si>
  <si>
    <t>HPL-T010</t>
  </si>
  <si>
    <t>29C-110.70</t>
  </si>
  <si>
    <t>Tài xế 10</t>
  </si>
  <si>
    <t>0910000010</t>
  </si>
  <si>
    <t>Cau Giay</t>
  </si>
  <si>
    <t>HPL-T011</t>
  </si>
  <si>
    <t>30C-111.77</t>
  </si>
  <si>
    <t>Tài xế 11</t>
  </si>
  <si>
    <t>0910000011</t>
  </si>
  <si>
    <t>Vinh Phuc</t>
  </si>
  <si>
    <t>Candidate for recovery</t>
  </si>
  <si>
    <t>31C-112.84</t>
  </si>
  <si>
    <t>Tài xế 12</t>
  </si>
  <si>
    <t>0910000012</t>
  </si>
  <si>
    <t>Bac Ninh Warehouse</t>
  </si>
  <si>
    <t>HPL-T013</t>
  </si>
  <si>
    <t>32C-113.91</t>
  </si>
  <si>
    <t>Tài xế 13</t>
  </si>
  <si>
    <t>0910000013</t>
  </si>
  <si>
    <t>HPL-T014</t>
  </si>
  <si>
    <t>33C-114.98</t>
  </si>
  <si>
    <t>Tài xế 14</t>
  </si>
  <si>
    <t>0910000014</t>
  </si>
  <si>
    <t>HPL-T015</t>
  </si>
  <si>
    <t>29C-115.05</t>
  </si>
  <si>
    <t>Tài xế 15</t>
  </si>
  <si>
    <t>0910000015</t>
  </si>
  <si>
    <t>HPL-T016</t>
  </si>
  <si>
    <t>30C-116.12</t>
  </si>
  <si>
    <t>Tài xế 16</t>
  </si>
  <si>
    <t>0910000016</t>
  </si>
  <si>
    <t>HPL-T017</t>
  </si>
  <si>
    <t>31C-117.19</t>
  </si>
  <si>
    <t>Tài xế 17</t>
  </si>
  <si>
    <t>0910000017</t>
  </si>
  <si>
    <t>Hoa Lac</t>
  </si>
  <si>
    <t>32C-118.26</t>
  </si>
  <si>
    <t>Tài xế 18</t>
  </si>
  <si>
    <t>0910000018</t>
  </si>
  <si>
    <t>Phu Ly</t>
  </si>
  <si>
    <t>Near shift end</t>
  </si>
  <si>
    <t>HPL-T019</t>
  </si>
  <si>
    <t>33C-119.33</t>
  </si>
  <si>
    <t>Tài xế 19</t>
  </si>
  <si>
    <t>0910000019</t>
  </si>
  <si>
    <t>HPL-T020</t>
  </si>
  <si>
    <t>29C-120.40</t>
  </si>
  <si>
    <t>Tài xế 20</t>
  </si>
  <si>
    <t>0910000020</t>
  </si>
  <si>
    <t>HPL-T021</t>
  </si>
  <si>
    <t>30C-121.47</t>
  </si>
  <si>
    <t>Tài xế 21</t>
  </si>
  <si>
    <t>0910000021</t>
  </si>
  <si>
    <t>HPL-T022</t>
  </si>
  <si>
    <t>31C-122.54</t>
  </si>
  <si>
    <t>Tài xế 22</t>
  </si>
  <si>
    <t>0910000022</t>
  </si>
  <si>
    <t>HPL-T023</t>
  </si>
  <si>
    <t>32C-123.61</t>
  </si>
  <si>
    <t>Tài xế 23</t>
  </si>
  <si>
    <t>0910000023</t>
  </si>
  <si>
    <t>HPL-T024</t>
  </si>
  <si>
    <t>33C-124.68</t>
  </si>
  <si>
    <t>Tài xế 24</t>
  </si>
  <si>
    <t>0910000024</t>
  </si>
  <si>
    <t>HPL-T025</t>
  </si>
  <si>
    <t>29C-125.75</t>
  </si>
  <si>
    <t>Tài xế 25</t>
  </si>
  <si>
    <t>0910000025</t>
  </si>
  <si>
    <t>HPL-T026</t>
  </si>
  <si>
    <t>30C-126.82</t>
  </si>
  <si>
    <t>Tài xế 26</t>
  </si>
  <si>
    <t>0910000026</t>
  </si>
  <si>
    <t>HPL-T027</t>
  </si>
  <si>
    <t>31C-127.89</t>
  </si>
  <si>
    <t>Tài xế 27</t>
  </si>
  <si>
    <t>0910000027</t>
  </si>
  <si>
    <t>HPL-T028</t>
  </si>
  <si>
    <t>32C-128.96</t>
  </si>
  <si>
    <t>Tài xế 28</t>
  </si>
  <si>
    <t>0910000028</t>
  </si>
  <si>
    <t>HPL-T029</t>
  </si>
  <si>
    <t>33C-129.03</t>
  </si>
  <si>
    <t>Tài xế 29</t>
  </si>
  <si>
    <t>0910000029</t>
  </si>
  <si>
    <t>HPL-T030</t>
  </si>
  <si>
    <t>29C-130.10</t>
  </si>
  <si>
    <t>Tài xế 30</t>
  </si>
  <si>
    <t>0910000030</t>
  </si>
  <si>
    <t>Ha Dong Depot</t>
  </si>
  <si>
    <t>HPL-T031</t>
  </si>
  <si>
    <t>30C-131.17</t>
  </si>
  <si>
    <t>Tài xế 31</t>
  </si>
  <si>
    <t>0910000031</t>
  </si>
  <si>
    <t>HPL-T032</t>
  </si>
  <si>
    <t>31C-132.24</t>
  </si>
  <si>
    <t>Tài xế 32</t>
  </si>
  <si>
    <t>0910000032</t>
  </si>
  <si>
    <t>HPL-T033</t>
  </si>
  <si>
    <t>32C-133.31</t>
  </si>
  <si>
    <t>Tài xế 33</t>
  </si>
  <si>
    <t>0910000033</t>
  </si>
  <si>
    <t>Yen Nghia</t>
  </si>
  <si>
    <t>HPL-T034</t>
  </si>
  <si>
    <t>33C-134.38</t>
  </si>
  <si>
    <t>Tài xế 34</t>
  </si>
  <si>
    <t>0910000034</t>
  </si>
  <si>
    <t>HPL-T035</t>
  </si>
  <si>
    <t>29C-135.45</t>
  </si>
  <si>
    <t>Tài xế 35</t>
  </si>
  <si>
    <t>0910000035</t>
  </si>
  <si>
    <t>HPL-T036</t>
  </si>
  <si>
    <t>30C-136.52</t>
  </si>
  <si>
    <t>Tài xế 36</t>
  </si>
  <si>
    <t>0910000036</t>
  </si>
  <si>
    <t>HPL-T037</t>
  </si>
  <si>
    <t>31C-137.59</t>
  </si>
  <si>
    <t>Tài xế 37</t>
  </si>
  <si>
    <t>0910000037</t>
  </si>
  <si>
    <t>HPL-T038</t>
  </si>
  <si>
    <t>32C-138.66</t>
  </si>
  <si>
    <t>Tài xế 38</t>
  </si>
  <si>
    <t>0910000038</t>
  </si>
  <si>
    <t>HPL-T039</t>
  </si>
  <si>
    <t>33C-139.73</t>
  </si>
  <si>
    <t>Tài xế 39</t>
  </si>
  <si>
    <t>0910000039</t>
  </si>
  <si>
    <t>HPL-T040</t>
  </si>
  <si>
    <t>29C-140.80</t>
  </si>
  <si>
    <t>Tài xế 40</t>
  </si>
  <si>
    <t>0910000040</t>
  </si>
  <si>
    <t>Order_ID</t>
  </si>
  <si>
    <t>Customer</t>
  </si>
  <si>
    <t>Channel</t>
  </si>
  <si>
    <t>Pickup_Point</t>
  </si>
  <si>
    <t>Delivery_Point</t>
  </si>
  <si>
    <t>Required_Vehicle_Type</t>
  </si>
  <si>
    <t>Weight_Ton</t>
  </si>
  <si>
    <t>Volume_m3</t>
  </si>
  <si>
    <t>Original_Pickup_TW_Start</t>
  </si>
  <si>
    <t>Original_Pickup_TW_End</t>
  </si>
  <si>
    <t>Original_Delivery_TW_Start</t>
  </si>
  <si>
    <t>Original_Delivery_TW_End</t>
  </si>
  <si>
    <t>Current_Pickup_TW_Start</t>
  </si>
  <si>
    <t>Current_Pickup_TW_End</t>
  </si>
  <si>
    <t>Current_Delivery_TW_Start</t>
  </si>
  <si>
    <t>Current_Delivery_TW_End</t>
  </si>
  <si>
    <t>Current_Assigned_Vehicle</t>
  </si>
  <si>
    <t>ETA_After_Action</t>
  </si>
  <si>
    <t>Delay_No_Action_Min</t>
  </si>
  <si>
    <t>Delay_After_Action_Min</t>
  </si>
  <si>
    <t>SLA_Status</t>
  </si>
  <si>
    <t>Customer_Confirmation</t>
  </si>
  <si>
    <t>Driver_Confirmation</t>
  </si>
  <si>
    <t>Dispatch_Action</t>
  </si>
  <si>
    <t>Risk_Note</t>
  </si>
  <si>
    <t>WinMart Cầu Giấy</t>
  </si>
  <si>
    <t>MT</t>
  </si>
  <si>
    <t>Kho Hòa Lạc</t>
  </si>
  <si>
    <t>NO - slot fixed</t>
  </si>
  <si>
    <t>PENDING</t>
  </si>
  <si>
    <t>Emergency transfer &amp; reassign</t>
  </si>
  <si>
    <t>Kho không nhận sau 13:30</t>
  </si>
  <si>
    <t>ORD-015</t>
  </si>
  <si>
    <t>Đại lý Phú Đô</t>
  </si>
  <si>
    <t>GT</t>
  </si>
  <si>
    <t>Phú Đô</t>
  </si>
  <si>
    <t>YES - informed</t>
  </si>
  <si>
    <t>Trễ nhẹ có thể chấp nhận</t>
  </si>
  <si>
    <t>ORD-016</t>
  </si>
  <si>
    <t>Đại lý Mỹ Đình</t>
  </si>
  <si>
    <t>Mỹ Đình</t>
  </si>
  <si>
    <t>Không ưu tiên bằng ORD-014</t>
  </si>
  <si>
    <t>ORD-021</t>
  </si>
  <si>
    <t>Masan Bắc Ninh</t>
  </si>
  <si>
    <t>Distributor</t>
  </si>
  <si>
    <t>Masan BN Warehouse</t>
  </si>
  <si>
    <t>Đại lý Tiên Du</t>
  </si>
  <si>
    <t>Keep route</t>
  </si>
  <si>
    <t>Kho đóng hàng muộn 45 phút</t>
  </si>
  <si>
    <t>Siêu thị Từ Sơn</t>
  </si>
  <si>
    <t>YES - new slot confirmed</t>
  </si>
  <si>
    <t>Resequence after ORD-023</t>
  </si>
  <si>
    <t>Khách chủ động đổi giờ</t>
  </si>
  <si>
    <t>ORD-023</t>
  </si>
  <si>
    <t>Đại lý Yên Phong</t>
  </si>
  <si>
    <t>Move before ORD-022</t>
  </si>
  <si>
    <t>Dùng để lấp thời gian chờ</t>
  </si>
  <si>
    <t>ORD-024</t>
  </si>
  <si>
    <t>Đại lý Bắc Giang</t>
  </si>
  <si>
    <t>Không ảnh hưởng</t>
  </si>
  <si>
    <t>Siêu thị nội thành Hà Nội</t>
  </si>
  <si>
    <t>Hải Phòng Port</t>
  </si>
  <si>
    <t>Cầu Giấy Store</t>
  </si>
  <si>
    <t>1.25T required after transshipment</t>
  </si>
  <si>
    <t>YES - max +15 min</t>
  </si>
  <si>
    <t>Split to 1.25T at ring road</t>
  </si>
  <si>
    <t>Cấm tải xe lớn giờ cao điểm</t>
  </si>
  <si>
    <t>ORD-034</t>
  </si>
  <si>
    <t>Đại lý Thanh Xuân</t>
  </si>
  <si>
    <t>Thanh Xuân</t>
  </si>
  <si>
    <t>Rủi ro trễ nhẹ</t>
  </si>
  <si>
    <t>Incident_Location</t>
  </si>
  <si>
    <t>Incident_Lat</t>
  </si>
  <si>
    <t>Incident_Lon</t>
  </si>
  <si>
    <t>Candidate_Vehicle</t>
  </si>
  <si>
    <t>Candidate_Status</t>
  </si>
  <si>
    <t>Candidate_Lat</t>
  </si>
  <si>
    <t>Candidate_Lon</t>
  </si>
  <si>
    <t>Distance_To_Incident_Km</t>
  </si>
  <si>
    <t>Search_Radius_Km</t>
  </si>
  <si>
    <t>Within_Radius</t>
  </si>
  <si>
    <t>Available_Payload_Ton</t>
  </si>
  <si>
    <t>Required_Payload_Ton</t>
  </si>
  <si>
    <t>Available_m3</t>
  </si>
  <si>
    <t>Required_m3</t>
  </si>
  <si>
    <t>Capacity_OK</t>
  </si>
  <si>
    <t>ETA_To_Incident_Min</t>
  </si>
  <si>
    <t>Transfer_Time_Min</t>
  </si>
  <si>
    <t>Latest_Recovery_Arrival</t>
  </si>
  <si>
    <t>Recovery_Feasible</t>
  </si>
  <si>
    <t>Driver_Confirm</t>
  </si>
  <si>
    <t>Supervisor_Approval</t>
  </si>
  <si>
    <t>Risk_Deduct</t>
  </si>
  <si>
    <t>Candidate_Score</t>
  </si>
  <si>
    <t>Recommended</t>
  </si>
  <si>
    <t>Reason</t>
  </si>
  <si>
    <t>Not required</t>
  </si>
  <si>
    <t>Gần điểm sự cố nhất, đủ tải/dung tích, tài xế xác nhận nhận chuyến</t>
  </si>
  <si>
    <t>Required</t>
  </si>
  <si>
    <t>Xa hơn, chi phí cao hơn, vẫn khả thi nếu xe HPL-T011 không xác nhận</t>
  </si>
  <si>
    <t>Không đủ tải/dung tích nên loại</t>
  </si>
  <si>
    <t>Quá nhỏ và không phù hợp chuyển tải</t>
  </si>
  <si>
    <t>Không cần xe thay thế; chỉ cần đổi thứ tự giao và xác nhận khách</t>
  </si>
  <si>
    <t>Xe dự phòng nếu khách đổi slot không thành công</t>
  </si>
  <si>
    <t>Không đủ tải/dung tích toàn cụm, chỉ phù hợp tách đơn nhỏ</t>
  </si>
  <si>
    <t>Ring road transshipment point</t>
  </si>
  <si>
    <t>Phù hợp cấm tải nội thành, đang gần điểm trung chuyển, được khuyến nghị</t>
  </si>
  <si>
    <t>Xe gốc bị chậm và không vào nội thành đúng giờ do cấm tải</t>
  </si>
  <si>
    <t>Đủ tải nhưng xe lớn không phù hợp cấm tải nội thành</t>
  </si>
  <si>
    <t>Gần nhưng thiếu tải nhẹ; chỉ dùng nếu tách đơn nhỏ hơn</t>
  </si>
  <si>
    <t>Step_No</t>
  </si>
  <si>
    <t>Step_Name</t>
  </si>
  <si>
    <t>Responsible</t>
  </si>
  <si>
    <t>System_Action</t>
  </si>
  <si>
    <t>Human_Action</t>
  </si>
  <si>
    <t>Output_Data</t>
  </si>
  <si>
    <t>Decision_Gate</t>
  </si>
  <si>
    <t>Risk_Control</t>
  </si>
  <si>
    <t>Detect</t>
  </si>
  <si>
    <t>AI Engine + Dispatcher</t>
  </si>
  <si>
    <t>Ghi nhận timestamp, vị trí, tuyến, xe, đơn bị ảnh hưởng</t>
  </si>
  <si>
    <t>GPS/tài xế/khách hàng phát hiện bất thường</t>
  </si>
  <si>
    <t>DYN01_Step_1_Output</t>
  </si>
  <si>
    <t>Continue</t>
  </si>
  <si>
    <t>Không được hủy đơn; nếu khách không đồng ý đổi giờ thì bắt buộc điều xe thay thế.</t>
  </si>
  <si>
    <t>Classify</t>
  </si>
  <si>
    <t>Gán loại sự cố: xe hỏng, đổi TW, đóng hàng muộn, tắc đường, bị kiểm tra</t>
  </si>
  <si>
    <t>Phân loại sự cố</t>
  </si>
  <si>
    <t>DYN01_Step_2_Output</t>
  </si>
  <si>
    <t>Impact Analysis</t>
  </si>
  <si>
    <t>Tính ETA mới, độ trễ, đơn bị ảnh hưởng, chi phí phát sinh, rủi ro SLA</t>
  </si>
  <si>
    <t>Tính ảnh hưởng</t>
  </si>
  <si>
    <t>DYN01_Step_3_Output</t>
  </si>
  <si>
    <t>Generate Options</t>
  </si>
  <si>
    <t>Đề xuất re-sequence, điều xe gần nhất, tách điểm, chuyển tải, xin đổi giờ</t>
  </si>
  <si>
    <t>Sinh phương án xử lý</t>
  </si>
  <si>
    <t>DYN01_Step_4_Output</t>
  </si>
  <si>
    <t>Go/No-Go</t>
  </si>
  <si>
    <t>Dispatcher Decision</t>
  </si>
  <si>
    <t>Dispatcher/Driver/CS</t>
  </si>
  <si>
    <t>So sánh SLA, chi phí, rủi ro, lợi nhuận và xin duyệt nếu cần</t>
  </si>
  <si>
    <t>Điều phối viên chọn phương án</t>
  </si>
  <si>
    <t>DYN01_Step_5_Output</t>
  </si>
  <si>
    <t>Re-optimize</t>
  </si>
  <si>
    <t>Tạo tuyến mới, ETA mới, danh sách tài xế/xe thay thế</t>
  </si>
  <si>
    <t>Chạy lại tuyến phần bị ảnh hưởng</t>
  </si>
  <si>
    <t>DYN01_Step_6_Output</t>
  </si>
  <si>
    <t>Notify</t>
  </si>
  <si>
    <t>Gửi lệnh tài xế, gọi khách/kho, gửi ETA mới, lưu xác nhận</t>
  </si>
  <si>
    <t>Thông báo các bên</t>
  </si>
  <si>
    <t>DYN01_Step_7_Output</t>
  </si>
  <si>
    <t>Close &amp; Learn</t>
  </si>
  <si>
    <t>Ghi nhận nguyên nhân, thời gian xử lý, chi phí, bài học cho mô hình</t>
  </si>
  <si>
    <t>Đóng sự cố và học lại</t>
  </si>
  <si>
    <t>DYN01_Step_8_Output</t>
  </si>
  <si>
    <t>DYN02_Step_1_Output</t>
  </si>
  <si>
    <t>Cần có xác nhận khách hàng trước khi cập nhật khung giờ mềm.</t>
  </si>
  <si>
    <t>DYN02_Step_2_Output</t>
  </si>
  <si>
    <t>DYN02_Step_3_Output</t>
  </si>
  <si>
    <t>DYN02_Step_4_Output</t>
  </si>
  <si>
    <t>DYN02_Step_5_Output</t>
  </si>
  <si>
    <t>DYN02_Step_6_Output</t>
  </si>
  <si>
    <t>DYN02_Step_7_Output</t>
  </si>
  <si>
    <t>DYN02_Step_8_Output</t>
  </si>
  <si>
    <t>DYN03_Step_1_Output</t>
  </si>
  <si>
    <t>Phải tuân thủ cấm tải; mọi chi phí chuyển tải vượt ngưỡng cần xin cấp trên.</t>
  </si>
  <si>
    <t>DYN03_Step_2_Output</t>
  </si>
  <si>
    <t>DYN03_Step_3_Output</t>
  </si>
  <si>
    <t>DYN03_Step_4_Output</t>
  </si>
  <si>
    <t>DYN03_Step_5_Output</t>
  </si>
  <si>
    <t>DYN03_Step_6_Output</t>
  </si>
  <si>
    <t>DYN03_Step_7_Output</t>
  </si>
  <si>
    <t>DYN03_Step_8_Output</t>
  </si>
  <si>
    <t>Situation</t>
  </si>
  <si>
    <t>Soft_Skill_Action</t>
  </si>
  <si>
    <t>Suggested_Script</t>
  </si>
  <si>
    <t>Owner</t>
  </si>
  <si>
    <t>Escalation_Condition</t>
  </si>
  <si>
    <t>Evidence_To_Save</t>
  </si>
  <si>
    <t>Xe hỏng và khách không cho đổi giờ</t>
  </si>
  <si>
    <t>Gọi khách/kho ngay để thông báo sự cố trung thực, xin giữ slot nhập hàng, cam kết xe thay thế đang đến</t>
  </si>
  <si>
    <t>Dạ anh/chị, xe đang gặp sự cố kỹ thuật trên đường. Bên em đã kích hoạt xe thay thế gần nhất và dự kiến vẫn đến trong khung giờ. Mong anh/chị hỗ trợ giữ slot để bên em không ảnh hưởng kế hoạch nhập kho của mình ạ.</t>
  </si>
  <si>
    <t>Dispatcher + CS</t>
  </si>
  <si>
    <t>Nếu revised ETA vẫn sau TW end hoặc phát sinh chi phí chuyển tải &gt; ngưỡng</t>
  </si>
  <si>
    <t>Call log, ETA mới, xác nhận tài xế nhận lệnh, ảnh sự cố nếu có</t>
  </si>
  <si>
    <t>Cần xe thay thế</t>
  </si>
  <si>
    <t>Gọi tài xế ứng viên, nói rõ địa điểm, tải còn lại, điểm giao và yêu cầu xác nhận nhận chuyến</t>
  </si>
  <si>
    <t>Anh ơi hệ thống đang điều anh hỗ trợ sự cố tuyến HN-ST-02. Anh xác nhận giúp em khả năng nhận 3.2 tấn/14 m3 và tới điểm chuyển tải trước 10:45 được không ạ?</t>
  </si>
  <si>
    <t>Dispatcher</t>
  </si>
  <si>
    <t>Nếu tài xế không xác nhận trong 3 phút, chuyển sang ứng viên thứ hai</t>
  </si>
  <si>
    <t>Driver confirmation timestamp</t>
  </si>
  <si>
    <t>Khách đổi giờ giao</t>
  </si>
  <si>
    <t>Không tranh luận; xác nhận lại khung giờ mới, xin văn bản/Zalo xác nhận để cập nhật hệ thống</t>
  </si>
  <si>
    <t>Dạ em xác nhận lại: đơn ORD-022 sẽ chuyển slot nhận sang 13:00-14:30. Bên em sẽ điều chỉnh thứ tự giao và gửi lại ETA trước khi xe đến ạ.</t>
  </si>
  <si>
    <t>CS/Dispatcher</t>
  </si>
  <si>
    <t>Nếu thay đổi làm trễ các đơn sau hoặc phát sinh phí chờ</t>
  </si>
  <si>
    <t>Customer confirmation, new TW</t>
  </si>
  <si>
    <t>Gọi kho để xác định giờ hàng sẵn sàng thật, tránh xe chờ vô ích</t>
  </si>
  <si>
    <t>Dạ bên em cần xác nhận hàng có thể bốc lúc mấy giờ để điều phối lại tuyến, tránh xe vào sớm rồi chờ lâu và ảnh hưởng các điểm sau ạ.</t>
  </si>
  <si>
    <t>Nếu chờ &gt; thời gian miễn phí hoặc ảnh hưởng đơn SLA cao</t>
  </si>
  <si>
    <t>Warehouse confirmation, wait reason</t>
  </si>
  <si>
    <t>Tắc đường/xe bị kiểm tra</t>
  </si>
  <si>
    <t>Gọi khách chủ động trước khi trễ, đưa ETA mới và phương án chuyển tải</t>
  </si>
  <si>
    <t>Dạ tuyến đang phát sinh kiểm tra và ùn tắc, để giữ đúng giờ giao bên em đề xuất tách 2 điểm nội thành sang xe nhỏ 1.25T. Bên em gửi lại ETA mới ngay sau khi tài xế xác nhận ạ.</t>
  </si>
  <si>
    <t>Nếu khách không chấp nhận trễ hoặc hàng vào vùng cấm tải</t>
  </si>
  <si>
    <t>Customer response, traffic/police report</t>
  </si>
  <si>
    <t>Chi phí chuyển tải phát sinh</t>
  </si>
  <si>
    <t>Xin duyệt cấp trên trước khi kích hoạt nếu vượt ngưỡng</t>
  </si>
  <si>
    <t>Em xin duyệt phương án chuyển tải sang xe 1.25T, chi phí phát sinh dự kiến 1.25 triệu nhưng tránh trễ SLA và bảo vệ doanh thu 5.2 triệu ạ.</t>
  </si>
  <si>
    <t>Nếu additional cost &gt; Escalation_Cost_Threshold</t>
  </si>
  <si>
    <t>Approval screenshot/email</t>
  </si>
  <si>
    <t>2 tài xế tự support nhau</t>
  </si>
  <si>
    <t>Group</t>
  </si>
  <si>
    <t>Function_or_Constraint</t>
  </si>
  <si>
    <t>Mathematical_Form</t>
  </si>
  <si>
    <t>Operational_Meaning</t>
  </si>
  <si>
    <t>Used_In_Case</t>
  </si>
  <si>
    <t>Dynamic Time Window</t>
  </si>
  <si>
    <t>Cập nhật khung giờ khách thay đổi</t>
  </si>
  <si>
    <t>TW_i(t+1) = [a_i', b_i'] if customer confirms; otherwise TW_i(t+1)=TW_i(t)</t>
  </si>
  <si>
    <t>Chỉ cập nhật time window khi có xác nhận khách/kho, tránh hệ thống tự ý thay đổi cam kết dịch vụ.</t>
  </si>
  <si>
    <t>Delay Propagation</t>
  </si>
  <si>
    <t>Tính ETA mới sau sự cố</t>
  </si>
  <si>
    <t>ETA_j^new = ETA_i^actual + service_i + travel_ij^updated</t>
  </si>
  <si>
    <t>Mọi điểm sau sự cố phải được tính lại ETA để biết trễ dây chuyền.</t>
  </si>
  <si>
    <t>DYN01; DYN03</t>
  </si>
  <si>
    <t>Soft Time Window</t>
  </si>
  <si>
    <t>Cho phép trễ có phạt</t>
  </si>
  <si>
    <t>Late_i = max(0, ETA_i - b_i); Penalty_i = π_i × Late_i</t>
  </si>
  <si>
    <t>Nếu không thương lượng được, phần trễ chuyển thành chi phí/phạt SLA trong hàm mục tiêu.</t>
  </si>
  <si>
    <t>All</t>
  </si>
  <si>
    <t>Candidate Search</t>
  </si>
  <si>
    <t>Quét xe thay thế trong bán kính</t>
  </si>
  <si>
    <t>Candidate_k = 1 if 2km ≤ dist(k, incident) ≤ 30km</t>
  </si>
  <si>
    <t>Khi xe hỏng/bị giữ, hệ thống quét xe rỗng hoặc xe có thể rẽ tuyến trong bán kính 2-30km.</t>
  </si>
  <si>
    <t>Capacity Feasibility</t>
  </si>
  <si>
    <t>Kiểm tra tải và dung tích</t>
  </si>
  <si>
    <t>AvailableLoad_k ≥ RequiredLoad_r and AvailableVolume_k ≥ RequiredVolume_r</t>
  </si>
  <si>
    <t>Xe thay thế chỉ hợp lệ nếu đủ tải trọng và dung tích cho phần hàng còn lại.</t>
  </si>
  <si>
    <t>Recovery Time Feasibility</t>
  </si>
  <si>
    <t>Kiểm tra kịp cứu tuyến</t>
  </si>
  <si>
    <t>ETA_to_incident_k + transferTime + remainingTravel ≤ latestAllowedTime</t>
  </si>
  <si>
    <t>Xe gần nhưng không kịp thời gian thì không được chọn.</t>
  </si>
  <si>
    <t>Dynamic Re-routing Objective</t>
  </si>
  <si>
    <t>Tối ưu lại phần còn lại của tuyến</t>
  </si>
  <si>
    <t>max ΔProfit = Revenue_saved + EmptyCostAvoided - AdditionalCost - LatePenalty - DelayRisk</t>
  </si>
  <si>
    <t>Không chỉ giảm trễ mà còn bảo vệ lợi nhuận, hạn chế phí rỗng và chi phí phát sinh.</t>
  </si>
  <si>
    <t>Road Restriction</t>
  </si>
  <si>
    <t>Cấm tải/loại xe không phù hợp</t>
  </si>
  <si>
    <t>y_ik ≤ comp_ik; comp_ik=0 if vehicle violates road/time restriction</t>
  </si>
  <si>
    <t>Xe lớn không được vào nội thành trong giờ cấm; cần tách sang xe nhỏ hoặc chuyển tải.</t>
  </si>
  <si>
    <t>Driver Confirmation</t>
  </si>
  <si>
    <t>Xác nhận tài xế nhận tuyến mới</t>
  </si>
  <si>
    <t>RouteChange_k is active only if DriverConfirm_k = YES</t>
  </si>
  <si>
    <t>Không gửi kế hoạch mới xuống khách hàng nếu tài xế chưa xác nhận có thể nhận lệnh.</t>
  </si>
  <si>
    <t>Escalation Rule</t>
  </si>
  <si>
    <t>Xin duyệt cấp trên</t>
  </si>
  <si>
    <t>SupervisorApproval = required if AdditionalCost &gt; Threshold or ResidualRisk ∈ {High, Medium-High}</t>
  </si>
  <si>
    <t>Các phương án phát sinh chi phí lớn/rủi ro cao phải có duyệt trước khi thực hiện.</t>
  </si>
  <si>
    <t>No Cancellation Rule</t>
  </si>
  <si>
    <t>Không hủy đơn nếu còn phương án khả thi</t>
  </si>
  <si>
    <t>Cancel_r = 0 if ∃ feasible k or feasible TW negotiation</t>
  </si>
  <si>
    <t>Hệ thống ưu tiên điều xe, tách điểm, chuyển tải, thương lượng, không hủy đơn.</t>
  </si>
  <si>
    <t>Risk Score</t>
  </si>
  <si>
    <t>Chấm điểm rủi ro sau xử lý</t>
  </si>
  <si>
    <t>RiskScore = 0.35×LateRisk + 0.25×CostRisk + 0.2×ComplianceRisk + 0.2×CustomerRisk</t>
  </si>
  <si>
    <t>Dùng để phân màu Xanh/Vàng/Cam/Đỏ cho dispatcher.</t>
  </si>
  <si>
    <t>Risk_ID</t>
  </si>
  <si>
    <t>Risk_Type</t>
  </si>
  <si>
    <t>Description</t>
  </si>
  <si>
    <t>Probability</t>
  </si>
  <si>
    <t>Severity</t>
  </si>
  <si>
    <t>Early_Signal</t>
  </si>
  <si>
    <t>Mitigation</t>
  </si>
  <si>
    <t>Escalation</t>
  </si>
  <si>
    <t>R01</t>
  </si>
  <si>
    <t>SLA</t>
  </si>
  <si>
    <t>Xe hỏng khiến đơn ORD-014 có nguy cơ quá giờ nhập kho cố định</t>
  </si>
  <si>
    <t>GPS đứng yên &gt;10 phút; tài xế báo lỗi</t>
  </si>
  <si>
    <t>Điều xe gần nhất; chuyển tải tại điểm an toàn; gửi ETA mới</t>
  </si>
  <si>
    <t>Nếu không có xe trong 30km hoặc revised ETA &gt; TW end</t>
  </si>
  <si>
    <t>R02</t>
  </si>
  <si>
    <t>Cost</t>
  </si>
  <si>
    <t>Chi phí chuyển tải và tài xế phụ làm giảm lợi nhuận tuyến</t>
  </si>
  <si>
    <t>Additional cost &gt; 850k</t>
  </si>
  <si>
    <t>Ops Supervisor</t>
  </si>
  <si>
    <t>Chọn xe gần nhất đủ tải, không chọn xe lớn xa hơn nếu không cần</t>
  </si>
  <si>
    <t>Nếu chi phí &gt; 1 triệu</t>
  </si>
  <si>
    <t>R03</t>
  </si>
  <si>
    <t>Khách đổi giờ nhưng không xác nhận bằng văn bản/Zalo</t>
  </si>
  <si>
    <t>Thông tin chỉ qua cuộc gọi</t>
  </si>
  <si>
    <t>CS</t>
  </si>
  <si>
    <t>Yêu cầu xác nhận lại qua Zalo/email, lưu vào Communication Log</t>
  </si>
  <si>
    <t>Nếu khách từ chối xác nhận</t>
  </si>
  <si>
    <t>R04</t>
  </si>
  <si>
    <t>Waiting</t>
  </si>
  <si>
    <t>Kho đóng hàng muộn làm xe chờ và trễ điểm sau</t>
  </si>
  <si>
    <t>Warehouse ready time lệch &gt;30 phút</t>
  </si>
  <si>
    <t>Đổi thứ tự giao; dùng điểm gần để lấp thời gian chờ</t>
  </si>
  <si>
    <t>Nếu chờ &gt; thời gian miễn phí</t>
  </si>
  <si>
    <t>R05</t>
  </si>
  <si>
    <t>Compliance</t>
  </si>
  <si>
    <t>Xe lớn vào nội thành trong giờ cấm tải</t>
  </si>
  <si>
    <t>ETA rơi vào 16:30-19:30 tại khu hạn chế</t>
  </si>
  <si>
    <t>Tách điểm nội thành sang xe 1.25T, xe lớn dừng ngoài vành đai</t>
  </si>
  <si>
    <t>Luôn xin duyệt nếu phải chuyển tải</t>
  </si>
  <si>
    <t>R06</t>
  </si>
  <si>
    <t>Tài xế không xác nhận tuyến mới hoặc hết ca</t>
  </si>
  <si>
    <t>Driver confirmation pending &gt;3 phút</t>
  </si>
  <si>
    <t>Chuyển sang ứng viên tiếp theo, cập nhật Driver Portal</t>
  </si>
  <si>
    <t>Nếu 2 ứng viên liên tiếp không xác nhận</t>
  </si>
  <si>
    <t>R07</t>
  </si>
  <si>
    <t>Khách chỉ chấp nhận trễ tối đa 15 phút</t>
  </si>
  <si>
    <t>Revised ETA &gt; TW end + 15 phút</t>
  </si>
  <si>
    <t>CS/Ops</t>
  </si>
  <si>
    <t>Gọi khách trước, đưa 2 phương án ETA và cam kết xe nhỏ</t>
  </si>
  <si>
    <t>Nếu khách không đồng ý và có phạt SLA</t>
  </si>
  <si>
    <t>DYNAMIC DISPATCH DASHBOARD - 3 IN-DAY EXCEPTION CASES</t>
  </si>
  <si>
    <t>KPI</t>
  </si>
  <si>
    <t>Formula/Value</t>
  </si>
  <si>
    <t>Interpretation</t>
  </si>
  <si>
    <t>Total dynamic cases</t>
  </si>
  <si>
    <t>Số case động trong ngày</t>
  </si>
  <si>
    <t>Resolved cases</t>
  </si>
  <si>
    <t>Số case đã có phương án xử lý</t>
  </si>
  <si>
    <t>On-time after action</t>
  </si>
  <si>
    <t>Tỷ lệ case vẫn giữ được SLA sau xử lý</t>
  </si>
  <si>
    <t>Average delay before action</t>
  </si>
  <si>
    <t>Trễ trung bình nếu không xử lý</t>
  </si>
  <si>
    <t>Average delay after action</t>
  </si>
  <si>
    <t>Trễ trung bình sau re-route/thương lượng</t>
  </si>
  <si>
    <t>Total additional cost</t>
  </si>
  <si>
    <t>Tổng chi phí phát sinh để cứu tuyến</t>
  </si>
  <si>
    <t>Total empty km avoided</t>
  </si>
  <si>
    <t>Km rỗng tránh được nhờ điều phối/ghép tuyến</t>
  </si>
  <si>
    <t>Total profit protected</t>
  </si>
  <si>
    <t>Doanh thu/chi phí được bảo vệ sau xử lý</t>
  </si>
  <si>
    <t>Event</t>
  </si>
  <si>
    <t>No Action Delay</t>
  </si>
  <si>
    <t>After Action Delay</t>
  </si>
  <si>
    <t>Selected Decision</t>
  </si>
  <si>
    <t>Residual Risk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</si>
</sst>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
    <numFmt numFmtId="165" formatCode="hh:mm"/>
    <numFmt numFmtId="166" formatCode="0.0%"/>
  </numFmts>
  <fonts count="6">
    <font>
      <sz val="11.0"/>
      <color rgb="FF000000"/>
      <name val="Carlito"/>
      <scheme val="minor"/>
    </font>
    <font>
      <b/>
      <sz val="15.0"/>
      <color rgb="FFFFFFFF"/>
      <name val="Carlito"/>
    </font>
    <font>
      <b/>
      <sz val="11.0"/>
      <color rgb="FF0F766E"/>
      <name val="Carlito"/>
    </font>
    <font>
      <sz val="11.0"/>
      <color theme="1"/>
      <name val="Carlito"/>
    </font>
    <font>
      <color theme="1"/>
      <name val="Carlito"/>
      <scheme val="minor"/>
    </font>
    <font>
      <b/>
      <sz val="11.0"/>
      <color rgb="FFFFFFFF"/>
      <name val="Carlito"/>
    </font>
  </fonts>
  <fills count="5">
    <fill>
      <patternFill patternType="none"/>
    </fill>
    <fill>
      <patternFill patternType="lightGray"/>
    </fill>
    <fill>
      <patternFill patternType="solid">
        <fgColor rgb="FF0B1120"/>
        <bgColor rgb="FF0B1120"/>
      </patternFill>
    </fill>
    <fill>
      <patternFill patternType="solid">
        <fgColor rgb="FFFFFF00"/>
        <bgColor rgb="FFFFFF00"/>
      </patternFill>
    </fill>
    <fill>
      <patternFill patternType="solid">
        <fgColor rgb="FF0F766E"/>
        <bgColor rgb="FF0F766E"/>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3" fontId="4" numFmtId="0" xfId="0" applyAlignment="1" applyFill="1" applyFont="1">
      <alignment readingOrder="0"/>
    </xf>
    <xf borderId="0" fillId="3" fontId="4" numFmtId="0" xfId="0" applyFont="1"/>
    <xf borderId="0" fillId="4" fontId="5" numFmtId="0" xfId="0" applyAlignment="1" applyFill="1" applyFont="1">
      <alignment horizontal="center" shrinkToFit="0" vertical="center" wrapText="1"/>
    </xf>
    <xf borderId="0" fillId="0" fontId="4" numFmtId="0" xfId="0" applyFont="1"/>
    <xf borderId="0" fillId="4" fontId="5" numFmtId="164" xfId="0" applyAlignment="1" applyFont="1" applyNumberFormat="1">
      <alignment horizontal="center" shrinkToFit="0" vertical="center" wrapText="1"/>
    </xf>
    <xf borderId="0" fillId="4" fontId="5" numFmtId="165" xfId="0" applyAlignment="1" applyFont="1" applyNumberFormat="1">
      <alignment horizontal="center" shrinkToFit="0" vertical="center" wrapText="1"/>
    </xf>
    <xf borderId="0" fillId="4" fontId="5" numFmtId="3" xfId="0" applyAlignment="1" applyFont="1" applyNumberFormat="1">
      <alignment horizontal="center"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shrinkToFit="0" wrapText="1"/>
    </xf>
    <xf borderId="0" fillId="0" fontId="4" numFmtId="0" xfId="0" applyAlignment="1" applyFont="1">
      <alignment shrinkToFit="0" wrapText="1"/>
    </xf>
    <xf borderId="0" fillId="0" fontId="4" numFmtId="0" xfId="0" applyAlignment="1" applyFont="1">
      <alignment vertical="center"/>
    </xf>
    <xf borderId="0" fillId="0" fontId="4" numFmtId="0" xfId="0" applyAlignment="1" applyFont="1">
      <alignment readingOrder="0"/>
    </xf>
    <xf borderId="0" fillId="2" fontId="1" numFmtId="0" xfId="0" applyAlignment="1" applyFont="1">
      <alignment horizontal="center" shrinkToFit="0" wrapText="1"/>
    </xf>
    <xf borderId="0" fillId="4" fontId="5" numFmtId="0" xfId="0" applyAlignment="1" applyFont="1">
      <alignment horizontal="center" shrinkToFit="0" vertical="center" wrapText="1"/>
    </xf>
    <xf borderId="0" fillId="0" fontId="4" numFmtId="0" xfId="0" applyFont="1"/>
    <xf borderId="0" fillId="0" fontId="3" numFmtId="166" xfId="0" applyFont="1" applyNumberFormat="1"/>
    <xf borderId="0" fillId="0" fontId="3" numFmtId="3" xfId="0" applyFont="1" applyNumberForma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color rgb="FF166534"/>
      </font>
      <fill>
        <patternFill patternType="solid">
          <fgColor rgb="FFDCFCE7"/>
          <bgColor rgb="FFDCFCE7"/>
        </patternFill>
      </fill>
      <border/>
    </dxf>
    <dxf>
      <font>
        <color rgb="FF92400E"/>
      </font>
      <fill>
        <patternFill patternType="solid">
          <fgColor rgb="FFFEF3C7"/>
          <bgColor rgb="FFFEF3C7"/>
        </patternFill>
      </fill>
      <border/>
    </dxf>
    <dxf>
      <font>
        <color rgb="FF991B1B"/>
      </font>
      <fill>
        <patternFill patternType="solid">
          <fgColor rgb="FFFECACA"/>
          <bgColor rgb="FFFECACA"/>
        </patternFill>
      </fill>
      <border/>
    </dxf>
  </dxfs>
  <tableStyles count="10">
    <tableStyle count="3" pivot="0" name="Parameters-style">
      <tableStyleElement dxfId="1" type="headerRow"/>
      <tableStyleElement dxfId="2" type="firstRowStripe"/>
      <tableStyleElement dxfId="3" type="secondRowStripe"/>
    </tableStyle>
    <tableStyle count="3" pivot="0" name="Dynamic_Cases-style">
      <tableStyleElement dxfId="1" type="headerRow"/>
      <tableStyleElement dxfId="2" type="firstRowStripe"/>
      <tableStyleElement dxfId="3" type="secondRowStripe"/>
    </tableStyle>
    <tableStyle count="3" pivot="0" name="Vehicles_Live_40-style">
      <tableStyleElement dxfId="1" type="headerRow"/>
      <tableStyleElement dxfId="2" type="firstRowStripe"/>
      <tableStyleElement dxfId="3" type="secondRowStripe"/>
    </tableStyle>
    <tableStyle count="3" pivot="0" name="Orders_Live-style">
      <tableStyleElement dxfId="1" type="headerRow"/>
      <tableStyleElement dxfId="2" type="firstRowStripe"/>
      <tableStyleElement dxfId="3" type="secondRowStripe"/>
    </tableStyle>
    <tableStyle count="3" pivot="0" name="Replacement_Candidates-style">
      <tableStyleElement dxfId="1" type="headerRow"/>
      <tableStyleElement dxfId="2" type="firstRowStripe"/>
      <tableStyleElement dxfId="3" type="secondRowStripe"/>
    </tableStyle>
    <tableStyle count="3" pivot="0" name="Event_Workflow-style">
      <tableStyleElement dxfId="1" type="headerRow"/>
      <tableStyleElement dxfId="2" type="firstRowStripe"/>
      <tableStyleElement dxfId="3" type="secondRowStripe"/>
    </tableStyle>
    <tableStyle count="3" pivot="0" name="Soft_Skill_Playbook-style">
      <tableStyleElement dxfId="1" type="headerRow"/>
      <tableStyleElement dxfId="2" type="firstRowStripe"/>
      <tableStyleElement dxfId="3" type="secondRowStripe"/>
    </tableStyle>
    <tableStyle count="3" pivot="0" name="Constraint_Functions-style">
      <tableStyleElement dxfId="1" type="headerRow"/>
      <tableStyleElement dxfId="2" type="firstRowStripe"/>
      <tableStyleElement dxfId="3" type="secondRowStripe"/>
    </tableStyle>
    <tableStyle count="3" pivot="0" name="Risk_Register-style">
      <tableStyleElement dxfId="1" type="headerRow"/>
      <tableStyleElement dxfId="2" type="firstRowStripe"/>
      <tableStyleElement dxfId="3" type="secondRowStripe"/>
    </tableStyle>
    <tableStyle count="3" pivot="0" name="Dashboar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0" displayName="Table_1" name="Table_1" id="1">
  <tableColumns count="4">
    <tableColumn name="Parameter" id="1"/>
    <tableColumn name="Value" id="2"/>
    <tableColumn name="Unit" id="3"/>
    <tableColumn name="Purpose" id="4"/>
  </tableColumns>
  <tableStyleInfo name="Parameters-style" showColumnStripes="0" showFirstColumn="1" showLastColumn="1" showRowStripes="1"/>
</table>
</file>

<file path=xl/tables/table2.xml><?xml version="1.0" encoding="utf-8"?>
<table xmlns="http://schemas.openxmlformats.org/spreadsheetml/2006/main" ref="A1:AD4" displayName="Table_2" name="Table_2" id="2">
  <tableColumns count="30">
    <tableColumn name="Case_ID" id="1"/>
    <tableColumn name="Case_Name" id="2"/>
    <tableColumn name="Event_Time" id="3"/>
    <tableColumn name="Phase" id="4"/>
    <tableColumn name="Trigger_Source" id="5"/>
    <tableColumn name="Route_ID" id="6"/>
    <tableColumn name="Primary_Order_ID" id="7"/>
    <tableColumn name="Original_Vehicle" id="8"/>
    <tableColumn name="Event_Type" id="9"/>
    <tableColumn name="Original_TW_Start" id="10"/>
    <tableColumn name="Original_TW_End" id="11"/>
    <tableColumn name="ETA_No_Action" id="12"/>
    <tableColumn name="Revised_ETA_After_Action" id="13"/>
    <tableColumn name="Impacted_Orders" id="14"/>
    <tableColumn name="Required_Load_Ton" id="15"/>
    <tableColumn name="Required_Volume_m3" id="16"/>
    <tableColumn name="Must_Not_Cancel" id="17"/>
    <tableColumn name="Negotiation_Result" id="18"/>
    <tableColumn name="Selected_Decision" id="19"/>
    <tableColumn name="Delay_Before_Min" id="20"/>
    <tableColumn name="Delay_After_Min" id="21"/>
    <tableColumn name="SLA_After_Action" id="22"/>
    <tableColumn name="Revenue_At_Risk_VND" id="23"/>
    <tableColumn name="Additional_Cost_VND" id="24"/>
    <tableColumn name="Empty_KM_Avoided" id="25"/>
    <tableColumn name="Empty_Cost_Avoided_VND" id="26"/>
    <tableColumn name="Profit_Protected_VND" id="27"/>
    <tableColumn name="Resolution_Status" id="28"/>
    <tableColumn name="Residual_Risk" id="29"/>
    <tableColumn name="Core_Rationale" id="30"/>
  </tableColumns>
  <tableStyleInfo name="Dynamic_Cases-style" showColumnStripes="0" showFirstColumn="1" showLastColumn="1" showRowStripes="1"/>
</table>
</file>

<file path=xl/tables/table3.xml><?xml version="1.0" encoding="utf-8"?>
<table xmlns="http://schemas.openxmlformats.org/spreadsheetml/2006/main" ref="A1:Y41" displayName="Table_3" name="Table_3" id="3">
  <tableColumns count="25">
    <tableColumn name="Vehicle_ID" id="1"/>
    <tableColumn name="Plate_No" id="2"/>
    <tableColumn name="Vehicle_Type" id="3"/>
    <tableColumn name="Max_Ton" id="4"/>
    <tableColumn name="Max_m3" id="5"/>
    <tableColumn name="Driver" id="6"/>
    <tableColumn name="Phone" id="7"/>
    <tableColumn name="Home_Depot" id="8"/>
    <tableColumn name="Region_Profile" id="9"/>
    <tableColumn name="Shift_Start" id="10"/>
    <tableColumn name="Shift_End" id="11"/>
    <tableColumn name="Current_Status" id="12"/>
    <tableColumn name="Current_Location" id="13"/>
    <tableColumn name="Lat" id="14"/>
    <tableColumn name="Lon" id="15"/>
    <tableColumn name="Current_Route" id="16"/>
    <tableColumn name="Remaining_Capacity_Ton" id="17"/>
    <tableColumn name="Remaining_Volume_m3" id="18"/>
    <tableColumn name="Remaining_Stops" id="19"/>
    <tableColumn name="Current_Load_Ton" id="20"/>
    <tableColumn name="GPS_Last_Update" id="21"/>
    <tableColumn name="Can_Reroute" id="22"/>
    <tableColumn name="Maintenance_Risk" id="23"/>
    <tableColumn name="Driver_Time_Risk" id="24"/>
    <tableColumn name="Notes" id="25"/>
  </tableColumns>
  <tableStyleInfo name="Vehicles_Live_40-style" showColumnStripes="0" showFirstColumn="1" showLastColumn="1" showRowStripes="1"/>
</table>
</file>

<file path=xl/tables/table4.xml><?xml version="1.0" encoding="utf-8"?>
<table xmlns="http://schemas.openxmlformats.org/spreadsheetml/2006/main" ref="A1:AB10" displayName="Table_4" name="Table_4" id="4">
  <tableColumns count="28">
    <tableColumn name="Order_ID" id="1"/>
    <tableColumn name="Case_ID" id="2"/>
    <tableColumn name="Customer" id="3"/>
    <tableColumn name="Channel" id="4"/>
    <tableColumn name="Pickup_Point" id="5"/>
    <tableColumn name="Delivery_Point" id="6"/>
    <tableColumn name="Required_Vehicle_Type" id="7"/>
    <tableColumn name="Weight_Ton" id="8"/>
    <tableColumn name="Volume_m3" id="9"/>
    <tableColumn name="Original_Pickup_TW_Start" id="10"/>
    <tableColumn name="Original_Pickup_TW_End" id="11"/>
    <tableColumn name="Original_Delivery_TW_Start" id="12"/>
    <tableColumn name="Original_Delivery_TW_End" id="13"/>
    <tableColumn name="Current_Pickup_TW_Start" id="14"/>
    <tableColumn name="Current_Pickup_TW_End" id="15"/>
    <tableColumn name="Current_Delivery_TW_Start" id="16"/>
    <tableColumn name="Current_Delivery_TW_End" id="17"/>
    <tableColumn name="Original_Vehicle" id="18"/>
    <tableColumn name="Current_Assigned_Vehicle" id="19"/>
    <tableColumn name="ETA_No_Action" id="20"/>
    <tableColumn name="ETA_After_Action" id="21"/>
    <tableColumn name="Delay_No_Action_Min" id="22"/>
    <tableColumn name="Delay_After_Action_Min" id="23"/>
    <tableColumn name="SLA_Status" id="24"/>
    <tableColumn name="Customer_Confirmation" id="25"/>
    <tableColumn name="Driver_Confirmation" id="26"/>
    <tableColumn name="Dispatch_Action" id="27"/>
    <tableColumn name="Risk_Note" id="28"/>
  </tableColumns>
  <tableStyleInfo name="Orders_Live-style" showColumnStripes="0" showFirstColumn="1" showLastColumn="1" showRowStripes="1"/>
</table>
</file>

<file path=xl/tables/table5.xml><?xml version="1.0" encoding="utf-8"?>
<table xmlns="http://schemas.openxmlformats.org/spreadsheetml/2006/main" ref="A1:AA12" displayName="Table_5" name="Table_5" id="5">
  <tableColumns count="27">
    <tableColumn name="Case_ID" id="1"/>
    <tableColumn name="Incident_Location" id="2"/>
    <tableColumn name="Incident_Lat" id="3"/>
    <tableColumn name="Incident_Lon" id="4"/>
    <tableColumn name="Candidate_Vehicle" id="5"/>
    <tableColumn name="Vehicle_Type" id="6"/>
    <tableColumn name="Candidate_Status" id="7"/>
    <tableColumn name="Candidate_Lat" id="8"/>
    <tableColumn name="Candidate_Lon" id="9"/>
    <tableColumn name="Distance_To_Incident_Km" id="10"/>
    <tableColumn name="Search_Radius_Km" id="11"/>
    <tableColumn name="Within_Radius" id="12"/>
    <tableColumn name="Available_Payload_Ton" id="13"/>
    <tableColumn name="Required_Payload_Ton" id="14"/>
    <tableColumn name="Available_m3" id="15"/>
    <tableColumn name="Required_m3" id="16"/>
    <tableColumn name="Capacity_OK" id="17"/>
    <tableColumn name="ETA_To_Incident_Min" id="18"/>
    <tableColumn name="Transfer_Time_Min" id="19"/>
    <tableColumn name="Latest_Recovery_Arrival" id="20"/>
    <tableColumn name="Recovery_Feasible" id="21"/>
    <tableColumn name="Driver_Confirm" id="22"/>
    <tableColumn name="Supervisor_Approval" id="23"/>
    <tableColumn name="Risk_Deduct" id="24"/>
    <tableColumn name="Candidate_Score" id="25"/>
    <tableColumn name="Recommended" id="26"/>
    <tableColumn name="Reason" id="27"/>
  </tableColumns>
  <tableStyleInfo name="Replacement_Candidates-style" showColumnStripes="0" showFirstColumn="1" showLastColumn="1" showRowStripes="1"/>
</table>
</file>

<file path=xl/tables/table6.xml><?xml version="1.0" encoding="utf-8"?>
<table xmlns="http://schemas.openxmlformats.org/spreadsheetml/2006/main" ref="A1:I25" displayName="Table_6" name="Table_6" id="6">
  <tableColumns count="9">
    <tableColumn name="Case_ID" id="1"/>
    <tableColumn name="Step_No" id="2"/>
    <tableColumn name="Step_Name" id="3"/>
    <tableColumn name="Responsible" id="4"/>
    <tableColumn name="System_Action" id="5"/>
    <tableColumn name="Human_Action" id="6"/>
    <tableColumn name="Output_Data" id="7"/>
    <tableColumn name="Decision_Gate" id="8"/>
    <tableColumn name="Risk_Control" id="9"/>
  </tableColumns>
  <tableStyleInfo name="Event_Workflow-style" showColumnStripes="0" showFirstColumn="1" showLastColumn="1" showRowStripes="1"/>
</table>
</file>

<file path=xl/tables/table7.xml><?xml version="1.0" encoding="utf-8"?>
<table xmlns="http://schemas.openxmlformats.org/spreadsheetml/2006/main" ref="A1:G7" displayName="Table_7" name="Table_7" id="7">
  <tableColumns count="7">
    <tableColumn name="Case_ID" id="1"/>
    <tableColumn name="Situation" id="2"/>
    <tableColumn name="Soft_Skill_Action" id="3"/>
    <tableColumn name="Suggested_Script" id="4"/>
    <tableColumn name="Owner" id="5"/>
    <tableColumn name="Escalation_Condition" id="6"/>
    <tableColumn name="Evidence_To_Save" id="7"/>
  </tableColumns>
  <tableStyleInfo name="Soft_Skill_Playbook-style" showColumnStripes="0" showFirstColumn="1" showLastColumn="1" showRowStripes="1"/>
</table>
</file>

<file path=xl/tables/table8.xml><?xml version="1.0" encoding="utf-8"?>
<table xmlns="http://schemas.openxmlformats.org/spreadsheetml/2006/main" ref="A1:E13" displayName="Table_8" name="Table_8" id="8">
  <tableColumns count="5">
    <tableColumn name="Group" id="1"/>
    <tableColumn name="Function_or_Constraint" id="2"/>
    <tableColumn name="Mathematical_Form" id="3"/>
    <tableColumn name="Operational_Meaning" id="4"/>
    <tableColumn name="Used_In_Case" id="5"/>
  </tableColumns>
  <tableStyleInfo name="Constraint_Functions-style" showColumnStripes="0" showFirstColumn="1" showLastColumn="1" showRowStripes="1"/>
</table>
</file>

<file path=xl/tables/table9.xml><?xml version="1.0" encoding="utf-8"?>
<table xmlns="http://schemas.openxmlformats.org/spreadsheetml/2006/main" ref="A1:J8" displayName="Table_9" name="Table_9" id="9">
  <tableColumns count="10">
    <tableColumn name="Case_ID" id="1"/>
    <tableColumn name="Risk_ID" id="2"/>
    <tableColumn name="Risk_Type" id="3"/>
    <tableColumn name="Description" id="4"/>
    <tableColumn name="Probability" id="5"/>
    <tableColumn name="Severity" id="6"/>
    <tableColumn name="Early_Signal" id="7"/>
    <tableColumn name="Owner" id="8"/>
    <tableColumn name="Mitigation" id="9"/>
    <tableColumn name="Escalation" id="10"/>
  </tableColumns>
  <tableStyleInfo name="Risk_Register-style" showColumnStripes="0" showFirstColumn="1" showLastColumn="1" showRowStripes="1"/>
</table>
</file>

<file path=xl/tables/table10.xml><?xml version="1.0" encoding="utf-8"?>
<table xmlns="http://schemas.openxmlformats.org/spreadsheetml/2006/main" ref="A14:G17" displayName="Table_10" name="Table_10" id="10">
  <tableColumns count="7">
    <tableColumn name="Case_ID" id="1"/>
    <tableColumn name="Event" id="2"/>
    <tableColumn name="No Action Delay" id="3"/>
    <tableColumn name="After Action Delay" id="4"/>
    <tableColumn name="SLA" id="5"/>
    <tableColumn name="Selected Decision" id="6"/>
    <tableColumn name="Residual Risk" id="7"/>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95.0"/>
    <col customWidth="1" min="3" max="26" width="8.63"/>
  </cols>
  <sheetData>
    <row r="1">
      <c r="A1" s="1" t="s">
        <v>0</v>
      </c>
    </row>
    <row r="2">
      <c r="A2" s="2" t="s">
        <v>1</v>
      </c>
      <c r="B2" s="3" t="s">
        <v>2</v>
      </c>
    </row>
    <row r="3">
      <c r="A3" s="2" t="s">
        <v>3</v>
      </c>
      <c r="B3" s="3" t="s">
        <v>4</v>
      </c>
    </row>
    <row r="4">
      <c r="A4" s="2" t="s">
        <v>5</v>
      </c>
      <c r="B4" s="3" t="s">
        <v>6</v>
      </c>
    </row>
    <row r="5">
      <c r="A5" s="2" t="s">
        <v>7</v>
      </c>
      <c r="B5" s="3" t="s">
        <v>8</v>
      </c>
    </row>
    <row r="6">
      <c r="A6" s="2" t="s">
        <v>9</v>
      </c>
      <c r="B6" s="3" t="s">
        <v>10</v>
      </c>
    </row>
    <row r="7">
      <c r="A7" s="2" t="s">
        <v>11</v>
      </c>
      <c r="B7" s="3" t="s">
        <v>12</v>
      </c>
    </row>
    <row r="9">
      <c r="A9" s="4" t="s">
        <v>13</v>
      </c>
      <c r="B9" s="4" t="s">
        <v>14</v>
      </c>
    </row>
    <row r="10">
      <c r="A10" s="5"/>
      <c r="B10" s="4" t="s">
        <v>15</v>
      </c>
    </row>
    <row r="11">
      <c r="A11" s="5"/>
      <c r="B11" s="4"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2" width="7.13"/>
    <col customWidth="1" min="3" max="3" width="7.38"/>
    <col customWidth="1" min="4" max="4" width="41.88"/>
    <col customWidth="1" min="5" max="26" width="8.63"/>
  </cols>
  <sheetData>
    <row r="1">
      <c r="A1" s="6" t="s">
        <v>17</v>
      </c>
      <c r="B1" s="6" t="s">
        <v>18</v>
      </c>
      <c r="C1" s="6" t="s">
        <v>19</v>
      </c>
      <c r="D1" s="6" t="s">
        <v>20</v>
      </c>
    </row>
    <row r="2">
      <c r="A2" s="7" t="s">
        <v>21</v>
      </c>
      <c r="B2" s="7">
        <v>2.0</v>
      </c>
      <c r="C2" s="7" t="s">
        <v>22</v>
      </c>
      <c r="D2" s="7" t="s">
        <v>23</v>
      </c>
    </row>
    <row r="3">
      <c r="A3" s="7" t="s">
        <v>24</v>
      </c>
      <c r="B3" s="7">
        <v>30.0</v>
      </c>
      <c r="C3" s="7" t="s">
        <v>22</v>
      </c>
      <c r="D3" s="7" t="s">
        <v>25</v>
      </c>
    </row>
    <row r="4">
      <c r="A4" s="7" t="s">
        <v>26</v>
      </c>
      <c r="B4" s="7">
        <v>35.0</v>
      </c>
      <c r="C4" s="7" t="s">
        <v>27</v>
      </c>
      <c r="D4" s="7" t="s">
        <v>28</v>
      </c>
    </row>
    <row r="5">
      <c r="A5" s="7" t="s">
        <v>29</v>
      </c>
      <c r="B5" s="7">
        <v>20.0</v>
      </c>
      <c r="C5" s="7" t="s">
        <v>30</v>
      </c>
      <c r="D5" s="7" t="s">
        <v>31</v>
      </c>
    </row>
    <row r="6">
      <c r="A6" s="7" t="s">
        <v>32</v>
      </c>
      <c r="B6" s="7">
        <v>10200.0</v>
      </c>
      <c r="C6" s="7" t="s">
        <v>33</v>
      </c>
      <c r="D6" s="7" t="s">
        <v>34</v>
      </c>
    </row>
    <row r="7">
      <c r="A7" s="7" t="s">
        <v>35</v>
      </c>
      <c r="B7" s="7">
        <v>50000.0</v>
      </c>
      <c r="C7" s="7" t="s">
        <v>36</v>
      </c>
      <c r="D7" s="7" t="s">
        <v>37</v>
      </c>
    </row>
    <row r="8">
      <c r="A8" s="7" t="s">
        <v>38</v>
      </c>
      <c r="B8" s="7">
        <v>1000000.0</v>
      </c>
      <c r="C8" s="7" t="s">
        <v>39</v>
      </c>
      <c r="D8" s="7" t="s">
        <v>40</v>
      </c>
    </row>
    <row r="9">
      <c r="A9" s="7" t="s">
        <v>41</v>
      </c>
      <c r="B9" s="7">
        <v>30.0</v>
      </c>
      <c r="C9" s="7" t="s">
        <v>30</v>
      </c>
      <c r="D9" s="7" t="s">
        <v>42</v>
      </c>
    </row>
    <row r="10">
      <c r="A10" s="7" t="s">
        <v>43</v>
      </c>
      <c r="B10" s="7" t="s">
        <v>44</v>
      </c>
      <c r="C10" s="7" t="s">
        <v>45</v>
      </c>
      <c r="D10" s="7"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4.0"/>
    <col customWidth="1" min="3" max="3" width="12.25"/>
    <col customWidth="1" min="4" max="4" width="24.63"/>
    <col customWidth="1" min="5" max="5" width="32.88"/>
    <col customWidth="1" min="6" max="6" width="10.25"/>
    <col customWidth="1" min="7" max="7" width="17.63"/>
    <col customWidth="1" min="8" max="8" width="16.0"/>
    <col customWidth="1" min="9" max="9" width="29.63"/>
    <col customWidth="1" min="10" max="10" width="17.75"/>
    <col customWidth="1" min="11" max="11" width="16.88"/>
    <col customWidth="1" min="12" max="12" width="15.25"/>
    <col customWidth="1" min="13" max="13" width="24.25"/>
    <col customWidth="1" min="14" max="14" width="34.0"/>
    <col customWidth="1" min="15" max="15" width="18.88"/>
    <col customWidth="1" min="16" max="16" width="20.88"/>
    <col customWidth="1" min="17" max="17" width="17.25"/>
    <col customWidth="1" min="18" max="18" width="34.0"/>
    <col customWidth="1" min="19" max="19" width="53.63"/>
    <col customWidth="1" min="20" max="20" width="17.88"/>
    <col customWidth="1" min="21" max="21" width="16.5"/>
    <col customWidth="1" min="22" max="22" width="17.0"/>
    <col customWidth="1" min="23" max="23" width="21.5"/>
    <col customWidth="1" min="24" max="24" width="20.38"/>
    <col customWidth="1" min="25" max="25" width="19.38"/>
    <col customWidth="1" min="26" max="26" width="24.75"/>
    <col customWidth="1" min="27" max="27" width="20.88"/>
    <col customWidth="1" min="28" max="28" width="17.38"/>
    <col customWidth="1" min="29" max="29" width="13.88"/>
    <col customWidth="1" min="30" max="30" width="34.0"/>
  </cols>
  <sheetData>
    <row r="1">
      <c r="A1" s="6" t="s">
        <v>47</v>
      </c>
      <c r="B1" s="6" t="s">
        <v>48</v>
      </c>
      <c r="C1" s="8" t="s">
        <v>49</v>
      </c>
      <c r="D1" s="6" t="s">
        <v>50</v>
      </c>
      <c r="E1" s="6" t="s">
        <v>51</v>
      </c>
      <c r="F1" s="6" t="s">
        <v>52</v>
      </c>
      <c r="G1" s="6" t="s">
        <v>53</v>
      </c>
      <c r="H1" s="6" t="s">
        <v>54</v>
      </c>
      <c r="I1" s="6" t="s">
        <v>55</v>
      </c>
      <c r="J1" s="9" t="s">
        <v>56</v>
      </c>
      <c r="K1" s="9" t="s">
        <v>57</v>
      </c>
      <c r="L1" s="9" t="s">
        <v>58</v>
      </c>
      <c r="M1" s="9" t="s">
        <v>59</v>
      </c>
      <c r="N1" s="6" t="s">
        <v>60</v>
      </c>
      <c r="O1" s="6" t="s">
        <v>61</v>
      </c>
      <c r="P1" s="6" t="s">
        <v>62</v>
      </c>
      <c r="Q1" s="6" t="s">
        <v>63</v>
      </c>
      <c r="R1" s="6" t="s">
        <v>64</v>
      </c>
      <c r="S1" s="6" t="s">
        <v>65</v>
      </c>
      <c r="T1" s="6" t="s">
        <v>66</v>
      </c>
      <c r="U1" s="6" t="s">
        <v>67</v>
      </c>
      <c r="V1" s="6" t="s">
        <v>68</v>
      </c>
      <c r="W1" s="10" t="s">
        <v>69</v>
      </c>
      <c r="X1" s="10" t="s">
        <v>70</v>
      </c>
      <c r="Y1" s="10" t="s">
        <v>71</v>
      </c>
      <c r="Z1" s="10" t="s">
        <v>72</v>
      </c>
      <c r="AA1" s="10" t="s">
        <v>73</v>
      </c>
      <c r="AB1" s="6" t="s">
        <v>74</v>
      </c>
      <c r="AC1" s="6" t="s">
        <v>75</v>
      </c>
      <c r="AD1" s="6" t="s">
        <v>76</v>
      </c>
    </row>
    <row r="2">
      <c r="A2" s="11" t="s">
        <v>77</v>
      </c>
      <c r="B2" s="11" t="s">
        <v>78</v>
      </c>
      <c r="C2" s="11">
        <v>46179.42361111111</v>
      </c>
      <c r="D2" s="11" t="s">
        <v>79</v>
      </c>
      <c r="E2" s="11" t="s">
        <v>80</v>
      </c>
      <c r="F2" s="11" t="s">
        <v>81</v>
      </c>
      <c r="G2" s="11" t="s">
        <v>82</v>
      </c>
      <c r="H2" s="11" t="s">
        <v>83</v>
      </c>
      <c r="I2" s="11" t="s">
        <v>84</v>
      </c>
      <c r="J2" s="11">
        <v>46179.5</v>
      </c>
      <c r="K2" s="11">
        <v>46179.5625</v>
      </c>
      <c r="L2" s="11">
        <v>46179.59027777778</v>
      </c>
      <c r="M2" s="11">
        <v>46179.555555555555</v>
      </c>
      <c r="N2" s="11" t="s">
        <v>85</v>
      </c>
      <c r="O2" s="11">
        <v>3.2</v>
      </c>
      <c r="P2" s="11">
        <v>14.0</v>
      </c>
      <c r="Q2" s="11" t="s">
        <v>44</v>
      </c>
      <c r="R2" s="11" t="s">
        <v>86</v>
      </c>
      <c r="S2" s="11" t="s">
        <v>87</v>
      </c>
      <c r="T2" s="11">
        <f t="shared" ref="T2:T4" si="1">MAX(0,ROUND((L2-K2)*1440,0))</f>
        <v>40</v>
      </c>
      <c r="U2" s="11">
        <f t="shared" ref="U2:U4" si="2">MAX(0,ROUND((M2-K2)*1440,0))</f>
        <v>0</v>
      </c>
      <c r="V2" s="11" t="str">
        <f>IF(U2=0,"On-time",IF(U2&lt;=Parameters!$B$9,"Minor late","Late"))</f>
        <v>On-time</v>
      </c>
      <c r="W2" s="11">
        <v>6500000.0</v>
      </c>
      <c r="X2" s="11">
        <v>850000.0</v>
      </c>
      <c r="Y2" s="11">
        <v>42.0</v>
      </c>
      <c r="Z2" s="11">
        <f>Y2*Parameters!$B$6</f>
        <v>428400</v>
      </c>
      <c r="AA2" s="11">
        <f t="shared" ref="AA2:AA4" si="3">W2+Z2-X2</f>
        <v>6078400</v>
      </c>
      <c r="AB2" s="11" t="s">
        <v>88</v>
      </c>
      <c r="AC2" s="11" t="s">
        <v>89</v>
      </c>
      <c r="AD2" s="11" t="s">
        <v>90</v>
      </c>
    </row>
    <row r="3">
      <c r="A3" s="11" t="s">
        <v>91</v>
      </c>
      <c r="B3" s="11" t="s">
        <v>92</v>
      </c>
      <c r="C3" s="11">
        <v>46179.35763888889</v>
      </c>
      <c r="D3" s="11" t="s">
        <v>93</v>
      </c>
      <c r="E3" s="11" t="s">
        <v>94</v>
      </c>
      <c r="F3" s="11" t="s">
        <v>95</v>
      </c>
      <c r="G3" s="11" t="s">
        <v>96</v>
      </c>
      <c r="H3" s="11" t="s">
        <v>97</v>
      </c>
      <c r="I3" s="11" t="s">
        <v>98</v>
      </c>
      <c r="J3" s="11">
        <v>46179.416666666664</v>
      </c>
      <c r="K3" s="11">
        <v>46179.458333333336</v>
      </c>
      <c r="L3" s="11">
        <v>46179.48263888889</v>
      </c>
      <c r="M3" s="11">
        <v>46179.572916666664</v>
      </c>
      <c r="N3" s="11" t="s">
        <v>99</v>
      </c>
      <c r="O3" s="11">
        <v>2.4</v>
      </c>
      <c r="P3" s="11">
        <v>9.5</v>
      </c>
      <c r="Q3" s="11" t="s">
        <v>44</v>
      </c>
      <c r="R3" s="11" t="s">
        <v>100</v>
      </c>
      <c r="S3" s="11" t="s">
        <v>101</v>
      </c>
      <c r="T3" s="11">
        <f t="shared" si="1"/>
        <v>35</v>
      </c>
      <c r="U3" s="11">
        <f t="shared" si="2"/>
        <v>165</v>
      </c>
      <c r="V3" s="11" t="str">
        <f>IF(U3=0,"On-time",IF(U3&lt;=Parameters!$B$9,"Minor late","Late"))</f>
        <v>Late</v>
      </c>
      <c r="W3" s="11">
        <v>4200000.0</v>
      </c>
      <c r="X3" s="11">
        <v>180000.0</v>
      </c>
      <c r="Y3" s="11">
        <v>18.0</v>
      </c>
      <c r="Z3" s="11">
        <f>Y3*Parameters!$B$6</f>
        <v>183600</v>
      </c>
      <c r="AA3" s="11">
        <f t="shared" si="3"/>
        <v>4203600</v>
      </c>
      <c r="AB3" s="11" t="s">
        <v>88</v>
      </c>
      <c r="AC3" s="11" t="s">
        <v>102</v>
      </c>
      <c r="AD3" s="11" t="s">
        <v>103</v>
      </c>
    </row>
    <row r="4">
      <c r="A4" s="11" t="s">
        <v>104</v>
      </c>
      <c r="B4" s="12" t="s">
        <v>105</v>
      </c>
      <c r="C4" s="11">
        <v>46179.63888888889</v>
      </c>
      <c r="D4" s="11" t="s">
        <v>79</v>
      </c>
      <c r="E4" s="11" t="s">
        <v>106</v>
      </c>
      <c r="F4" s="11" t="s">
        <v>107</v>
      </c>
      <c r="G4" s="11" t="s">
        <v>108</v>
      </c>
      <c r="H4" s="11" t="s">
        <v>109</v>
      </c>
      <c r="I4" s="11" t="s">
        <v>110</v>
      </c>
      <c r="J4" s="11">
        <v>46179.708333333336</v>
      </c>
      <c r="K4" s="11">
        <v>46179.75</v>
      </c>
      <c r="L4" s="11">
        <v>46179.79861111111</v>
      </c>
      <c r="M4" s="11">
        <v>46179.74652777778</v>
      </c>
      <c r="N4" s="11" t="s">
        <v>111</v>
      </c>
      <c r="O4" s="11">
        <v>1.1</v>
      </c>
      <c r="P4" s="11">
        <v>6.8</v>
      </c>
      <c r="Q4" s="11" t="s">
        <v>44</v>
      </c>
      <c r="R4" s="11" t="s">
        <v>112</v>
      </c>
      <c r="S4" s="11" t="s">
        <v>113</v>
      </c>
      <c r="T4" s="11">
        <f t="shared" si="1"/>
        <v>70</v>
      </c>
      <c r="U4" s="11">
        <f t="shared" si="2"/>
        <v>0</v>
      </c>
      <c r="V4" s="11" t="str">
        <f>IF(U4=0,"On-time",IF(U4&lt;=Parameters!$B$9,"Minor late","Late"))</f>
        <v>On-time</v>
      </c>
      <c r="W4" s="11">
        <v>5200000.0</v>
      </c>
      <c r="X4" s="11">
        <v>1250000.0</v>
      </c>
      <c r="Y4" s="11">
        <v>65.0</v>
      </c>
      <c r="Z4" s="11">
        <f>Y4*Parameters!$B$6</f>
        <v>663000</v>
      </c>
      <c r="AA4" s="11">
        <f t="shared" si="3"/>
        <v>4613000</v>
      </c>
      <c r="AB4" s="11" t="s">
        <v>88</v>
      </c>
      <c r="AC4" s="11" t="s">
        <v>114</v>
      </c>
      <c r="AD4" s="11" t="s">
        <v>115</v>
      </c>
    </row>
    <row r="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c r="A6" s="13"/>
      <c r="B6" s="14" t="s">
        <v>116</v>
      </c>
      <c r="C6" s="14" t="s">
        <v>117</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c r="A7" s="13"/>
      <c r="C7" s="14" t="s">
        <v>118</v>
      </c>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c r="A8" s="13"/>
      <c r="B8" s="14" t="s">
        <v>119</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row>
    <row r="9">
      <c r="A9" s="13"/>
      <c r="B9" s="14" t="s">
        <v>120</v>
      </c>
      <c r="C9" s="14" t="s">
        <v>121</v>
      </c>
      <c r="D9" s="14" t="s">
        <v>122</v>
      </c>
      <c r="E9" s="13"/>
      <c r="F9" s="13"/>
      <c r="G9" s="13"/>
      <c r="H9" s="13"/>
      <c r="I9" s="13"/>
      <c r="J9" s="13"/>
      <c r="K9" s="13"/>
      <c r="L9" s="13"/>
      <c r="M9" s="13"/>
      <c r="N9" s="13"/>
      <c r="O9" s="13"/>
      <c r="P9" s="13"/>
      <c r="Q9" s="13"/>
      <c r="R9" s="13"/>
      <c r="S9" s="13"/>
      <c r="T9" s="13"/>
      <c r="U9" s="13"/>
      <c r="V9" s="13"/>
      <c r="W9" s="13"/>
      <c r="X9" s="13"/>
      <c r="Y9" s="13"/>
      <c r="Z9" s="13"/>
      <c r="AA9" s="13"/>
      <c r="AB9" s="13"/>
      <c r="AC9" s="13"/>
      <c r="AD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6:B7"/>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0.13"/>
    <col customWidth="1" min="3" max="3" width="13.5"/>
    <col customWidth="1" min="4" max="4" width="10.13"/>
    <col customWidth="1" min="5" max="5" width="9.88"/>
    <col customWidth="1" min="6" max="6" width="7.63"/>
    <col customWidth="1" min="7" max="7" width="8.88"/>
    <col customWidth="1" min="8" max="8" width="13.63"/>
    <col customWidth="1" min="9" max="9" width="17.0"/>
    <col customWidth="1" min="10" max="10" width="11.25"/>
    <col customWidth="1" min="11" max="11" width="10.38"/>
    <col customWidth="1" min="12" max="12" width="15.0"/>
    <col customWidth="1" min="13" max="13" width="24.0"/>
    <col customWidth="1" min="14" max="14" width="5.38"/>
    <col customWidth="1" min="15" max="15" width="6.5"/>
    <col customWidth="1" min="16" max="16" width="14.63"/>
    <col customWidth="1" min="17" max="17" width="23.13"/>
    <col customWidth="1" min="18" max="18" width="22.25"/>
    <col customWidth="1" min="19" max="19" width="16.88"/>
    <col customWidth="1" min="20" max="20" width="17.63"/>
    <col customWidth="1" min="21" max="21" width="17.13"/>
    <col customWidth="1" min="22" max="22" width="13.25"/>
    <col customWidth="1" min="23" max="23" width="17.75"/>
    <col customWidth="1" min="24" max="24" width="17.0"/>
    <col customWidth="1" min="25" max="25" width="18.13"/>
    <col customWidth="1" min="26" max="26" width="8.63"/>
  </cols>
  <sheetData>
    <row r="1">
      <c r="A1" s="6" t="s">
        <v>123</v>
      </c>
      <c r="B1" s="6" t="s">
        <v>124</v>
      </c>
      <c r="C1" s="6" t="s">
        <v>125</v>
      </c>
      <c r="D1" s="6" t="s">
        <v>126</v>
      </c>
      <c r="E1" s="6" t="s">
        <v>127</v>
      </c>
      <c r="F1" s="6" t="s">
        <v>128</v>
      </c>
      <c r="G1" s="6" t="s">
        <v>129</v>
      </c>
      <c r="H1" s="6" t="s">
        <v>130</v>
      </c>
      <c r="I1" s="6" t="s">
        <v>131</v>
      </c>
      <c r="J1" s="9" t="s">
        <v>132</v>
      </c>
      <c r="K1" s="9" t="s">
        <v>133</v>
      </c>
      <c r="L1" s="6" t="s">
        <v>134</v>
      </c>
      <c r="M1" s="6" t="s">
        <v>135</v>
      </c>
      <c r="N1" s="6" t="s">
        <v>136</v>
      </c>
      <c r="O1" s="6" t="s">
        <v>137</v>
      </c>
      <c r="P1" s="6" t="s">
        <v>138</v>
      </c>
      <c r="Q1" s="6" t="s">
        <v>139</v>
      </c>
      <c r="R1" s="6" t="s">
        <v>140</v>
      </c>
      <c r="S1" s="6" t="s">
        <v>141</v>
      </c>
      <c r="T1" s="6" t="s">
        <v>142</v>
      </c>
      <c r="U1" s="8" t="s">
        <v>143</v>
      </c>
      <c r="V1" s="6" t="s">
        <v>144</v>
      </c>
      <c r="W1" s="6" t="s">
        <v>145</v>
      </c>
      <c r="X1" s="6" t="s">
        <v>146</v>
      </c>
      <c r="Y1" s="6" t="s">
        <v>147</v>
      </c>
    </row>
    <row r="2">
      <c r="A2" s="7" t="s">
        <v>148</v>
      </c>
      <c r="B2" s="7" t="s">
        <v>149</v>
      </c>
      <c r="C2" s="7" t="s">
        <v>150</v>
      </c>
      <c r="D2" s="7">
        <v>1.25</v>
      </c>
      <c r="E2" s="7">
        <v>8.0</v>
      </c>
      <c r="F2" s="7" t="s">
        <v>151</v>
      </c>
      <c r="G2" s="7" t="s">
        <v>152</v>
      </c>
      <c r="H2" s="7" t="s">
        <v>153</v>
      </c>
      <c r="I2" s="7" t="s">
        <v>154</v>
      </c>
      <c r="J2" s="7">
        <v>46179.25</v>
      </c>
      <c r="K2" s="7">
        <v>46179.75</v>
      </c>
      <c r="L2" s="7" t="s">
        <v>155</v>
      </c>
      <c r="M2" s="7" t="s">
        <v>156</v>
      </c>
      <c r="N2" s="7">
        <v>21.186</v>
      </c>
      <c r="O2" s="7">
        <v>106.076</v>
      </c>
      <c r="P2" s="7" t="s">
        <v>81</v>
      </c>
      <c r="Q2" s="7">
        <v>0.44</v>
      </c>
      <c r="R2" s="7">
        <v>2.4</v>
      </c>
      <c r="S2" s="7">
        <v>2.0</v>
      </c>
      <c r="T2" s="7">
        <v>0.81</v>
      </c>
      <c r="U2" s="7">
        <v>46179.46041666667</v>
      </c>
      <c r="V2" s="7" t="s">
        <v>157</v>
      </c>
      <c r="W2" s="7" t="s">
        <v>102</v>
      </c>
      <c r="X2" s="7" t="s">
        <v>158</v>
      </c>
      <c r="Y2" s="7"/>
    </row>
    <row r="3">
      <c r="A3" s="7" t="s">
        <v>159</v>
      </c>
      <c r="B3" s="7" t="s">
        <v>160</v>
      </c>
      <c r="C3" s="7" t="s">
        <v>161</v>
      </c>
      <c r="D3" s="7">
        <v>5.0</v>
      </c>
      <c r="E3" s="7">
        <v>22.0</v>
      </c>
      <c r="F3" s="7" t="s">
        <v>162</v>
      </c>
      <c r="G3" s="7" t="s">
        <v>163</v>
      </c>
      <c r="H3" s="7" t="s">
        <v>153</v>
      </c>
      <c r="I3" s="7" t="s">
        <v>164</v>
      </c>
      <c r="J3" s="7">
        <v>46179.25</v>
      </c>
      <c r="K3" s="7">
        <v>46179.75</v>
      </c>
      <c r="L3" s="7" t="s">
        <v>155</v>
      </c>
      <c r="M3" s="7" t="s">
        <v>165</v>
      </c>
      <c r="N3" s="7">
        <v>20.938</v>
      </c>
      <c r="O3" s="7">
        <v>106.316</v>
      </c>
      <c r="P3" s="7" t="s">
        <v>166</v>
      </c>
      <c r="Q3" s="7">
        <v>1.75</v>
      </c>
      <c r="R3" s="7">
        <v>6.6</v>
      </c>
      <c r="S3" s="7">
        <v>3.0</v>
      </c>
      <c r="T3" s="7">
        <v>3.25</v>
      </c>
      <c r="U3" s="7">
        <v>46179.504166666666</v>
      </c>
      <c r="V3" s="7" t="s">
        <v>157</v>
      </c>
      <c r="W3" s="7" t="s">
        <v>102</v>
      </c>
      <c r="X3" s="7" t="s">
        <v>158</v>
      </c>
      <c r="Y3" s="7"/>
    </row>
    <row r="4">
      <c r="A4" s="7" t="s">
        <v>167</v>
      </c>
      <c r="B4" s="7" t="s">
        <v>168</v>
      </c>
      <c r="C4" s="7" t="s">
        <v>169</v>
      </c>
      <c r="D4" s="7">
        <v>8.0</v>
      </c>
      <c r="E4" s="7">
        <v>35.0</v>
      </c>
      <c r="F4" s="7" t="s">
        <v>170</v>
      </c>
      <c r="G4" s="7" t="s">
        <v>171</v>
      </c>
      <c r="H4" s="7" t="s">
        <v>153</v>
      </c>
      <c r="I4" s="7" t="s">
        <v>172</v>
      </c>
      <c r="J4" s="7">
        <v>46179.25</v>
      </c>
      <c r="K4" s="7">
        <v>46179.75</v>
      </c>
      <c r="L4" s="7" t="s">
        <v>173</v>
      </c>
      <c r="M4" s="7" t="s">
        <v>174</v>
      </c>
      <c r="N4" s="7">
        <v>20.844</v>
      </c>
      <c r="O4" s="7">
        <v>106.688</v>
      </c>
      <c r="P4" s="7"/>
      <c r="Q4" s="7">
        <v>6.0</v>
      </c>
      <c r="R4" s="7">
        <v>25.2</v>
      </c>
      <c r="S4" s="7">
        <v>0.0</v>
      </c>
      <c r="T4" s="7">
        <v>2.0</v>
      </c>
      <c r="U4" s="7">
        <v>46179.54791666667</v>
      </c>
      <c r="V4" s="7" t="s">
        <v>44</v>
      </c>
      <c r="W4" s="7" t="s">
        <v>102</v>
      </c>
      <c r="X4" s="7" t="s">
        <v>158</v>
      </c>
      <c r="Y4" s="7"/>
    </row>
    <row r="5">
      <c r="A5" s="7" t="s">
        <v>175</v>
      </c>
      <c r="B5" s="7" t="s">
        <v>176</v>
      </c>
      <c r="C5" s="7" t="s">
        <v>177</v>
      </c>
      <c r="D5" s="7">
        <v>15.0</v>
      </c>
      <c r="E5" s="7">
        <v>55.0</v>
      </c>
      <c r="F5" s="7" t="s">
        <v>178</v>
      </c>
      <c r="G5" s="7" t="s">
        <v>179</v>
      </c>
      <c r="H5" s="7" t="s">
        <v>153</v>
      </c>
      <c r="I5" s="7" t="s">
        <v>180</v>
      </c>
      <c r="J5" s="7">
        <v>46179.25</v>
      </c>
      <c r="K5" s="7">
        <v>46179.75</v>
      </c>
      <c r="L5" s="7" t="s">
        <v>155</v>
      </c>
      <c r="M5" s="7" t="s">
        <v>181</v>
      </c>
      <c r="N5" s="7">
        <v>21.257</v>
      </c>
      <c r="O5" s="7">
        <v>105.849</v>
      </c>
      <c r="P5" s="7" t="s">
        <v>182</v>
      </c>
      <c r="Q5" s="7">
        <v>5.25</v>
      </c>
      <c r="R5" s="7">
        <v>16.5</v>
      </c>
      <c r="S5" s="7">
        <v>1.0</v>
      </c>
      <c r="T5" s="7">
        <v>9.75</v>
      </c>
      <c r="U5" s="7">
        <v>46179.59166666667</v>
      </c>
      <c r="V5" s="7" t="s">
        <v>157</v>
      </c>
      <c r="W5" s="7" t="s">
        <v>102</v>
      </c>
      <c r="X5" s="7" t="s">
        <v>158</v>
      </c>
      <c r="Y5" s="7"/>
    </row>
    <row r="6">
      <c r="A6" s="7" t="s">
        <v>83</v>
      </c>
      <c r="B6" s="7" t="s">
        <v>183</v>
      </c>
      <c r="C6" s="7" t="s">
        <v>184</v>
      </c>
      <c r="D6" s="7">
        <v>18.0</v>
      </c>
      <c r="E6" s="7">
        <v>65.0</v>
      </c>
      <c r="F6" s="7" t="s">
        <v>185</v>
      </c>
      <c r="G6" s="7" t="s">
        <v>186</v>
      </c>
      <c r="H6" s="7" t="s">
        <v>153</v>
      </c>
      <c r="I6" s="7" t="s">
        <v>187</v>
      </c>
      <c r="J6" s="7">
        <v>46179.25</v>
      </c>
      <c r="K6" s="7">
        <v>46179.75</v>
      </c>
      <c r="L6" s="7" t="s">
        <v>188</v>
      </c>
      <c r="M6" s="7" t="s">
        <v>189</v>
      </c>
      <c r="N6" s="7">
        <v>21.005</v>
      </c>
      <c r="O6" s="7">
        <v>105.6</v>
      </c>
      <c r="P6" s="7" t="s">
        <v>190</v>
      </c>
      <c r="Q6" s="7">
        <v>6.3</v>
      </c>
      <c r="R6" s="7">
        <v>19.5</v>
      </c>
      <c r="S6" s="7">
        <v>2.0</v>
      </c>
      <c r="T6" s="7">
        <v>11.7</v>
      </c>
      <c r="U6" s="7">
        <v>46179.635416666664</v>
      </c>
      <c r="V6" s="7" t="s">
        <v>157</v>
      </c>
      <c r="W6" s="7" t="s">
        <v>191</v>
      </c>
      <c r="X6" s="7" t="s">
        <v>158</v>
      </c>
      <c r="Y6" s="7" t="s">
        <v>192</v>
      </c>
    </row>
    <row r="7">
      <c r="A7" s="7" t="s">
        <v>193</v>
      </c>
      <c r="B7" s="7" t="s">
        <v>194</v>
      </c>
      <c r="C7" s="7" t="s">
        <v>195</v>
      </c>
      <c r="D7" s="7">
        <v>0.5</v>
      </c>
      <c r="E7" s="7">
        <v>3.5</v>
      </c>
      <c r="F7" s="7" t="s">
        <v>196</v>
      </c>
      <c r="G7" s="7" t="s">
        <v>197</v>
      </c>
      <c r="H7" s="7" t="s">
        <v>153</v>
      </c>
      <c r="I7" s="7" t="s">
        <v>198</v>
      </c>
      <c r="J7" s="7">
        <v>46179.25</v>
      </c>
      <c r="K7" s="7">
        <v>46179.75</v>
      </c>
      <c r="L7" s="7" t="s">
        <v>199</v>
      </c>
      <c r="M7" s="7" t="s">
        <v>200</v>
      </c>
      <c r="N7" s="7">
        <v>20.971</v>
      </c>
      <c r="O7" s="7">
        <v>105.778</v>
      </c>
      <c r="P7" s="7"/>
      <c r="Q7" s="7">
        <v>0.38</v>
      </c>
      <c r="R7" s="7">
        <v>2.5</v>
      </c>
      <c r="S7" s="7">
        <v>0.0</v>
      </c>
      <c r="T7" s="7">
        <v>0.12</v>
      </c>
      <c r="U7" s="7">
        <v>46179.42916666667</v>
      </c>
      <c r="V7" s="7" t="s">
        <v>44</v>
      </c>
      <c r="W7" s="7" t="s">
        <v>102</v>
      </c>
      <c r="X7" s="7" t="s">
        <v>158</v>
      </c>
      <c r="Y7" s="7"/>
    </row>
    <row r="8">
      <c r="A8" s="7" t="s">
        <v>201</v>
      </c>
      <c r="B8" s="7" t="s">
        <v>202</v>
      </c>
      <c r="C8" s="7" t="s">
        <v>150</v>
      </c>
      <c r="D8" s="7">
        <v>1.25</v>
      </c>
      <c r="E8" s="7">
        <v>8.0</v>
      </c>
      <c r="F8" s="7" t="s">
        <v>203</v>
      </c>
      <c r="G8" s="7" t="s">
        <v>204</v>
      </c>
      <c r="H8" s="7" t="s">
        <v>153</v>
      </c>
      <c r="I8" s="7" t="s">
        <v>205</v>
      </c>
      <c r="J8" s="7">
        <v>46179.25</v>
      </c>
      <c r="K8" s="7">
        <v>46179.75</v>
      </c>
      <c r="L8" s="7" t="s">
        <v>155</v>
      </c>
      <c r="M8" s="7" t="s">
        <v>206</v>
      </c>
      <c r="N8" s="7">
        <v>19.807</v>
      </c>
      <c r="O8" s="7">
        <v>105.776</v>
      </c>
      <c r="P8" s="7" t="s">
        <v>166</v>
      </c>
      <c r="Q8" s="7">
        <v>0.44</v>
      </c>
      <c r="R8" s="7">
        <v>2.4</v>
      </c>
      <c r="S8" s="7">
        <v>4.0</v>
      </c>
      <c r="T8" s="7">
        <v>0.81</v>
      </c>
      <c r="U8" s="7">
        <v>46179.472916666666</v>
      </c>
      <c r="V8" s="7" t="s">
        <v>157</v>
      </c>
      <c r="W8" s="7" t="s">
        <v>102</v>
      </c>
      <c r="X8" s="7" t="s">
        <v>158</v>
      </c>
      <c r="Y8" s="7"/>
    </row>
    <row r="9">
      <c r="A9" s="7" t="s">
        <v>207</v>
      </c>
      <c r="B9" s="7" t="s">
        <v>208</v>
      </c>
      <c r="C9" s="7" t="s">
        <v>161</v>
      </c>
      <c r="D9" s="7">
        <v>5.0</v>
      </c>
      <c r="E9" s="7">
        <v>22.0</v>
      </c>
      <c r="F9" s="7" t="s">
        <v>209</v>
      </c>
      <c r="G9" s="7" t="s">
        <v>210</v>
      </c>
      <c r="H9" s="7" t="s">
        <v>153</v>
      </c>
      <c r="I9" s="7" t="s">
        <v>211</v>
      </c>
      <c r="J9" s="7">
        <v>46179.25</v>
      </c>
      <c r="K9" s="7">
        <v>46179.75</v>
      </c>
      <c r="L9" s="7" t="s">
        <v>155</v>
      </c>
      <c r="M9" s="7" t="s">
        <v>212</v>
      </c>
      <c r="N9" s="7">
        <v>20.94</v>
      </c>
      <c r="O9" s="7">
        <v>106.04</v>
      </c>
      <c r="P9" s="7" t="s">
        <v>213</v>
      </c>
      <c r="Q9" s="7">
        <v>1.75</v>
      </c>
      <c r="R9" s="7">
        <v>6.6</v>
      </c>
      <c r="S9" s="7">
        <v>1.0</v>
      </c>
      <c r="T9" s="7">
        <v>3.25</v>
      </c>
      <c r="U9" s="7">
        <v>46179.51666666667</v>
      </c>
      <c r="V9" s="7" t="s">
        <v>157</v>
      </c>
      <c r="W9" s="7" t="s">
        <v>102</v>
      </c>
      <c r="X9" s="7" t="s">
        <v>158</v>
      </c>
      <c r="Y9" s="7"/>
    </row>
    <row r="10">
      <c r="A10" s="7" t="s">
        <v>214</v>
      </c>
      <c r="B10" s="7" t="s">
        <v>215</v>
      </c>
      <c r="C10" s="7" t="s">
        <v>169</v>
      </c>
      <c r="D10" s="7">
        <v>8.0</v>
      </c>
      <c r="E10" s="7">
        <v>35.0</v>
      </c>
      <c r="F10" s="7" t="s">
        <v>216</v>
      </c>
      <c r="G10" s="7" t="s">
        <v>217</v>
      </c>
      <c r="H10" s="7" t="s">
        <v>153</v>
      </c>
      <c r="I10" s="7" t="s">
        <v>154</v>
      </c>
      <c r="J10" s="7">
        <v>46179.25</v>
      </c>
      <c r="K10" s="7">
        <v>46179.75</v>
      </c>
      <c r="L10" s="7" t="s">
        <v>199</v>
      </c>
      <c r="M10" s="7" t="s">
        <v>218</v>
      </c>
      <c r="N10" s="7">
        <v>21.034</v>
      </c>
      <c r="O10" s="7">
        <v>105.935</v>
      </c>
      <c r="P10" s="7"/>
      <c r="Q10" s="7">
        <v>6.0</v>
      </c>
      <c r="R10" s="7">
        <v>25.2</v>
      </c>
      <c r="S10" s="7">
        <v>0.0</v>
      </c>
      <c r="T10" s="7">
        <v>2.0</v>
      </c>
      <c r="U10" s="7">
        <v>46179.56041666667</v>
      </c>
      <c r="V10" s="7" t="s">
        <v>44</v>
      </c>
      <c r="W10" s="7" t="s">
        <v>102</v>
      </c>
      <c r="X10" s="7" t="s">
        <v>158</v>
      </c>
      <c r="Y10" s="7"/>
    </row>
    <row r="11">
      <c r="A11" s="7" t="s">
        <v>219</v>
      </c>
      <c r="B11" s="7" t="s">
        <v>220</v>
      </c>
      <c r="C11" s="7" t="s">
        <v>177</v>
      </c>
      <c r="D11" s="7">
        <v>15.0</v>
      </c>
      <c r="E11" s="7">
        <v>55.0</v>
      </c>
      <c r="F11" s="7" t="s">
        <v>221</v>
      </c>
      <c r="G11" s="7" t="s">
        <v>222</v>
      </c>
      <c r="H11" s="7" t="s">
        <v>153</v>
      </c>
      <c r="I11" s="7" t="s">
        <v>164</v>
      </c>
      <c r="J11" s="7">
        <v>46179.25</v>
      </c>
      <c r="K11" s="7">
        <v>46179.75</v>
      </c>
      <c r="L11" s="7" t="s">
        <v>155</v>
      </c>
      <c r="M11" s="7" t="s">
        <v>223</v>
      </c>
      <c r="N11" s="7">
        <v>21.033</v>
      </c>
      <c r="O11" s="7">
        <v>105.79</v>
      </c>
      <c r="P11" s="7" t="s">
        <v>190</v>
      </c>
      <c r="Q11" s="7">
        <v>5.25</v>
      </c>
      <c r="R11" s="7">
        <v>16.5</v>
      </c>
      <c r="S11" s="7">
        <v>3.0</v>
      </c>
      <c r="T11" s="7">
        <v>9.75</v>
      </c>
      <c r="U11" s="7">
        <v>46179.604166666664</v>
      </c>
      <c r="V11" s="7" t="s">
        <v>157</v>
      </c>
      <c r="W11" s="7" t="s">
        <v>102</v>
      </c>
      <c r="X11" s="7" t="s">
        <v>158</v>
      </c>
      <c r="Y11" s="7"/>
    </row>
    <row r="12">
      <c r="A12" s="7" t="s">
        <v>224</v>
      </c>
      <c r="B12" s="7" t="s">
        <v>225</v>
      </c>
      <c r="C12" s="7" t="s">
        <v>184</v>
      </c>
      <c r="D12" s="7">
        <v>18.0</v>
      </c>
      <c r="E12" s="7">
        <v>65.0</v>
      </c>
      <c r="F12" s="7" t="s">
        <v>226</v>
      </c>
      <c r="G12" s="7" t="s">
        <v>227</v>
      </c>
      <c r="H12" s="7" t="s">
        <v>153</v>
      </c>
      <c r="I12" s="7" t="s">
        <v>172</v>
      </c>
      <c r="J12" s="7">
        <v>46179.25</v>
      </c>
      <c r="K12" s="7">
        <v>46179.75</v>
      </c>
      <c r="L12" s="7" t="s">
        <v>173</v>
      </c>
      <c r="M12" s="7" t="s">
        <v>228</v>
      </c>
      <c r="N12" s="7">
        <v>21.308</v>
      </c>
      <c r="O12" s="7">
        <v>105.604</v>
      </c>
      <c r="P12" s="7"/>
      <c r="Q12" s="7">
        <v>13.5</v>
      </c>
      <c r="R12" s="7">
        <v>46.8</v>
      </c>
      <c r="S12" s="7">
        <v>0.0</v>
      </c>
      <c r="T12" s="7">
        <v>4.5</v>
      </c>
      <c r="U12" s="7">
        <v>46179.64791666667</v>
      </c>
      <c r="V12" s="7" t="s">
        <v>44</v>
      </c>
      <c r="W12" s="7" t="s">
        <v>89</v>
      </c>
      <c r="X12" s="7" t="s">
        <v>158</v>
      </c>
      <c r="Y12" s="7" t="s">
        <v>229</v>
      </c>
    </row>
    <row r="13">
      <c r="A13" s="7" t="s">
        <v>97</v>
      </c>
      <c r="B13" s="7" t="s">
        <v>230</v>
      </c>
      <c r="C13" s="7" t="s">
        <v>195</v>
      </c>
      <c r="D13" s="7">
        <v>0.5</v>
      </c>
      <c r="E13" s="7">
        <v>3.5</v>
      </c>
      <c r="F13" s="7" t="s">
        <v>231</v>
      </c>
      <c r="G13" s="7" t="s">
        <v>232</v>
      </c>
      <c r="H13" s="7" t="s">
        <v>153</v>
      </c>
      <c r="I13" s="7" t="s">
        <v>180</v>
      </c>
      <c r="J13" s="7">
        <v>46179.25</v>
      </c>
      <c r="K13" s="7">
        <v>46179.75</v>
      </c>
      <c r="L13" s="7" t="s">
        <v>155</v>
      </c>
      <c r="M13" s="7" t="s">
        <v>233</v>
      </c>
      <c r="N13" s="7">
        <v>21.188</v>
      </c>
      <c r="O13" s="7">
        <v>106.078</v>
      </c>
      <c r="P13" s="7" t="s">
        <v>166</v>
      </c>
      <c r="Q13" s="7">
        <v>0.17</v>
      </c>
      <c r="R13" s="7">
        <v>1.1</v>
      </c>
      <c r="S13" s="7">
        <v>1.0</v>
      </c>
      <c r="T13" s="7">
        <v>0.33</v>
      </c>
      <c r="U13" s="7">
        <v>46179.441666666666</v>
      </c>
      <c r="V13" s="7" t="s">
        <v>157</v>
      </c>
      <c r="W13" s="7" t="s">
        <v>102</v>
      </c>
      <c r="X13" s="7" t="s">
        <v>158</v>
      </c>
      <c r="Y13" s="7" t="s">
        <v>192</v>
      </c>
    </row>
    <row r="14">
      <c r="A14" s="7" t="s">
        <v>234</v>
      </c>
      <c r="B14" s="7" t="s">
        <v>235</v>
      </c>
      <c r="C14" s="7" t="s">
        <v>150</v>
      </c>
      <c r="D14" s="7">
        <v>1.25</v>
      </c>
      <c r="E14" s="7">
        <v>8.0</v>
      </c>
      <c r="F14" s="7" t="s">
        <v>236</v>
      </c>
      <c r="G14" s="7" t="s">
        <v>237</v>
      </c>
      <c r="H14" s="7" t="s">
        <v>153</v>
      </c>
      <c r="I14" s="7" t="s">
        <v>187</v>
      </c>
      <c r="J14" s="7">
        <v>46179.25</v>
      </c>
      <c r="K14" s="7">
        <v>46179.75</v>
      </c>
      <c r="L14" s="7" t="s">
        <v>155</v>
      </c>
      <c r="M14" s="7" t="s">
        <v>156</v>
      </c>
      <c r="N14" s="7">
        <v>21.186</v>
      </c>
      <c r="O14" s="7">
        <v>106.076</v>
      </c>
      <c r="P14" s="7" t="s">
        <v>213</v>
      </c>
      <c r="Q14" s="7">
        <v>0.44</v>
      </c>
      <c r="R14" s="7">
        <v>2.4</v>
      </c>
      <c r="S14" s="7">
        <v>2.0</v>
      </c>
      <c r="T14" s="7">
        <v>0.81</v>
      </c>
      <c r="U14" s="7">
        <v>46179.48541666667</v>
      </c>
      <c r="V14" s="7" t="s">
        <v>157</v>
      </c>
      <c r="W14" s="7" t="s">
        <v>102</v>
      </c>
      <c r="X14" s="7" t="s">
        <v>158</v>
      </c>
      <c r="Y14" s="7"/>
    </row>
    <row r="15">
      <c r="A15" s="7" t="s">
        <v>238</v>
      </c>
      <c r="B15" s="7" t="s">
        <v>239</v>
      </c>
      <c r="C15" s="7" t="s">
        <v>161</v>
      </c>
      <c r="D15" s="7">
        <v>5.0</v>
      </c>
      <c r="E15" s="7">
        <v>22.0</v>
      </c>
      <c r="F15" s="7" t="s">
        <v>240</v>
      </c>
      <c r="G15" s="7" t="s">
        <v>241</v>
      </c>
      <c r="H15" s="7" t="s">
        <v>153</v>
      </c>
      <c r="I15" s="7" t="s">
        <v>198</v>
      </c>
      <c r="J15" s="7">
        <v>46179.25</v>
      </c>
      <c r="K15" s="7">
        <v>46179.75</v>
      </c>
      <c r="L15" s="7" t="s">
        <v>155</v>
      </c>
      <c r="M15" s="7" t="s">
        <v>165</v>
      </c>
      <c r="N15" s="7">
        <v>20.938</v>
      </c>
      <c r="O15" s="7">
        <v>106.316</v>
      </c>
      <c r="P15" s="7" t="s">
        <v>182</v>
      </c>
      <c r="Q15" s="7">
        <v>1.75</v>
      </c>
      <c r="R15" s="7">
        <v>6.6</v>
      </c>
      <c r="S15" s="7">
        <v>3.0</v>
      </c>
      <c r="T15" s="7">
        <v>3.25</v>
      </c>
      <c r="U15" s="7">
        <v>46179.52916666667</v>
      </c>
      <c r="V15" s="7" t="s">
        <v>157</v>
      </c>
      <c r="W15" s="7" t="s">
        <v>102</v>
      </c>
      <c r="X15" s="7" t="s">
        <v>158</v>
      </c>
      <c r="Y15" s="7"/>
    </row>
    <row r="16">
      <c r="A16" s="7" t="s">
        <v>242</v>
      </c>
      <c r="B16" s="7" t="s">
        <v>243</v>
      </c>
      <c r="C16" s="7" t="s">
        <v>169</v>
      </c>
      <c r="D16" s="7">
        <v>8.0</v>
      </c>
      <c r="E16" s="7">
        <v>35.0</v>
      </c>
      <c r="F16" s="7" t="s">
        <v>244</v>
      </c>
      <c r="G16" s="7" t="s">
        <v>245</v>
      </c>
      <c r="H16" s="7" t="s">
        <v>153</v>
      </c>
      <c r="I16" s="7" t="s">
        <v>205</v>
      </c>
      <c r="J16" s="7">
        <v>46179.25</v>
      </c>
      <c r="K16" s="7">
        <v>46179.75</v>
      </c>
      <c r="L16" s="7" t="s">
        <v>199</v>
      </c>
      <c r="M16" s="7" t="s">
        <v>174</v>
      </c>
      <c r="N16" s="7">
        <v>20.844</v>
      </c>
      <c r="O16" s="7">
        <v>106.688</v>
      </c>
      <c r="P16" s="7"/>
      <c r="Q16" s="7">
        <v>6.0</v>
      </c>
      <c r="R16" s="7">
        <v>25.2</v>
      </c>
      <c r="S16" s="7">
        <v>0.0</v>
      </c>
      <c r="T16" s="7">
        <v>2.0</v>
      </c>
      <c r="U16" s="7">
        <v>46179.572916666664</v>
      </c>
      <c r="V16" s="7" t="s">
        <v>44</v>
      </c>
      <c r="W16" s="7" t="s">
        <v>102</v>
      </c>
      <c r="X16" s="7" t="s">
        <v>158</v>
      </c>
      <c r="Y16" s="7"/>
    </row>
    <row r="17">
      <c r="A17" s="7" t="s">
        <v>246</v>
      </c>
      <c r="B17" s="7" t="s">
        <v>247</v>
      </c>
      <c r="C17" s="7" t="s">
        <v>177</v>
      </c>
      <c r="D17" s="7">
        <v>15.0</v>
      </c>
      <c r="E17" s="7">
        <v>55.0</v>
      </c>
      <c r="F17" s="7" t="s">
        <v>248</v>
      </c>
      <c r="G17" s="7" t="s">
        <v>249</v>
      </c>
      <c r="H17" s="7" t="s">
        <v>153</v>
      </c>
      <c r="I17" s="7" t="s">
        <v>211</v>
      </c>
      <c r="J17" s="7">
        <v>46179.25</v>
      </c>
      <c r="K17" s="7">
        <v>46179.75</v>
      </c>
      <c r="L17" s="7" t="s">
        <v>155</v>
      </c>
      <c r="M17" s="7" t="s">
        <v>181</v>
      </c>
      <c r="N17" s="7">
        <v>21.257</v>
      </c>
      <c r="O17" s="7">
        <v>105.849</v>
      </c>
      <c r="P17" s="7" t="s">
        <v>81</v>
      </c>
      <c r="Q17" s="7">
        <v>5.25</v>
      </c>
      <c r="R17" s="7">
        <v>16.5</v>
      </c>
      <c r="S17" s="7">
        <v>1.0</v>
      </c>
      <c r="T17" s="7">
        <v>9.75</v>
      </c>
      <c r="U17" s="7">
        <v>46179.61666666667</v>
      </c>
      <c r="V17" s="7" t="s">
        <v>157</v>
      </c>
      <c r="W17" s="7" t="s">
        <v>102</v>
      </c>
      <c r="X17" s="7" t="s">
        <v>158</v>
      </c>
      <c r="Y17" s="7"/>
    </row>
    <row r="18">
      <c r="A18" s="7" t="s">
        <v>250</v>
      </c>
      <c r="B18" s="7" t="s">
        <v>251</v>
      </c>
      <c r="C18" s="7" t="s">
        <v>184</v>
      </c>
      <c r="D18" s="7">
        <v>18.0</v>
      </c>
      <c r="E18" s="7">
        <v>65.0</v>
      </c>
      <c r="F18" s="7" t="s">
        <v>252</v>
      </c>
      <c r="G18" s="7" t="s">
        <v>253</v>
      </c>
      <c r="H18" s="7" t="s">
        <v>153</v>
      </c>
      <c r="I18" s="7" t="s">
        <v>154</v>
      </c>
      <c r="J18" s="7">
        <v>46179.25</v>
      </c>
      <c r="K18" s="7">
        <v>46179.75</v>
      </c>
      <c r="L18" s="7" t="s">
        <v>155</v>
      </c>
      <c r="M18" s="7" t="s">
        <v>254</v>
      </c>
      <c r="N18" s="7">
        <v>21.013</v>
      </c>
      <c r="O18" s="7">
        <v>105.526</v>
      </c>
      <c r="P18" s="7" t="s">
        <v>166</v>
      </c>
      <c r="Q18" s="7">
        <v>6.3</v>
      </c>
      <c r="R18" s="7">
        <v>19.5</v>
      </c>
      <c r="S18" s="7">
        <v>2.0</v>
      </c>
      <c r="T18" s="7">
        <v>11.7</v>
      </c>
      <c r="U18" s="7">
        <v>46179.660416666666</v>
      </c>
      <c r="V18" s="7" t="s">
        <v>157</v>
      </c>
      <c r="W18" s="7" t="s">
        <v>102</v>
      </c>
      <c r="X18" s="7" t="s">
        <v>158</v>
      </c>
      <c r="Y18" s="7"/>
    </row>
    <row r="19">
      <c r="A19" s="7" t="s">
        <v>109</v>
      </c>
      <c r="B19" s="7" t="s">
        <v>255</v>
      </c>
      <c r="C19" s="7" t="s">
        <v>195</v>
      </c>
      <c r="D19" s="7">
        <v>0.5</v>
      </c>
      <c r="E19" s="7">
        <v>3.5</v>
      </c>
      <c r="F19" s="7" t="s">
        <v>256</v>
      </c>
      <c r="G19" s="7" t="s">
        <v>257</v>
      </c>
      <c r="H19" s="7" t="s">
        <v>153</v>
      </c>
      <c r="I19" s="7" t="s">
        <v>164</v>
      </c>
      <c r="J19" s="7">
        <v>46179.25</v>
      </c>
      <c r="K19" s="7">
        <v>46179.75</v>
      </c>
      <c r="L19" s="7" t="s">
        <v>173</v>
      </c>
      <c r="M19" s="7" t="s">
        <v>258</v>
      </c>
      <c r="N19" s="7">
        <v>20.545</v>
      </c>
      <c r="O19" s="7">
        <v>105.914</v>
      </c>
      <c r="P19" s="7"/>
      <c r="Q19" s="7">
        <v>0.38</v>
      </c>
      <c r="R19" s="7">
        <v>2.5</v>
      </c>
      <c r="S19" s="7">
        <v>0.0</v>
      </c>
      <c r="T19" s="7">
        <v>0.12</v>
      </c>
      <c r="U19" s="7">
        <v>46179.45416666667</v>
      </c>
      <c r="V19" s="7" t="s">
        <v>44</v>
      </c>
      <c r="W19" s="7" t="s">
        <v>102</v>
      </c>
      <c r="X19" s="7" t="s">
        <v>259</v>
      </c>
      <c r="Y19" s="7" t="s">
        <v>229</v>
      </c>
    </row>
    <row r="20">
      <c r="A20" s="7" t="s">
        <v>260</v>
      </c>
      <c r="B20" s="7" t="s">
        <v>261</v>
      </c>
      <c r="C20" s="7" t="s">
        <v>150</v>
      </c>
      <c r="D20" s="7">
        <v>1.25</v>
      </c>
      <c r="E20" s="7">
        <v>8.0</v>
      </c>
      <c r="F20" s="7" t="s">
        <v>262</v>
      </c>
      <c r="G20" s="7" t="s">
        <v>263</v>
      </c>
      <c r="H20" s="7" t="s">
        <v>153</v>
      </c>
      <c r="I20" s="7" t="s">
        <v>172</v>
      </c>
      <c r="J20" s="7">
        <v>46179.25</v>
      </c>
      <c r="K20" s="7">
        <v>46179.75</v>
      </c>
      <c r="L20" s="7" t="s">
        <v>155</v>
      </c>
      <c r="M20" s="7" t="s">
        <v>206</v>
      </c>
      <c r="N20" s="7">
        <v>19.807</v>
      </c>
      <c r="O20" s="7">
        <v>105.776</v>
      </c>
      <c r="P20" s="7" t="s">
        <v>182</v>
      </c>
      <c r="Q20" s="7">
        <v>0.44</v>
      </c>
      <c r="R20" s="7">
        <v>2.4</v>
      </c>
      <c r="S20" s="7">
        <v>4.0</v>
      </c>
      <c r="T20" s="7">
        <v>0.81</v>
      </c>
      <c r="U20" s="7">
        <v>46179.49791666667</v>
      </c>
      <c r="V20" s="7" t="s">
        <v>157</v>
      </c>
      <c r="W20" s="7" t="s">
        <v>102</v>
      </c>
      <c r="X20" s="7" t="s">
        <v>158</v>
      </c>
      <c r="Y20" s="7"/>
    </row>
    <row r="21" ht="15.75" customHeight="1">
      <c r="A21" s="7" t="s">
        <v>264</v>
      </c>
      <c r="B21" s="7" t="s">
        <v>265</v>
      </c>
      <c r="C21" s="7" t="s">
        <v>161</v>
      </c>
      <c r="D21" s="7">
        <v>5.0</v>
      </c>
      <c r="E21" s="7">
        <v>22.0</v>
      </c>
      <c r="F21" s="7" t="s">
        <v>266</v>
      </c>
      <c r="G21" s="7" t="s">
        <v>267</v>
      </c>
      <c r="H21" s="7" t="s">
        <v>153</v>
      </c>
      <c r="I21" s="7" t="s">
        <v>180</v>
      </c>
      <c r="J21" s="7">
        <v>46179.25</v>
      </c>
      <c r="K21" s="7">
        <v>46179.75</v>
      </c>
      <c r="L21" s="7" t="s">
        <v>155</v>
      </c>
      <c r="M21" s="7" t="s">
        <v>212</v>
      </c>
      <c r="N21" s="7">
        <v>20.94</v>
      </c>
      <c r="O21" s="7">
        <v>106.04</v>
      </c>
      <c r="P21" s="7" t="s">
        <v>190</v>
      </c>
      <c r="Q21" s="7">
        <v>1.75</v>
      </c>
      <c r="R21" s="7">
        <v>6.6</v>
      </c>
      <c r="S21" s="7">
        <v>1.0</v>
      </c>
      <c r="T21" s="7">
        <v>3.25</v>
      </c>
      <c r="U21" s="7">
        <v>46179.5</v>
      </c>
      <c r="V21" s="7" t="s">
        <v>157</v>
      </c>
      <c r="W21" s="7" t="s">
        <v>102</v>
      </c>
      <c r="X21" s="7" t="s">
        <v>158</v>
      </c>
      <c r="Y21" s="7"/>
    </row>
    <row r="22" ht="15.75" customHeight="1">
      <c r="A22" s="7" t="s">
        <v>268</v>
      </c>
      <c r="B22" s="7" t="s">
        <v>269</v>
      </c>
      <c r="C22" s="7" t="s">
        <v>169</v>
      </c>
      <c r="D22" s="7">
        <v>8.0</v>
      </c>
      <c r="E22" s="7">
        <v>35.0</v>
      </c>
      <c r="F22" s="7" t="s">
        <v>270</v>
      </c>
      <c r="G22" s="7" t="s">
        <v>271</v>
      </c>
      <c r="H22" s="7" t="s">
        <v>153</v>
      </c>
      <c r="I22" s="7" t="s">
        <v>187</v>
      </c>
      <c r="J22" s="7">
        <v>46179.25</v>
      </c>
      <c r="K22" s="7">
        <v>46179.75</v>
      </c>
      <c r="L22" s="7" t="s">
        <v>199</v>
      </c>
      <c r="M22" s="7" t="s">
        <v>218</v>
      </c>
      <c r="N22" s="7">
        <v>21.034</v>
      </c>
      <c r="O22" s="7">
        <v>105.935</v>
      </c>
      <c r="P22" s="7"/>
      <c r="Q22" s="7">
        <v>6.0</v>
      </c>
      <c r="R22" s="7">
        <v>25.2</v>
      </c>
      <c r="S22" s="7">
        <v>0.0</v>
      </c>
      <c r="T22" s="7">
        <v>2.0</v>
      </c>
      <c r="U22" s="7">
        <v>46179.54375</v>
      </c>
      <c r="V22" s="7" t="s">
        <v>44</v>
      </c>
      <c r="W22" s="7" t="s">
        <v>102</v>
      </c>
      <c r="X22" s="7" t="s">
        <v>158</v>
      </c>
      <c r="Y22" s="7"/>
    </row>
    <row r="23" ht="15.75" customHeight="1">
      <c r="A23" s="7" t="s">
        <v>272</v>
      </c>
      <c r="B23" s="7" t="s">
        <v>273</v>
      </c>
      <c r="C23" s="7" t="s">
        <v>177</v>
      </c>
      <c r="D23" s="7">
        <v>15.0</v>
      </c>
      <c r="E23" s="7">
        <v>55.0</v>
      </c>
      <c r="F23" s="7" t="s">
        <v>274</v>
      </c>
      <c r="G23" s="7" t="s">
        <v>275</v>
      </c>
      <c r="H23" s="7" t="s">
        <v>153</v>
      </c>
      <c r="I23" s="7" t="s">
        <v>198</v>
      </c>
      <c r="J23" s="7">
        <v>46179.25</v>
      </c>
      <c r="K23" s="7">
        <v>46179.75</v>
      </c>
      <c r="L23" s="7" t="s">
        <v>155</v>
      </c>
      <c r="M23" s="7" t="s">
        <v>223</v>
      </c>
      <c r="N23" s="7">
        <v>21.033</v>
      </c>
      <c r="O23" s="7">
        <v>105.79</v>
      </c>
      <c r="P23" s="7" t="s">
        <v>166</v>
      </c>
      <c r="Q23" s="7">
        <v>5.25</v>
      </c>
      <c r="R23" s="7">
        <v>16.5</v>
      </c>
      <c r="S23" s="7">
        <v>3.0</v>
      </c>
      <c r="T23" s="7">
        <v>9.75</v>
      </c>
      <c r="U23" s="7">
        <v>46179.5875</v>
      </c>
      <c r="V23" s="7" t="s">
        <v>157</v>
      </c>
      <c r="W23" s="7" t="s">
        <v>89</v>
      </c>
      <c r="X23" s="7" t="s">
        <v>158</v>
      </c>
      <c r="Y23" s="7"/>
    </row>
    <row r="24" ht="15.75" customHeight="1">
      <c r="A24" s="7" t="s">
        <v>276</v>
      </c>
      <c r="B24" s="7" t="s">
        <v>277</v>
      </c>
      <c r="C24" s="7" t="s">
        <v>184</v>
      </c>
      <c r="D24" s="7">
        <v>18.0</v>
      </c>
      <c r="E24" s="7">
        <v>65.0</v>
      </c>
      <c r="F24" s="7" t="s">
        <v>278</v>
      </c>
      <c r="G24" s="7" t="s">
        <v>279</v>
      </c>
      <c r="H24" s="7" t="s">
        <v>153</v>
      </c>
      <c r="I24" s="7" t="s">
        <v>205</v>
      </c>
      <c r="J24" s="7">
        <v>46179.25</v>
      </c>
      <c r="K24" s="7">
        <v>46179.75</v>
      </c>
      <c r="L24" s="7" t="s">
        <v>155</v>
      </c>
      <c r="M24" s="7" t="s">
        <v>228</v>
      </c>
      <c r="N24" s="7">
        <v>21.308</v>
      </c>
      <c r="O24" s="7">
        <v>105.604</v>
      </c>
      <c r="P24" s="7" t="s">
        <v>213</v>
      </c>
      <c r="Q24" s="7">
        <v>6.3</v>
      </c>
      <c r="R24" s="7">
        <v>19.5</v>
      </c>
      <c r="S24" s="7">
        <v>4.0</v>
      </c>
      <c r="T24" s="7">
        <v>11.7</v>
      </c>
      <c r="U24" s="7">
        <v>46179.63125</v>
      </c>
      <c r="V24" s="7" t="s">
        <v>157</v>
      </c>
      <c r="W24" s="7" t="s">
        <v>102</v>
      </c>
      <c r="X24" s="7" t="s">
        <v>158</v>
      </c>
      <c r="Y24" s="7"/>
    </row>
    <row r="25" ht="15.75" customHeight="1">
      <c r="A25" s="7" t="s">
        <v>280</v>
      </c>
      <c r="B25" s="7" t="s">
        <v>281</v>
      </c>
      <c r="C25" s="7" t="s">
        <v>195</v>
      </c>
      <c r="D25" s="7">
        <v>0.5</v>
      </c>
      <c r="E25" s="7">
        <v>3.5</v>
      </c>
      <c r="F25" s="7" t="s">
        <v>282</v>
      </c>
      <c r="G25" s="7" t="s">
        <v>283</v>
      </c>
      <c r="H25" s="7" t="s">
        <v>153</v>
      </c>
      <c r="I25" s="7" t="s">
        <v>211</v>
      </c>
      <c r="J25" s="7">
        <v>46179.25</v>
      </c>
      <c r="K25" s="7">
        <v>46179.75</v>
      </c>
      <c r="L25" s="7" t="s">
        <v>173</v>
      </c>
      <c r="M25" s="7" t="s">
        <v>153</v>
      </c>
      <c r="N25" s="7">
        <v>21.047</v>
      </c>
      <c r="O25" s="7">
        <v>105.891</v>
      </c>
      <c r="P25" s="7"/>
      <c r="Q25" s="7">
        <v>0.38</v>
      </c>
      <c r="R25" s="7">
        <v>2.5</v>
      </c>
      <c r="S25" s="7">
        <v>0.0</v>
      </c>
      <c r="T25" s="7">
        <v>0.12</v>
      </c>
      <c r="U25" s="7">
        <v>46179.425</v>
      </c>
      <c r="V25" s="7" t="s">
        <v>44</v>
      </c>
      <c r="W25" s="7" t="s">
        <v>102</v>
      </c>
      <c r="X25" s="7" t="s">
        <v>158</v>
      </c>
      <c r="Y25" s="7"/>
    </row>
    <row r="26" ht="15.75" customHeight="1">
      <c r="A26" s="7" t="s">
        <v>284</v>
      </c>
      <c r="B26" s="7" t="s">
        <v>285</v>
      </c>
      <c r="C26" s="7" t="s">
        <v>150</v>
      </c>
      <c r="D26" s="7">
        <v>1.25</v>
      </c>
      <c r="E26" s="7">
        <v>8.0</v>
      </c>
      <c r="F26" s="7" t="s">
        <v>286</v>
      </c>
      <c r="G26" s="7" t="s">
        <v>287</v>
      </c>
      <c r="H26" s="7" t="s">
        <v>153</v>
      </c>
      <c r="I26" s="7" t="s">
        <v>154</v>
      </c>
      <c r="J26" s="7">
        <v>46179.25</v>
      </c>
      <c r="K26" s="7">
        <v>46179.75</v>
      </c>
      <c r="L26" s="7" t="s">
        <v>155</v>
      </c>
      <c r="M26" s="7" t="s">
        <v>156</v>
      </c>
      <c r="N26" s="7">
        <v>21.186</v>
      </c>
      <c r="O26" s="7">
        <v>106.076</v>
      </c>
      <c r="P26" s="7" t="s">
        <v>190</v>
      </c>
      <c r="Q26" s="7">
        <v>0.44</v>
      </c>
      <c r="R26" s="7">
        <v>2.4</v>
      </c>
      <c r="S26" s="7">
        <v>2.0</v>
      </c>
      <c r="T26" s="7">
        <v>0.81</v>
      </c>
      <c r="U26" s="7">
        <v>46179.46875</v>
      </c>
      <c r="V26" s="7" t="s">
        <v>157</v>
      </c>
      <c r="W26" s="7" t="s">
        <v>102</v>
      </c>
      <c r="X26" s="7" t="s">
        <v>158</v>
      </c>
      <c r="Y26" s="7"/>
    </row>
    <row r="27" ht="15.75" customHeight="1">
      <c r="A27" s="7" t="s">
        <v>288</v>
      </c>
      <c r="B27" s="7" t="s">
        <v>289</v>
      </c>
      <c r="C27" s="7" t="s">
        <v>161</v>
      </c>
      <c r="D27" s="7">
        <v>5.0</v>
      </c>
      <c r="E27" s="7">
        <v>22.0</v>
      </c>
      <c r="F27" s="7" t="s">
        <v>290</v>
      </c>
      <c r="G27" s="7" t="s">
        <v>291</v>
      </c>
      <c r="H27" s="7" t="s">
        <v>153</v>
      </c>
      <c r="I27" s="7" t="s">
        <v>164</v>
      </c>
      <c r="J27" s="7">
        <v>46179.25</v>
      </c>
      <c r="K27" s="7">
        <v>46179.75</v>
      </c>
      <c r="L27" s="7" t="s">
        <v>155</v>
      </c>
      <c r="M27" s="7" t="s">
        <v>165</v>
      </c>
      <c r="N27" s="7">
        <v>20.938</v>
      </c>
      <c r="O27" s="7">
        <v>106.316</v>
      </c>
      <c r="P27" s="7" t="s">
        <v>81</v>
      </c>
      <c r="Q27" s="7">
        <v>1.75</v>
      </c>
      <c r="R27" s="7">
        <v>6.6</v>
      </c>
      <c r="S27" s="7">
        <v>3.0</v>
      </c>
      <c r="T27" s="7">
        <v>3.25</v>
      </c>
      <c r="U27" s="7">
        <v>46179.5125</v>
      </c>
      <c r="V27" s="7" t="s">
        <v>157</v>
      </c>
      <c r="W27" s="7" t="s">
        <v>102</v>
      </c>
      <c r="X27" s="7" t="s">
        <v>158</v>
      </c>
      <c r="Y27" s="7"/>
    </row>
    <row r="28" ht="15.75" customHeight="1">
      <c r="A28" s="7" t="s">
        <v>292</v>
      </c>
      <c r="B28" s="7" t="s">
        <v>293</v>
      </c>
      <c r="C28" s="7" t="s">
        <v>169</v>
      </c>
      <c r="D28" s="7">
        <v>8.0</v>
      </c>
      <c r="E28" s="7">
        <v>35.0</v>
      </c>
      <c r="F28" s="7" t="s">
        <v>294</v>
      </c>
      <c r="G28" s="7" t="s">
        <v>295</v>
      </c>
      <c r="H28" s="7" t="s">
        <v>153</v>
      </c>
      <c r="I28" s="7" t="s">
        <v>172</v>
      </c>
      <c r="J28" s="7">
        <v>46179.25</v>
      </c>
      <c r="K28" s="7">
        <v>46179.75</v>
      </c>
      <c r="L28" s="7" t="s">
        <v>199</v>
      </c>
      <c r="M28" s="7" t="s">
        <v>174</v>
      </c>
      <c r="N28" s="7">
        <v>20.844</v>
      </c>
      <c r="O28" s="7">
        <v>106.688</v>
      </c>
      <c r="P28" s="7"/>
      <c r="Q28" s="7">
        <v>6.0</v>
      </c>
      <c r="R28" s="7">
        <v>25.2</v>
      </c>
      <c r="S28" s="7">
        <v>0.0</v>
      </c>
      <c r="T28" s="7">
        <v>2.0</v>
      </c>
      <c r="U28" s="7">
        <v>46179.55625</v>
      </c>
      <c r="V28" s="7" t="s">
        <v>44</v>
      </c>
      <c r="W28" s="7" t="s">
        <v>102</v>
      </c>
      <c r="X28" s="7" t="s">
        <v>259</v>
      </c>
      <c r="Y28" s="7"/>
    </row>
    <row r="29" ht="15.75" customHeight="1">
      <c r="A29" s="7" t="s">
        <v>296</v>
      </c>
      <c r="B29" s="7" t="s">
        <v>297</v>
      </c>
      <c r="C29" s="7" t="s">
        <v>177</v>
      </c>
      <c r="D29" s="7">
        <v>15.0</v>
      </c>
      <c r="E29" s="7">
        <v>55.0</v>
      </c>
      <c r="F29" s="7" t="s">
        <v>298</v>
      </c>
      <c r="G29" s="7" t="s">
        <v>299</v>
      </c>
      <c r="H29" s="7" t="s">
        <v>153</v>
      </c>
      <c r="I29" s="7" t="s">
        <v>180</v>
      </c>
      <c r="J29" s="7">
        <v>46179.25</v>
      </c>
      <c r="K29" s="7">
        <v>46179.75</v>
      </c>
      <c r="L29" s="7" t="s">
        <v>155</v>
      </c>
      <c r="M29" s="7" t="s">
        <v>181</v>
      </c>
      <c r="N29" s="7">
        <v>21.257</v>
      </c>
      <c r="O29" s="7">
        <v>105.849</v>
      </c>
      <c r="P29" s="7" t="s">
        <v>213</v>
      </c>
      <c r="Q29" s="7">
        <v>5.25</v>
      </c>
      <c r="R29" s="7">
        <v>16.5</v>
      </c>
      <c r="S29" s="7">
        <v>1.0</v>
      </c>
      <c r="T29" s="7">
        <v>9.75</v>
      </c>
      <c r="U29" s="7">
        <v>46179.6</v>
      </c>
      <c r="V29" s="7" t="s">
        <v>157</v>
      </c>
      <c r="W29" s="7" t="s">
        <v>102</v>
      </c>
      <c r="X29" s="7" t="s">
        <v>158</v>
      </c>
      <c r="Y29" s="7"/>
    </row>
    <row r="30" ht="15.75" customHeight="1">
      <c r="A30" s="7" t="s">
        <v>300</v>
      </c>
      <c r="B30" s="7" t="s">
        <v>301</v>
      </c>
      <c r="C30" s="7" t="s">
        <v>184</v>
      </c>
      <c r="D30" s="7">
        <v>18.0</v>
      </c>
      <c r="E30" s="7">
        <v>65.0</v>
      </c>
      <c r="F30" s="7" t="s">
        <v>302</v>
      </c>
      <c r="G30" s="7" t="s">
        <v>303</v>
      </c>
      <c r="H30" s="7" t="s">
        <v>153</v>
      </c>
      <c r="I30" s="7" t="s">
        <v>187</v>
      </c>
      <c r="J30" s="7">
        <v>46179.25</v>
      </c>
      <c r="K30" s="7">
        <v>46179.75</v>
      </c>
      <c r="L30" s="7" t="s">
        <v>155</v>
      </c>
      <c r="M30" s="7" t="s">
        <v>254</v>
      </c>
      <c r="N30" s="7">
        <v>21.013</v>
      </c>
      <c r="O30" s="7">
        <v>105.526</v>
      </c>
      <c r="P30" s="7" t="s">
        <v>182</v>
      </c>
      <c r="Q30" s="7">
        <v>6.3</v>
      </c>
      <c r="R30" s="7">
        <v>19.5</v>
      </c>
      <c r="S30" s="7">
        <v>2.0</v>
      </c>
      <c r="T30" s="7">
        <v>11.7</v>
      </c>
      <c r="U30" s="7">
        <v>46179.64375</v>
      </c>
      <c r="V30" s="7" t="s">
        <v>157</v>
      </c>
      <c r="W30" s="7" t="s">
        <v>102</v>
      </c>
      <c r="X30" s="7" t="s">
        <v>158</v>
      </c>
      <c r="Y30" s="7"/>
    </row>
    <row r="31" ht="15.75" customHeight="1">
      <c r="A31" s="7" t="s">
        <v>304</v>
      </c>
      <c r="B31" s="7" t="s">
        <v>305</v>
      </c>
      <c r="C31" s="7" t="s">
        <v>195</v>
      </c>
      <c r="D31" s="7">
        <v>0.5</v>
      </c>
      <c r="E31" s="7">
        <v>3.5</v>
      </c>
      <c r="F31" s="7" t="s">
        <v>306</v>
      </c>
      <c r="G31" s="7" t="s">
        <v>307</v>
      </c>
      <c r="H31" s="7" t="s">
        <v>308</v>
      </c>
      <c r="I31" s="7" t="s">
        <v>198</v>
      </c>
      <c r="J31" s="7">
        <v>46179.25</v>
      </c>
      <c r="K31" s="7">
        <v>46179.75</v>
      </c>
      <c r="L31" s="7" t="s">
        <v>199</v>
      </c>
      <c r="M31" s="7" t="s">
        <v>200</v>
      </c>
      <c r="N31" s="7">
        <v>20.971</v>
      </c>
      <c r="O31" s="7">
        <v>105.778</v>
      </c>
      <c r="P31" s="7"/>
      <c r="Q31" s="7">
        <v>0.38</v>
      </c>
      <c r="R31" s="7">
        <v>2.5</v>
      </c>
      <c r="S31" s="7">
        <v>0.0</v>
      </c>
      <c r="T31" s="7">
        <v>0.12</v>
      </c>
      <c r="U31" s="7">
        <v>46179.4375</v>
      </c>
      <c r="V31" s="7" t="s">
        <v>44</v>
      </c>
      <c r="W31" s="7" t="s">
        <v>102</v>
      </c>
      <c r="X31" s="7" t="s">
        <v>158</v>
      </c>
      <c r="Y31" s="7"/>
    </row>
    <row r="32" ht="15.75" customHeight="1">
      <c r="A32" s="7" t="s">
        <v>309</v>
      </c>
      <c r="B32" s="7" t="s">
        <v>310</v>
      </c>
      <c r="C32" s="7" t="s">
        <v>150</v>
      </c>
      <c r="D32" s="7">
        <v>1.25</v>
      </c>
      <c r="E32" s="7">
        <v>8.0</v>
      </c>
      <c r="F32" s="7" t="s">
        <v>311</v>
      </c>
      <c r="G32" s="7" t="s">
        <v>312</v>
      </c>
      <c r="H32" s="7" t="s">
        <v>308</v>
      </c>
      <c r="I32" s="7" t="s">
        <v>205</v>
      </c>
      <c r="J32" s="7">
        <v>46179.25</v>
      </c>
      <c r="K32" s="7">
        <v>46179.75</v>
      </c>
      <c r="L32" s="7" t="s">
        <v>155</v>
      </c>
      <c r="M32" s="7" t="s">
        <v>206</v>
      </c>
      <c r="N32" s="7">
        <v>19.807</v>
      </c>
      <c r="O32" s="7">
        <v>105.776</v>
      </c>
      <c r="P32" s="7" t="s">
        <v>81</v>
      </c>
      <c r="Q32" s="7">
        <v>0.44</v>
      </c>
      <c r="R32" s="7">
        <v>2.4</v>
      </c>
      <c r="S32" s="7">
        <v>4.0</v>
      </c>
      <c r="T32" s="7">
        <v>0.81</v>
      </c>
      <c r="U32" s="7">
        <v>46179.48125</v>
      </c>
      <c r="V32" s="7" t="s">
        <v>157</v>
      </c>
      <c r="W32" s="7" t="s">
        <v>102</v>
      </c>
      <c r="X32" s="7" t="s">
        <v>158</v>
      </c>
      <c r="Y32" s="7"/>
    </row>
    <row r="33" ht="15.75" customHeight="1">
      <c r="A33" s="7" t="s">
        <v>313</v>
      </c>
      <c r="B33" s="7" t="s">
        <v>314</v>
      </c>
      <c r="C33" s="7" t="s">
        <v>161</v>
      </c>
      <c r="D33" s="7">
        <v>5.0</v>
      </c>
      <c r="E33" s="7">
        <v>22.0</v>
      </c>
      <c r="F33" s="7" t="s">
        <v>315</v>
      </c>
      <c r="G33" s="7" t="s">
        <v>316</v>
      </c>
      <c r="H33" s="7" t="s">
        <v>308</v>
      </c>
      <c r="I33" s="7" t="s">
        <v>211</v>
      </c>
      <c r="J33" s="7">
        <v>46179.25</v>
      </c>
      <c r="K33" s="7">
        <v>46179.75</v>
      </c>
      <c r="L33" s="7" t="s">
        <v>155</v>
      </c>
      <c r="M33" s="7" t="s">
        <v>212</v>
      </c>
      <c r="N33" s="7">
        <v>20.94</v>
      </c>
      <c r="O33" s="7">
        <v>106.04</v>
      </c>
      <c r="P33" s="7" t="s">
        <v>166</v>
      </c>
      <c r="Q33" s="7">
        <v>1.75</v>
      </c>
      <c r="R33" s="7">
        <v>6.6</v>
      </c>
      <c r="S33" s="7">
        <v>1.0</v>
      </c>
      <c r="T33" s="7">
        <v>3.25</v>
      </c>
      <c r="U33" s="7">
        <v>46179.525</v>
      </c>
      <c r="V33" s="7" t="s">
        <v>157</v>
      </c>
      <c r="W33" s="7" t="s">
        <v>102</v>
      </c>
      <c r="X33" s="7" t="s">
        <v>158</v>
      </c>
      <c r="Y33" s="7"/>
    </row>
    <row r="34" ht="15.75" customHeight="1">
      <c r="A34" s="7" t="s">
        <v>317</v>
      </c>
      <c r="B34" s="7" t="s">
        <v>318</v>
      </c>
      <c r="C34" s="7" t="s">
        <v>169</v>
      </c>
      <c r="D34" s="7">
        <v>8.0</v>
      </c>
      <c r="E34" s="7">
        <v>35.0</v>
      </c>
      <c r="F34" s="7" t="s">
        <v>319</v>
      </c>
      <c r="G34" s="7" t="s">
        <v>320</v>
      </c>
      <c r="H34" s="7" t="s">
        <v>308</v>
      </c>
      <c r="I34" s="7" t="s">
        <v>154</v>
      </c>
      <c r="J34" s="7">
        <v>46179.25</v>
      </c>
      <c r="K34" s="7">
        <v>46179.75</v>
      </c>
      <c r="L34" s="7" t="s">
        <v>173</v>
      </c>
      <c r="M34" s="7" t="s">
        <v>321</v>
      </c>
      <c r="N34" s="7">
        <v>20.954</v>
      </c>
      <c r="O34" s="7">
        <v>105.747</v>
      </c>
      <c r="P34" s="7"/>
      <c r="Q34" s="7">
        <v>6.0</v>
      </c>
      <c r="R34" s="7">
        <v>25.2</v>
      </c>
      <c r="S34" s="7">
        <v>0.0</v>
      </c>
      <c r="T34" s="7">
        <v>2.0</v>
      </c>
      <c r="U34" s="7">
        <v>46179.56875</v>
      </c>
      <c r="V34" s="7" t="s">
        <v>44</v>
      </c>
      <c r="W34" s="7" t="s">
        <v>89</v>
      </c>
      <c r="X34" s="7" t="s">
        <v>158</v>
      </c>
      <c r="Y34" s="7" t="s">
        <v>229</v>
      </c>
    </row>
    <row r="35" ht="15.75" customHeight="1">
      <c r="A35" s="7" t="s">
        <v>322</v>
      </c>
      <c r="B35" s="7" t="s">
        <v>323</v>
      </c>
      <c r="C35" s="7" t="s">
        <v>177</v>
      </c>
      <c r="D35" s="7">
        <v>15.0</v>
      </c>
      <c r="E35" s="7">
        <v>55.0</v>
      </c>
      <c r="F35" s="7" t="s">
        <v>324</v>
      </c>
      <c r="G35" s="7" t="s">
        <v>325</v>
      </c>
      <c r="H35" s="7" t="s">
        <v>308</v>
      </c>
      <c r="I35" s="7" t="s">
        <v>164</v>
      </c>
      <c r="J35" s="7">
        <v>46179.25</v>
      </c>
      <c r="K35" s="7">
        <v>46179.75</v>
      </c>
      <c r="L35" s="7" t="s">
        <v>155</v>
      </c>
      <c r="M35" s="7" t="s">
        <v>223</v>
      </c>
      <c r="N35" s="7">
        <v>21.033</v>
      </c>
      <c r="O35" s="7">
        <v>105.79</v>
      </c>
      <c r="P35" s="7" t="s">
        <v>182</v>
      </c>
      <c r="Q35" s="7">
        <v>5.25</v>
      </c>
      <c r="R35" s="7">
        <v>16.5</v>
      </c>
      <c r="S35" s="7">
        <v>3.0</v>
      </c>
      <c r="T35" s="7">
        <v>9.75</v>
      </c>
      <c r="U35" s="7">
        <v>46179.6125</v>
      </c>
      <c r="V35" s="7" t="s">
        <v>157</v>
      </c>
      <c r="W35" s="7" t="s">
        <v>102</v>
      </c>
      <c r="X35" s="7" t="s">
        <v>158</v>
      </c>
      <c r="Y35" s="7"/>
    </row>
    <row r="36" ht="15.75" customHeight="1">
      <c r="A36" s="7" t="s">
        <v>326</v>
      </c>
      <c r="B36" s="7" t="s">
        <v>327</v>
      </c>
      <c r="C36" s="7" t="s">
        <v>184</v>
      </c>
      <c r="D36" s="7">
        <v>18.0</v>
      </c>
      <c r="E36" s="7">
        <v>65.0</v>
      </c>
      <c r="F36" s="7" t="s">
        <v>328</v>
      </c>
      <c r="G36" s="7" t="s">
        <v>329</v>
      </c>
      <c r="H36" s="7" t="s">
        <v>308</v>
      </c>
      <c r="I36" s="7" t="s">
        <v>172</v>
      </c>
      <c r="J36" s="7">
        <v>46179.25</v>
      </c>
      <c r="K36" s="7">
        <v>46179.75</v>
      </c>
      <c r="L36" s="7" t="s">
        <v>155</v>
      </c>
      <c r="M36" s="7" t="s">
        <v>228</v>
      </c>
      <c r="N36" s="7">
        <v>21.308</v>
      </c>
      <c r="O36" s="7">
        <v>105.604</v>
      </c>
      <c r="P36" s="7" t="s">
        <v>190</v>
      </c>
      <c r="Q36" s="7">
        <v>6.3</v>
      </c>
      <c r="R36" s="7">
        <v>19.5</v>
      </c>
      <c r="S36" s="7">
        <v>4.0</v>
      </c>
      <c r="T36" s="7">
        <v>11.7</v>
      </c>
      <c r="U36" s="7">
        <v>46179.65625</v>
      </c>
      <c r="V36" s="7" t="s">
        <v>157</v>
      </c>
      <c r="W36" s="7" t="s">
        <v>102</v>
      </c>
      <c r="X36" s="7" t="s">
        <v>158</v>
      </c>
      <c r="Y36" s="7"/>
    </row>
    <row r="37" ht="15.75" customHeight="1">
      <c r="A37" s="7" t="s">
        <v>330</v>
      </c>
      <c r="B37" s="7" t="s">
        <v>331</v>
      </c>
      <c r="C37" s="7" t="s">
        <v>195</v>
      </c>
      <c r="D37" s="7">
        <v>0.5</v>
      </c>
      <c r="E37" s="7">
        <v>3.5</v>
      </c>
      <c r="F37" s="7" t="s">
        <v>332</v>
      </c>
      <c r="G37" s="7" t="s">
        <v>333</v>
      </c>
      <c r="H37" s="7" t="s">
        <v>308</v>
      </c>
      <c r="I37" s="7" t="s">
        <v>180</v>
      </c>
      <c r="J37" s="7">
        <v>46179.25</v>
      </c>
      <c r="K37" s="7">
        <v>46179.75</v>
      </c>
      <c r="L37" s="7" t="s">
        <v>199</v>
      </c>
      <c r="M37" s="7" t="s">
        <v>153</v>
      </c>
      <c r="N37" s="7">
        <v>21.047</v>
      </c>
      <c r="O37" s="7">
        <v>105.891</v>
      </c>
      <c r="P37" s="7"/>
      <c r="Q37" s="7">
        <v>0.38</v>
      </c>
      <c r="R37" s="7">
        <v>2.5</v>
      </c>
      <c r="S37" s="7">
        <v>0.0</v>
      </c>
      <c r="T37" s="7">
        <v>0.12</v>
      </c>
      <c r="U37" s="7">
        <v>46179.45</v>
      </c>
      <c r="V37" s="7" t="s">
        <v>44</v>
      </c>
      <c r="W37" s="7" t="s">
        <v>102</v>
      </c>
      <c r="X37" s="7" t="s">
        <v>158</v>
      </c>
      <c r="Y37" s="7"/>
    </row>
    <row r="38" ht="15.75" customHeight="1">
      <c r="A38" s="7" t="s">
        <v>334</v>
      </c>
      <c r="B38" s="7" t="s">
        <v>335</v>
      </c>
      <c r="C38" s="7" t="s">
        <v>150</v>
      </c>
      <c r="D38" s="7">
        <v>1.25</v>
      </c>
      <c r="E38" s="7">
        <v>8.0</v>
      </c>
      <c r="F38" s="7" t="s">
        <v>336</v>
      </c>
      <c r="G38" s="7" t="s">
        <v>337</v>
      </c>
      <c r="H38" s="7" t="s">
        <v>308</v>
      </c>
      <c r="I38" s="7" t="s">
        <v>187</v>
      </c>
      <c r="J38" s="7">
        <v>46179.25</v>
      </c>
      <c r="K38" s="7">
        <v>46179.75</v>
      </c>
      <c r="L38" s="7" t="s">
        <v>173</v>
      </c>
      <c r="M38" s="7" t="s">
        <v>156</v>
      </c>
      <c r="N38" s="7">
        <v>21.186</v>
      </c>
      <c r="O38" s="7">
        <v>106.076</v>
      </c>
      <c r="P38" s="7"/>
      <c r="Q38" s="7">
        <v>0.94</v>
      </c>
      <c r="R38" s="7">
        <v>5.8</v>
      </c>
      <c r="S38" s="7">
        <v>0.0</v>
      </c>
      <c r="T38" s="7">
        <v>0.31</v>
      </c>
      <c r="U38" s="7">
        <v>46179.49375</v>
      </c>
      <c r="V38" s="7" t="s">
        <v>44</v>
      </c>
      <c r="W38" s="7" t="s">
        <v>102</v>
      </c>
      <c r="X38" s="7" t="s">
        <v>158</v>
      </c>
      <c r="Y38" s="7"/>
    </row>
    <row r="39" ht="15.75" customHeight="1">
      <c r="A39" s="7" t="s">
        <v>338</v>
      </c>
      <c r="B39" s="7" t="s">
        <v>339</v>
      </c>
      <c r="C39" s="7" t="s">
        <v>161</v>
      </c>
      <c r="D39" s="7">
        <v>5.0</v>
      </c>
      <c r="E39" s="7">
        <v>22.0</v>
      </c>
      <c r="F39" s="7" t="s">
        <v>340</v>
      </c>
      <c r="G39" s="7" t="s">
        <v>341</v>
      </c>
      <c r="H39" s="7" t="s">
        <v>308</v>
      </c>
      <c r="I39" s="7" t="s">
        <v>198</v>
      </c>
      <c r="J39" s="7">
        <v>46179.25</v>
      </c>
      <c r="K39" s="7">
        <v>46179.75</v>
      </c>
      <c r="L39" s="7" t="s">
        <v>155</v>
      </c>
      <c r="M39" s="7" t="s">
        <v>165</v>
      </c>
      <c r="N39" s="7">
        <v>20.938</v>
      </c>
      <c r="O39" s="7">
        <v>106.316</v>
      </c>
      <c r="P39" s="7" t="s">
        <v>213</v>
      </c>
      <c r="Q39" s="7">
        <v>1.75</v>
      </c>
      <c r="R39" s="7">
        <v>6.6</v>
      </c>
      <c r="S39" s="7">
        <v>3.0</v>
      </c>
      <c r="T39" s="7">
        <v>3.25</v>
      </c>
      <c r="U39" s="7">
        <v>46179.5375</v>
      </c>
      <c r="V39" s="7" t="s">
        <v>157</v>
      </c>
      <c r="W39" s="7" t="s">
        <v>102</v>
      </c>
      <c r="X39" s="7" t="s">
        <v>158</v>
      </c>
      <c r="Y39" s="7"/>
    </row>
    <row r="40" ht="15.75" customHeight="1">
      <c r="A40" s="7" t="s">
        <v>342</v>
      </c>
      <c r="B40" s="7" t="s">
        <v>343</v>
      </c>
      <c r="C40" s="7" t="s">
        <v>169</v>
      </c>
      <c r="D40" s="7">
        <v>8.0</v>
      </c>
      <c r="E40" s="7">
        <v>35.0</v>
      </c>
      <c r="F40" s="7" t="s">
        <v>344</v>
      </c>
      <c r="G40" s="7" t="s">
        <v>345</v>
      </c>
      <c r="H40" s="7" t="s">
        <v>308</v>
      </c>
      <c r="I40" s="7" t="s">
        <v>205</v>
      </c>
      <c r="J40" s="7">
        <v>46179.25</v>
      </c>
      <c r="K40" s="7">
        <v>46179.75</v>
      </c>
      <c r="L40" s="7" t="s">
        <v>199</v>
      </c>
      <c r="M40" s="7" t="s">
        <v>174</v>
      </c>
      <c r="N40" s="7">
        <v>20.844</v>
      </c>
      <c r="O40" s="7">
        <v>106.688</v>
      </c>
      <c r="P40" s="7"/>
      <c r="Q40" s="7">
        <v>6.0</v>
      </c>
      <c r="R40" s="7">
        <v>25.2</v>
      </c>
      <c r="S40" s="7">
        <v>0.0</v>
      </c>
      <c r="T40" s="7">
        <v>2.0</v>
      </c>
      <c r="U40" s="7">
        <v>46179.58125</v>
      </c>
      <c r="V40" s="7" t="s">
        <v>44</v>
      </c>
      <c r="W40" s="7" t="s">
        <v>102</v>
      </c>
      <c r="X40" s="7" t="s">
        <v>158</v>
      </c>
      <c r="Y40" s="7"/>
    </row>
    <row r="41" ht="15.75" customHeight="1">
      <c r="A41" s="7" t="s">
        <v>346</v>
      </c>
      <c r="B41" s="7" t="s">
        <v>347</v>
      </c>
      <c r="C41" s="7" t="s">
        <v>177</v>
      </c>
      <c r="D41" s="7">
        <v>15.0</v>
      </c>
      <c r="E41" s="7">
        <v>55.0</v>
      </c>
      <c r="F41" s="7" t="s">
        <v>348</v>
      </c>
      <c r="G41" s="7" t="s">
        <v>349</v>
      </c>
      <c r="H41" s="7" t="s">
        <v>308</v>
      </c>
      <c r="I41" s="7" t="s">
        <v>211</v>
      </c>
      <c r="J41" s="7">
        <v>46179.25</v>
      </c>
      <c r="K41" s="7">
        <v>46179.75</v>
      </c>
      <c r="L41" s="7" t="s">
        <v>155</v>
      </c>
      <c r="M41" s="7" t="s">
        <v>181</v>
      </c>
      <c r="N41" s="7">
        <v>21.257</v>
      </c>
      <c r="O41" s="7">
        <v>105.849</v>
      </c>
      <c r="P41" s="7" t="s">
        <v>190</v>
      </c>
      <c r="Q41" s="7">
        <v>5.25</v>
      </c>
      <c r="R41" s="7">
        <v>16.5</v>
      </c>
      <c r="S41" s="7">
        <v>1.0</v>
      </c>
      <c r="T41" s="7">
        <v>9.75</v>
      </c>
      <c r="U41" s="7">
        <v>46179.583333333336</v>
      </c>
      <c r="V41" s="7" t="s">
        <v>157</v>
      </c>
      <c r="W41" s="7" t="s">
        <v>102</v>
      </c>
      <c r="X41" s="7" t="s">
        <v>158</v>
      </c>
      <c r="Y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9.13"/>
    <col customWidth="1" min="3" max="3" width="24.0"/>
    <col customWidth="1" min="4" max="4" width="9.25"/>
    <col customWidth="1" min="5" max="6" width="22.0"/>
    <col customWidth="1" min="7" max="7" width="28.0"/>
    <col customWidth="1" min="8" max="8" width="12.38"/>
    <col customWidth="1" min="9" max="9" width="12.5"/>
    <col customWidth="1" min="10" max="10" width="24.13"/>
    <col customWidth="1" min="11" max="11" width="23.25"/>
    <col customWidth="1" min="12" max="12" width="25.63"/>
    <col customWidth="1" min="13" max="13" width="24.63"/>
    <col customWidth="1" min="14" max="14" width="23.88"/>
    <col customWidth="1" min="15" max="15" width="23.0"/>
    <col customWidth="1" min="16" max="16" width="25.25"/>
    <col customWidth="1" min="17" max="17" width="24.38"/>
    <col customWidth="1" min="18" max="18" width="16.0"/>
    <col customWidth="1" min="19" max="19" width="24.0"/>
    <col customWidth="1" min="20" max="20" width="15.25"/>
    <col customWidth="1" min="21" max="21" width="17.0"/>
    <col customWidth="1" min="22" max="22" width="21.13"/>
    <col customWidth="1" min="23" max="23" width="22.88"/>
    <col customWidth="1" min="24" max="24" width="11.75"/>
    <col customWidth="1" min="25" max="25" width="22.38"/>
    <col customWidth="1" min="26" max="26" width="19.38"/>
    <col customWidth="1" min="27" max="27" width="24.25"/>
    <col customWidth="1" min="28" max="28" width="30.0"/>
  </cols>
  <sheetData>
    <row r="1">
      <c r="A1" s="6" t="s">
        <v>350</v>
      </c>
      <c r="B1" s="6" t="s">
        <v>47</v>
      </c>
      <c r="C1" s="6" t="s">
        <v>351</v>
      </c>
      <c r="D1" s="6" t="s">
        <v>352</v>
      </c>
      <c r="E1" s="6" t="s">
        <v>353</v>
      </c>
      <c r="F1" s="6" t="s">
        <v>354</v>
      </c>
      <c r="G1" s="6" t="s">
        <v>355</v>
      </c>
      <c r="H1" s="6" t="s">
        <v>356</v>
      </c>
      <c r="I1" s="6" t="s">
        <v>357</v>
      </c>
      <c r="J1" s="9" t="s">
        <v>358</v>
      </c>
      <c r="K1" s="9" t="s">
        <v>359</v>
      </c>
      <c r="L1" s="9" t="s">
        <v>360</v>
      </c>
      <c r="M1" s="9" t="s">
        <v>361</v>
      </c>
      <c r="N1" s="9" t="s">
        <v>362</v>
      </c>
      <c r="O1" s="9" t="s">
        <v>363</v>
      </c>
      <c r="P1" s="9" t="s">
        <v>364</v>
      </c>
      <c r="Q1" s="9" t="s">
        <v>365</v>
      </c>
      <c r="R1" s="6" t="s">
        <v>54</v>
      </c>
      <c r="S1" s="6" t="s">
        <v>366</v>
      </c>
      <c r="T1" s="9" t="s">
        <v>58</v>
      </c>
      <c r="U1" s="9" t="s">
        <v>367</v>
      </c>
      <c r="V1" s="6" t="s">
        <v>368</v>
      </c>
      <c r="W1" s="6" t="s">
        <v>369</v>
      </c>
      <c r="X1" s="6" t="s">
        <v>370</v>
      </c>
      <c r="Y1" s="6" t="s">
        <v>371</v>
      </c>
      <c r="Z1" s="6" t="s">
        <v>372</v>
      </c>
      <c r="AA1" s="6" t="s">
        <v>373</v>
      </c>
      <c r="AB1" s="6" t="s">
        <v>374</v>
      </c>
    </row>
    <row r="2">
      <c r="A2" s="7" t="s">
        <v>82</v>
      </c>
      <c r="B2" s="7" t="s">
        <v>77</v>
      </c>
      <c r="C2" s="7" t="s">
        <v>375</v>
      </c>
      <c r="D2" s="7" t="s">
        <v>376</v>
      </c>
      <c r="E2" s="7" t="s">
        <v>377</v>
      </c>
      <c r="F2" s="7" t="s">
        <v>375</v>
      </c>
      <c r="G2" s="7" t="s">
        <v>161</v>
      </c>
      <c r="H2" s="7">
        <v>1.2</v>
      </c>
      <c r="I2" s="7">
        <v>5.5</v>
      </c>
      <c r="J2" s="7">
        <v>46179.291666666664</v>
      </c>
      <c r="K2" s="7">
        <v>46179.333333333336</v>
      </c>
      <c r="L2" s="7">
        <v>46179.5</v>
      </c>
      <c r="M2" s="7">
        <v>46179.5625</v>
      </c>
      <c r="N2" s="7">
        <v>46179.291666666664</v>
      </c>
      <c r="O2" s="7">
        <v>46179.333333333336</v>
      </c>
      <c r="P2" s="7">
        <v>46179.5</v>
      </c>
      <c r="Q2" s="7">
        <v>46179.5625</v>
      </c>
      <c r="R2" s="7" t="s">
        <v>83</v>
      </c>
      <c r="S2" s="7" t="s">
        <v>224</v>
      </c>
      <c r="T2" s="7">
        <v>46179.59027777778</v>
      </c>
      <c r="U2" s="7">
        <v>46179.555555555555</v>
      </c>
      <c r="V2" s="7">
        <f t="shared" ref="V2:V10" si="1">MAX(0,ROUND((T2-Q2)*1440,0))</f>
        <v>40</v>
      </c>
      <c r="W2" s="7">
        <f t="shared" ref="W2:W10" si="2">MAX(0,ROUND((U2-Q2)*1440,0))</f>
        <v>0</v>
      </c>
      <c r="X2" s="7" t="str">
        <f>IF(W2=0,"On-time",IF(W2&lt;=Parameters!$B$9,"Minor late","Late"))</f>
        <v>On-time</v>
      </c>
      <c r="Y2" s="7" t="s">
        <v>378</v>
      </c>
      <c r="Z2" s="7" t="s">
        <v>379</v>
      </c>
      <c r="AA2" s="7" t="s">
        <v>380</v>
      </c>
      <c r="AB2" s="7" t="s">
        <v>381</v>
      </c>
    </row>
    <row r="3">
      <c r="A3" s="7" t="s">
        <v>382</v>
      </c>
      <c r="B3" s="7" t="s">
        <v>77</v>
      </c>
      <c r="C3" s="7" t="s">
        <v>383</v>
      </c>
      <c r="D3" s="7" t="s">
        <v>384</v>
      </c>
      <c r="E3" s="7" t="s">
        <v>377</v>
      </c>
      <c r="F3" s="7" t="s">
        <v>385</v>
      </c>
      <c r="G3" s="7" t="s">
        <v>161</v>
      </c>
      <c r="H3" s="7">
        <v>1.0</v>
      </c>
      <c r="I3" s="7">
        <v>4.5</v>
      </c>
      <c r="J3" s="7">
        <v>46179.291666666664</v>
      </c>
      <c r="K3" s="7">
        <v>46179.333333333336</v>
      </c>
      <c r="L3" s="7">
        <v>46179.520833333336</v>
      </c>
      <c r="M3" s="7">
        <v>46179.583333333336</v>
      </c>
      <c r="N3" s="7">
        <v>46179.291666666664</v>
      </c>
      <c r="O3" s="7">
        <v>46179.333333333336</v>
      </c>
      <c r="P3" s="7">
        <v>46179.520833333336</v>
      </c>
      <c r="Q3" s="7">
        <v>46179.583333333336</v>
      </c>
      <c r="R3" s="7" t="s">
        <v>83</v>
      </c>
      <c r="S3" s="7" t="s">
        <v>224</v>
      </c>
      <c r="T3" s="7">
        <v>46179.60763888889</v>
      </c>
      <c r="U3" s="7">
        <v>46179.572916666664</v>
      </c>
      <c r="V3" s="7">
        <f t="shared" si="1"/>
        <v>35</v>
      </c>
      <c r="W3" s="7">
        <f t="shared" si="2"/>
        <v>0</v>
      </c>
      <c r="X3" s="7" t="str">
        <f>IF(W3=0,"On-time",IF(W3&lt;=Parameters!$B$9,"Minor late","Late"))</f>
        <v>On-time</v>
      </c>
      <c r="Y3" s="7" t="s">
        <v>386</v>
      </c>
      <c r="Z3" s="7" t="s">
        <v>379</v>
      </c>
      <c r="AA3" s="7" t="s">
        <v>380</v>
      </c>
      <c r="AB3" s="7" t="s">
        <v>387</v>
      </c>
    </row>
    <row r="4">
      <c r="A4" s="7" t="s">
        <v>388</v>
      </c>
      <c r="B4" s="7" t="s">
        <v>77</v>
      </c>
      <c r="C4" s="7" t="s">
        <v>389</v>
      </c>
      <c r="D4" s="7" t="s">
        <v>384</v>
      </c>
      <c r="E4" s="7" t="s">
        <v>377</v>
      </c>
      <c r="F4" s="7" t="s">
        <v>390</v>
      </c>
      <c r="G4" s="7" t="s">
        <v>161</v>
      </c>
      <c r="H4" s="7">
        <v>1.0</v>
      </c>
      <c r="I4" s="7">
        <v>4.0</v>
      </c>
      <c r="J4" s="7">
        <v>46179.291666666664</v>
      </c>
      <c r="K4" s="7">
        <v>46179.333333333336</v>
      </c>
      <c r="L4" s="7">
        <v>46179.541666666664</v>
      </c>
      <c r="M4" s="7">
        <v>46179.625</v>
      </c>
      <c r="N4" s="7">
        <v>46179.291666666664</v>
      </c>
      <c r="O4" s="7">
        <v>46179.333333333336</v>
      </c>
      <c r="P4" s="7">
        <v>46179.541666666664</v>
      </c>
      <c r="Q4" s="7">
        <v>46179.625</v>
      </c>
      <c r="R4" s="7" t="s">
        <v>83</v>
      </c>
      <c r="S4" s="7" t="s">
        <v>224</v>
      </c>
      <c r="T4" s="7">
        <v>46179.62847222222</v>
      </c>
      <c r="U4" s="7">
        <v>46179.59722222222</v>
      </c>
      <c r="V4" s="7">
        <f t="shared" si="1"/>
        <v>5</v>
      </c>
      <c r="W4" s="7">
        <f t="shared" si="2"/>
        <v>0</v>
      </c>
      <c r="X4" s="7" t="str">
        <f>IF(W4=0,"On-time",IF(W4&lt;=Parameters!$B$9,"Minor late","Late"))</f>
        <v>On-time</v>
      </c>
      <c r="Y4" s="7" t="s">
        <v>386</v>
      </c>
      <c r="Z4" s="7" t="s">
        <v>379</v>
      </c>
      <c r="AA4" s="7" t="s">
        <v>380</v>
      </c>
      <c r="AB4" s="7" t="s">
        <v>391</v>
      </c>
    </row>
    <row r="5">
      <c r="A5" s="7" t="s">
        <v>392</v>
      </c>
      <c r="B5" s="7" t="s">
        <v>91</v>
      </c>
      <c r="C5" s="7" t="s">
        <v>393</v>
      </c>
      <c r="D5" s="7" t="s">
        <v>394</v>
      </c>
      <c r="E5" s="7" t="s">
        <v>395</v>
      </c>
      <c r="F5" s="7" t="s">
        <v>396</v>
      </c>
      <c r="G5" s="7" t="s">
        <v>161</v>
      </c>
      <c r="H5" s="7">
        <v>0.7</v>
      </c>
      <c r="I5" s="7">
        <v>3.0</v>
      </c>
      <c r="J5" s="7">
        <v>46179.333333333336</v>
      </c>
      <c r="K5" s="7">
        <v>46179.375</v>
      </c>
      <c r="L5" s="7">
        <v>46179.395833333336</v>
      </c>
      <c r="M5" s="7">
        <v>46179.4375</v>
      </c>
      <c r="N5" s="7">
        <v>46179.364583333336</v>
      </c>
      <c r="O5" s="7">
        <v>46179.40625</v>
      </c>
      <c r="P5" s="7">
        <v>46179.395833333336</v>
      </c>
      <c r="Q5" s="7">
        <v>46179.4375</v>
      </c>
      <c r="R5" s="7" t="s">
        <v>97</v>
      </c>
      <c r="S5" s="7" t="s">
        <v>97</v>
      </c>
      <c r="T5" s="7">
        <v>46179.427083333336</v>
      </c>
      <c r="U5" s="7">
        <v>46179.430555555555</v>
      </c>
      <c r="V5" s="7">
        <f t="shared" si="1"/>
        <v>0</v>
      </c>
      <c r="W5" s="7">
        <f t="shared" si="2"/>
        <v>0</v>
      </c>
      <c r="X5" s="7" t="str">
        <f>IF(W5=0,"On-time",IF(W5&lt;=Parameters!$B$9,"Minor late","Late"))</f>
        <v>On-time</v>
      </c>
      <c r="Y5" s="7" t="s">
        <v>44</v>
      </c>
      <c r="Z5" s="7" t="s">
        <v>44</v>
      </c>
      <c r="AA5" s="7" t="s">
        <v>397</v>
      </c>
      <c r="AB5" s="7" t="s">
        <v>398</v>
      </c>
    </row>
    <row r="6">
      <c r="A6" s="7" t="s">
        <v>96</v>
      </c>
      <c r="B6" s="7" t="s">
        <v>91</v>
      </c>
      <c r="C6" s="7" t="s">
        <v>393</v>
      </c>
      <c r="D6" s="7" t="s">
        <v>376</v>
      </c>
      <c r="E6" s="7" t="s">
        <v>395</v>
      </c>
      <c r="F6" s="7" t="s">
        <v>399</v>
      </c>
      <c r="G6" s="7" t="s">
        <v>161</v>
      </c>
      <c r="H6" s="7">
        <v>0.8</v>
      </c>
      <c r="I6" s="7">
        <v>3.2</v>
      </c>
      <c r="J6" s="7">
        <v>46179.333333333336</v>
      </c>
      <c r="K6" s="7">
        <v>46179.375</v>
      </c>
      <c r="L6" s="7">
        <v>46179.416666666664</v>
      </c>
      <c r="M6" s="7">
        <v>46179.458333333336</v>
      </c>
      <c r="N6" s="7">
        <v>46179.364583333336</v>
      </c>
      <c r="O6" s="7">
        <v>46179.40625</v>
      </c>
      <c r="P6" s="7">
        <v>46179.541666666664</v>
      </c>
      <c r="Q6" s="7">
        <v>46179.604166666664</v>
      </c>
      <c r="R6" s="7" t="s">
        <v>97</v>
      </c>
      <c r="S6" s="7" t="s">
        <v>97</v>
      </c>
      <c r="T6" s="7">
        <v>46179.48263888889</v>
      </c>
      <c r="U6" s="7">
        <v>46179.572916666664</v>
      </c>
      <c r="V6" s="7">
        <f t="shared" si="1"/>
        <v>0</v>
      </c>
      <c r="W6" s="7">
        <f t="shared" si="2"/>
        <v>0</v>
      </c>
      <c r="X6" s="7" t="str">
        <f>IF(W6=0,"On-time",IF(W6&lt;=Parameters!$B$9,"Minor late","Late"))</f>
        <v>On-time</v>
      </c>
      <c r="Y6" s="7" t="s">
        <v>400</v>
      </c>
      <c r="Z6" s="7" t="s">
        <v>44</v>
      </c>
      <c r="AA6" s="7" t="s">
        <v>401</v>
      </c>
      <c r="AB6" s="7" t="s">
        <v>402</v>
      </c>
    </row>
    <row r="7">
      <c r="A7" s="7" t="s">
        <v>403</v>
      </c>
      <c r="B7" s="7" t="s">
        <v>91</v>
      </c>
      <c r="C7" s="7" t="s">
        <v>393</v>
      </c>
      <c r="D7" s="7" t="s">
        <v>384</v>
      </c>
      <c r="E7" s="7" t="s">
        <v>395</v>
      </c>
      <c r="F7" s="7" t="s">
        <v>404</v>
      </c>
      <c r="G7" s="7" t="s">
        <v>161</v>
      </c>
      <c r="H7" s="7">
        <v>0.5</v>
      </c>
      <c r="I7" s="7">
        <v>1.8</v>
      </c>
      <c r="J7" s="7">
        <v>46179.333333333336</v>
      </c>
      <c r="K7" s="7">
        <v>46179.375</v>
      </c>
      <c r="L7" s="7">
        <v>46179.458333333336</v>
      </c>
      <c r="M7" s="7">
        <v>46179.5</v>
      </c>
      <c r="N7" s="7">
        <v>46179.364583333336</v>
      </c>
      <c r="O7" s="7">
        <v>46179.40625</v>
      </c>
      <c r="P7" s="7">
        <v>46179.458333333336</v>
      </c>
      <c r="Q7" s="7">
        <v>46179.5</v>
      </c>
      <c r="R7" s="7" t="s">
        <v>97</v>
      </c>
      <c r="S7" s="7" t="s">
        <v>97</v>
      </c>
      <c r="T7" s="7">
        <v>46179.475694444445</v>
      </c>
      <c r="U7" s="7">
        <v>46179.48611111111</v>
      </c>
      <c r="V7" s="7">
        <f t="shared" si="1"/>
        <v>0</v>
      </c>
      <c r="W7" s="7">
        <f t="shared" si="2"/>
        <v>0</v>
      </c>
      <c r="X7" s="7" t="str">
        <f>IF(W7=0,"On-time",IF(W7&lt;=Parameters!$B$9,"Minor late","Late"))</f>
        <v>On-time</v>
      </c>
      <c r="Y7" s="7" t="s">
        <v>44</v>
      </c>
      <c r="Z7" s="7" t="s">
        <v>44</v>
      </c>
      <c r="AA7" s="7" t="s">
        <v>405</v>
      </c>
      <c r="AB7" s="7" t="s">
        <v>406</v>
      </c>
    </row>
    <row r="8">
      <c r="A8" s="7" t="s">
        <v>407</v>
      </c>
      <c r="B8" s="7" t="s">
        <v>91</v>
      </c>
      <c r="C8" s="7" t="s">
        <v>393</v>
      </c>
      <c r="D8" s="7" t="s">
        <v>384</v>
      </c>
      <c r="E8" s="7" t="s">
        <v>395</v>
      </c>
      <c r="F8" s="7" t="s">
        <v>408</v>
      </c>
      <c r="G8" s="7" t="s">
        <v>161</v>
      </c>
      <c r="H8" s="7">
        <v>0.4</v>
      </c>
      <c r="I8" s="7">
        <v>1.5</v>
      </c>
      <c r="J8" s="7">
        <v>46179.333333333336</v>
      </c>
      <c r="K8" s="7">
        <v>46179.375</v>
      </c>
      <c r="L8" s="7">
        <v>46179.583333333336</v>
      </c>
      <c r="M8" s="7">
        <v>46179.625</v>
      </c>
      <c r="N8" s="7">
        <v>46179.364583333336</v>
      </c>
      <c r="O8" s="7">
        <v>46179.40625</v>
      </c>
      <c r="P8" s="7">
        <v>46179.583333333336</v>
      </c>
      <c r="Q8" s="7">
        <v>46179.625</v>
      </c>
      <c r="R8" s="7" t="s">
        <v>97</v>
      </c>
      <c r="S8" s="7" t="s">
        <v>97</v>
      </c>
      <c r="T8" s="7">
        <v>46179.618055555555</v>
      </c>
      <c r="U8" s="7">
        <v>46179.62152777778</v>
      </c>
      <c r="V8" s="7">
        <f t="shared" si="1"/>
        <v>0</v>
      </c>
      <c r="W8" s="7">
        <f t="shared" si="2"/>
        <v>0</v>
      </c>
      <c r="X8" s="7" t="str">
        <f>IF(W8=0,"On-time",IF(W8&lt;=Parameters!$B$9,"Minor late","Late"))</f>
        <v>On-time</v>
      </c>
      <c r="Y8" s="7" t="s">
        <v>44</v>
      </c>
      <c r="Z8" s="7" t="s">
        <v>44</v>
      </c>
      <c r="AA8" s="7" t="s">
        <v>397</v>
      </c>
      <c r="AB8" s="7" t="s">
        <v>409</v>
      </c>
    </row>
    <row r="9">
      <c r="A9" s="7" t="s">
        <v>108</v>
      </c>
      <c r="B9" s="7" t="s">
        <v>104</v>
      </c>
      <c r="C9" s="7" t="s">
        <v>410</v>
      </c>
      <c r="D9" s="7" t="s">
        <v>376</v>
      </c>
      <c r="E9" s="7" t="s">
        <v>411</v>
      </c>
      <c r="F9" s="7" t="s">
        <v>412</v>
      </c>
      <c r="G9" s="7" t="s">
        <v>413</v>
      </c>
      <c r="H9" s="7">
        <v>0.6</v>
      </c>
      <c r="I9" s="7">
        <v>3.8</v>
      </c>
      <c r="J9" s="7">
        <v>46179.375</v>
      </c>
      <c r="K9" s="7">
        <v>46179.416666666664</v>
      </c>
      <c r="L9" s="7">
        <v>46179.708333333336</v>
      </c>
      <c r="M9" s="7">
        <v>46179.75</v>
      </c>
      <c r="N9" s="7">
        <v>46179.375</v>
      </c>
      <c r="O9" s="7">
        <v>46179.416666666664</v>
      </c>
      <c r="P9" s="7">
        <v>46179.708333333336</v>
      </c>
      <c r="Q9" s="7">
        <v>46179.75</v>
      </c>
      <c r="R9" s="7" t="s">
        <v>109</v>
      </c>
      <c r="S9" s="7" t="s">
        <v>317</v>
      </c>
      <c r="T9" s="7">
        <v>46179.79861111111</v>
      </c>
      <c r="U9" s="7">
        <v>46179.74652777778</v>
      </c>
      <c r="V9" s="7">
        <f t="shared" si="1"/>
        <v>70</v>
      </c>
      <c r="W9" s="7">
        <f t="shared" si="2"/>
        <v>0</v>
      </c>
      <c r="X9" s="7" t="str">
        <f>IF(W9=0,"On-time",IF(W9&lt;=Parameters!$B$9,"Minor late","Late"))</f>
        <v>On-time</v>
      </c>
      <c r="Y9" s="7" t="s">
        <v>414</v>
      </c>
      <c r="Z9" s="7" t="s">
        <v>379</v>
      </c>
      <c r="AA9" s="7" t="s">
        <v>415</v>
      </c>
      <c r="AB9" s="7" t="s">
        <v>416</v>
      </c>
    </row>
    <row r="10">
      <c r="A10" s="7" t="s">
        <v>417</v>
      </c>
      <c r="B10" s="7" t="s">
        <v>104</v>
      </c>
      <c r="C10" s="7" t="s">
        <v>418</v>
      </c>
      <c r="D10" s="7" t="s">
        <v>384</v>
      </c>
      <c r="E10" s="7" t="s">
        <v>411</v>
      </c>
      <c r="F10" s="7" t="s">
        <v>419</v>
      </c>
      <c r="G10" s="7" t="s">
        <v>150</v>
      </c>
      <c r="H10" s="7">
        <v>0.5</v>
      </c>
      <c r="I10" s="7">
        <v>3.0</v>
      </c>
      <c r="J10" s="7">
        <v>46179.375</v>
      </c>
      <c r="K10" s="7">
        <v>46179.416666666664</v>
      </c>
      <c r="L10" s="7">
        <v>46179.729166666664</v>
      </c>
      <c r="M10" s="7">
        <v>46179.770833333336</v>
      </c>
      <c r="N10" s="7">
        <v>46179.375</v>
      </c>
      <c r="O10" s="7">
        <v>46179.416666666664</v>
      </c>
      <c r="P10" s="7">
        <v>46179.729166666664</v>
      </c>
      <c r="Q10" s="7">
        <v>46179.770833333336</v>
      </c>
      <c r="R10" s="7" t="s">
        <v>109</v>
      </c>
      <c r="S10" s="7" t="s">
        <v>317</v>
      </c>
      <c r="T10" s="7">
        <v>46179.81597222222</v>
      </c>
      <c r="U10" s="7">
        <v>46179.756944444445</v>
      </c>
      <c r="V10" s="7">
        <f t="shared" si="1"/>
        <v>65</v>
      </c>
      <c r="W10" s="7">
        <f t="shared" si="2"/>
        <v>0</v>
      </c>
      <c r="X10" s="7" t="str">
        <f>IF(W10=0,"On-time",IF(W10&lt;=Parameters!$B$9,"Minor late","Late"))</f>
        <v>On-time</v>
      </c>
      <c r="Y10" s="7" t="s">
        <v>386</v>
      </c>
      <c r="Z10" s="7" t="s">
        <v>379</v>
      </c>
      <c r="AA10" s="7" t="s">
        <v>415</v>
      </c>
      <c r="AB10" s="7"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4.25"/>
    <col customWidth="1" min="3" max="3" width="12.75"/>
    <col customWidth="1" min="4" max="4" width="13.25"/>
    <col customWidth="1" min="5" max="5" width="17.75"/>
    <col customWidth="1" min="6" max="6" width="13.5"/>
    <col customWidth="1" min="7" max="7" width="17.0"/>
    <col customWidth="1" min="8" max="8" width="14.38"/>
    <col customWidth="1" min="9" max="9" width="14.75"/>
    <col customWidth="1" min="10" max="10" width="23.88"/>
    <col customWidth="1" min="11" max="11" width="18.13"/>
    <col customWidth="1" min="12" max="12" width="14.63"/>
    <col customWidth="1" min="13" max="13" width="21.5"/>
    <col customWidth="1" min="14" max="14" width="21.38"/>
    <col customWidth="1" min="15" max="15" width="13.75"/>
    <col customWidth="1" min="16" max="16" width="13.63"/>
    <col customWidth="1" min="17" max="17" width="13.0"/>
    <col customWidth="1" min="18" max="18" width="20.38"/>
    <col customWidth="1" min="19" max="19" width="18.63"/>
    <col customWidth="1" min="20" max="20" width="22.5"/>
    <col customWidth="1" min="21" max="21" width="17.75"/>
    <col customWidth="1" min="22" max="22" width="15.25"/>
    <col customWidth="1" min="23" max="23" width="19.75"/>
    <col customWidth="1" min="24" max="24" width="12.75"/>
    <col customWidth="1" min="25" max="25" width="16.38"/>
    <col customWidth="1" min="26" max="26" width="15.0"/>
    <col customWidth="1" min="27" max="27" width="34.0"/>
  </cols>
  <sheetData>
    <row r="1">
      <c r="A1" s="6" t="s">
        <v>47</v>
      </c>
      <c r="B1" s="6" t="s">
        <v>421</v>
      </c>
      <c r="C1" s="6" t="s">
        <v>422</v>
      </c>
      <c r="D1" s="6" t="s">
        <v>423</v>
      </c>
      <c r="E1" s="6" t="s">
        <v>424</v>
      </c>
      <c r="F1" s="6" t="s">
        <v>125</v>
      </c>
      <c r="G1" s="6" t="s">
        <v>425</v>
      </c>
      <c r="H1" s="6" t="s">
        <v>426</v>
      </c>
      <c r="I1" s="6" t="s">
        <v>427</v>
      </c>
      <c r="J1" s="6" t="s">
        <v>428</v>
      </c>
      <c r="K1" s="6" t="s">
        <v>429</v>
      </c>
      <c r="L1" s="6" t="s">
        <v>430</v>
      </c>
      <c r="M1" s="6" t="s">
        <v>431</v>
      </c>
      <c r="N1" s="6" t="s">
        <v>432</v>
      </c>
      <c r="O1" s="6" t="s">
        <v>433</v>
      </c>
      <c r="P1" s="6" t="s">
        <v>434</v>
      </c>
      <c r="Q1" s="6" t="s">
        <v>435</v>
      </c>
      <c r="R1" s="6" t="s">
        <v>436</v>
      </c>
      <c r="S1" s="6" t="s">
        <v>437</v>
      </c>
      <c r="T1" s="9" t="s">
        <v>438</v>
      </c>
      <c r="U1" s="6" t="s">
        <v>439</v>
      </c>
      <c r="V1" s="6" t="s">
        <v>440</v>
      </c>
      <c r="W1" s="6" t="s">
        <v>441</v>
      </c>
      <c r="X1" s="6" t="s">
        <v>442</v>
      </c>
      <c r="Y1" s="6" t="s">
        <v>443</v>
      </c>
      <c r="Z1" s="6" t="s">
        <v>444</v>
      </c>
      <c r="AA1" s="6" t="s">
        <v>445</v>
      </c>
    </row>
    <row r="2">
      <c r="A2" s="7" t="s">
        <v>77</v>
      </c>
      <c r="B2" s="7" t="s">
        <v>189</v>
      </c>
      <c r="C2" s="7">
        <v>21.005</v>
      </c>
      <c r="D2" s="7">
        <v>105.6</v>
      </c>
      <c r="E2" s="7" t="s">
        <v>224</v>
      </c>
      <c r="F2" s="7" t="s">
        <v>161</v>
      </c>
      <c r="G2" s="7" t="s">
        <v>173</v>
      </c>
      <c r="H2" s="7">
        <v>21.013</v>
      </c>
      <c r="I2" s="7">
        <v>105.526</v>
      </c>
      <c r="J2" s="7">
        <f t="shared" ref="J2:J12" si="1">ROUND(SQRT(((H2-C2)*111)^2+((I2-D2)*109)^2),2)</f>
        <v>8.11</v>
      </c>
      <c r="K2" s="7">
        <v>30.0</v>
      </c>
      <c r="L2" s="7" t="str">
        <f>IF(AND(J2&gt;=Parameters!$B$2,J2&lt;=$K2),"YES","NO")</f>
        <v>YES</v>
      </c>
      <c r="M2" s="7">
        <v>3.8</v>
      </c>
      <c r="N2" s="7">
        <v>3.2</v>
      </c>
      <c r="O2" s="7">
        <v>16.0</v>
      </c>
      <c r="P2" s="7">
        <v>14.0</v>
      </c>
      <c r="Q2" s="7" t="str">
        <f t="shared" ref="Q2:Q12" si="2">IF(AND(M2&gt;=N2,O2&gt;=P2),"YES","NO")</f>
        <v>YES</v>
      </c>
      <c r="R2" s="7">
        <f>ROUND(J2/Parameters!$B$4*60,0)</f>
        <v>14</v>
      </c>
      <c r="S2" s="7">
        <v>20.0</v>
      </c>
      <c r="T2" s="7">
        <v>46179.53125</v>
      </c>
      <c r="U2" s="7" t="str">
        <f t="shared" ref="U2:U12" si="3">IF(AND(L2="YES",Q2="YES",R2+S2&lt;=120),"YES","CHECK")</f>
        <v>YES</v>
      </c>
      <c r="V2" s="7" t="s">
        <v>44</v>
      </c>
      <c r="W2" s="7" t="s">
        <v>446</v>
      </c>
      <c r="X2" s="7">
        <v>8.0</v>
      </c>
      <c r="Y2" s="7">
        <f t="shared" ref="Y2:Y12" si="4">IF(AND(L2="YES",Q2="YES",U2="YES",V2="YES"),ROUND(100-J2*2+M2*5+O2-X2,1),-999)</f>
        <v>110.8</v>
      </c>
      <c r="Z2" s="7" t="str">
        <f t="shared" ref="Z2:Z12" si="5">IF(Y2=MAXIFS($Y:$Y,$A:$A,A2),"RECOMMENDED","")</f>
        <v>RECOMMENDED</v>
      </c>
      <c r="AA2" s="7" t="s">
        <v>447</v>
      </c>
    </row>
    <row r="3">
      <c r="A3" s="7" t="s">
        <v>77</v>
      </c>
      <c r="B3" s="7" t="s">
        <v>189</v>
      </c>
      <c r="C3" s="7">
        <v>21.005</v>
      </c>
      <c r="D3" s="7">
        <v>105.6</v>
      </c>
      <c r="E3" s="7" t="s">
        <v>109</v>
      </c>
      <c r="F3" s="7" t="s">
        <v>169</v>
      </c>
      <c r="G3" s="7" t="s">
        <v>173</v>
      </c>
      <c r="H3" s="7">
        <v>20.545</v>
      </c>
      <c r="I3" s="7">
        <v>105.914</v>
      </c>
      <c r="J3" s="7">
        <f t="shared" si="1"/>
        <v>61.47</v>
      </c>
      <c r="K3" s="7">
        <v>30.0</v>
      </c>
      <c r="L3" s="7" t="str">
        <f>IF(AND(J3&gt;=Parameters!$B$2,J3&lt;=$K3),"YES","NO")</f>
        <v>NO</v>
      </c>
      <c r="M3" s="7">
        <v>5.0</v>
      </c>
      <c r="N3" s="7">
        <v>3.2</v>
      </c>
      <c r="O3" s="7">
        <v>20.0</v>
      </c>
      <c r="P3" s="7">
        <v>14.0</v>
      </c>
      <c r="Q3" s="7" t="str">
        <f t="shared" si="2"/>
        <v>YES</v>
      </c>
      <c r="R3" s="7">
        <f>ROUND(J3/Parameters!$B$4*60,0)</f>
        <v>105</v>
      </c>
      <c r="S3" s="7">
        <v>20.0</v>
      </c>
      <c r="T3" s="7">
        <v>46179.53125</v>
      </c>
      <c r="U3" s="7" t="str">
        <f t="shared" si="3"/>
        <v>CHECK</v>
      </c>
      <c r="V3" s="7" t="s">
        <v>44</v>
      </c>
      <c r="W3" s="7" t="s">
        <v>448</v>
      </c>
      <c r="X3" s="7">
        <v>15.0</v>
      </c>
      <c r="Y3" s="7">
        <f t="shared" si="4"/>
        <v>-999</v>
      </c>
      <c r="Z3" s="7" t="str">
        <f t="shared" si="5"/>
        <v/>
      </c>
      <c r="AA3" s="7" t="s">
        <v>449</v>
      </c>
    </row>
    <row r="4">
      <c r="A4" s="7" t="s">
        <v>77</v>
      </c>
      <c r="B4" s="7" t="s">
        <v>189</v>
      </c>
      <c r="C4" s="7">
        <v>21.005</v>
      </c>
      <c r="D4" s="7">
        <v>105.6</v>
      </c>
      <c r="E4" s="7" t="s">
        <v>288</v>
      </c>
      <c r="F4" s="7" t="s">
        <v>150</v>
      </c>
      <c r="G4" s="7" t="s">
        <v>199</v>
      </c>
      <c r="H4" s="7">
        <v>20.971</v>
      </c>
      <c r="I4" s="7">
        <v>105.778</v>
      </c>
      <c r="J4" s="7">
        <f t="shared" si="1"/>
        <v>19.77</v>
      </c>
      <c r="K4" s="7">
        <v>30.0</v>
      </c>
      <c r="L4" s="7" t="str">
        <f>IF(AND(J4&gt;=Parameters!$B$2,J4&lt;=$K4),"YES","NO")</f>
        <v>YES</v>
      </c>
      <c r="M4" s="7">
        <v>1.0</v>
      </c>
      <c r="N4" s="7">
        <v>3.2</v>
      </c>
      <c r="O4" s="7">
        <v>6.0</v>
      </c>
      <c r="P4" s="7">
        <v>14.0</v>
      </c>
      <c r="Q4" s="7" t="str">
        <f t="shared" si="2"/>
        <v>NO</v>
      </c>
      <c r="R4" s="7">
        <f>ROUND(J4/Parameters!$B$4*60,0)</f>
        <v>34</v>
      </c>
      <c r="S4" s="7">
        <v>20.0</v>
      </c>
      <c r="T4" s="7">
        <v>46179.53125</v>
      </c>
      <c r="U4" s="7" t="str">
        <f t="shared" si="3"/>
        <v>CHECK</v>
      </c>
      <c r="V4" s="7" t="s">
        <v>44</v>
      </c>
      <c r="W4" s="7" t="s">
        <v>446</v>
      </c>
      <c r="X4" s="7">
        <v>25.0</v>
      </c>
      <c r="Y4" s="7">
        <f t="shared" si="4"/>
        <v>-999</v>
      </c>
      <c r="Z4" s="7" t="str">
        <f t="shared" si="5"/>
        <v/>
      </c>
      <c r="AA4" s="7" t="s">
        <v>450</v>
      </c>
    </row>
    <row r="5">
      <c r="A5" s="7" t="s">
        <v>77</v>
      </c>
      <c r="B5" s="7" t="s">
        <v>189</v>
      </c>
      <c r="C5" s="7">
        <v>21.005</v>
      </c>
      <c r="D5" s="7">
        <v>105.6</v>
      </c>
      <c r="E5" s="7" t="s">
        <v>334</v>
      </c>
      <c r="F5" s="7" t="s">
        <v>195</v>
      </c>
      <c r="G5" s="7" t="s">
        <v>173</v>
      </c>
      <c r="H5" s="7">
        <v>21.034</v>
      </c>
      <c r="I5" s="7">
        <v>105.935</v>
      </c>
      <c r="J5" s="7">
        <f t="shared" si="1"/>
        <v>36.66</v>
      </c>
      <c r="K5" s="7">
        <v>30.0</v>
      </c>
      <c r="L5" s="7" t="str">
        <f>IF(AND(J5&gt;=Parameters!$B$2,J5&lt;=$K5),"YES","NO")</f>
        <v>NO</v>
      </c>
      <c r="M5" s="7">
        <v>0.4</v>
      </c>
      <c r="N5" s="7">
        <v>3.2</v>
      </c>
      <c r="O5" s="7">
        <v>3.0</v>
      </c>
      <c r="P5" s="7">
        <v>14.0</v>
      </c>
      <c r="Q5" s="7" t="str">
        <f t="shared" si="2"/>
        <v>NO</v>
      </c>
      <c r="R5" s="7">
        <f>ROUND(J5/Parameters!$B$4*60,0)</f>
        <v>63</v>
      </c>
      <c r="S5" s="7">
        <v>20.0</v>
      </c>
      <c r="T5" s="7">
        <v>46179.53125</v>
      </c>
      <c r="U5" s="7" t="str">
        <f t="shared" si="3"/>
        <v>CHECK</v>
      </c>
      <c r="V5" s="7" t="s">
        <v>44</v>
      </c>
      <c r="W5" s="7" t="s">
        <v>446</v>
      </c>
      <c r="X5" s="7">
        <v>30.0</v>
      </c>
      <c r="Y5" s="7">
        <f t="shared" si="4"/>
        <v>-999</v>
      </c>
      <c r="Z5" s="7" t="str">
        <f t="shared" si="5"/>
        <v/>
      </c>
      <c r="AA5" s="7" t="s">
        <v>451</v>
      </c>
    </row>
    <row r="6">
      <c r="A6" s="7" t="s">
        <v>91</v>
      </c>
      <c r="B6" s="7" t="s">
        <v>395</v>
      </c>
      <c r="C6" s="7">
        <v>21.188</v>
      </c>
      <c r="D6" s="7">
        <v>106.078</v>
      </c>
      <c r="E6" s="7" t="s">
        <v>97</v>
      </c>
      <c r="F6" s="7" t="s">
        <v>161</v>
      </c>
      <c r="G6" s="7" t="s">
        <v>155</v>
      </c>
      <c r="H6" s="7">
        <v>21.188</v>
      </c>
      <c r="I6" s="7">
        <v>106.078</v>
      </c>
      <c r="J6" s="7">
        <f t="shared" si="1"/>
        <v>0</v>
      </c>
      <c r="K6" s="7">
        <v>30.0</v>
      </c>
      <c r="L6" s="7" t="str">
        <f>IF(AND(J6&gt;=Parameters!$B$2,J6&lt;=$K6),"YES","NO")</f>
        <v>NO</v>
      </c>
      <c r="M6" s="7">
        <v>2.6</v>
      </c>
      <c r="N6" s="7">
        <v>2.4</v>
      </c>
      <c r="O6" s="7">
        <v>12.0</v>
      </c>
      <c r="P6" s="7">
        <v>9.5</v>
      </c>
      <c r="Q6" s="7" t="str">
        <f t="shared" si="2"/>
        <v>YES</v>
      </c>
      <c r="R6" s="7">
        <f>ROUND(J6/Parameters!$B$4*60,0)</f>
        <v>0</v>
      </c>
      <c r="S6" s="7">
        <v>0.0</v>
      </c>
      <c r="T6" s="7">
        <v>46179.5625</v>
      </c>
      <c r="U6" s="7" t="str">
        <f t="shared" si="3"/>
        <v>CHECK</v>
      </c>
      <c r="V6" s="7" t="s">
        <v>44</v>
      </c>
      <c r="W6" s="7" t="s">
        <v>446</v>
      </c>
      <c r="X6" s="7">
        <v>5.0</v>
      </c>
      <c r="Y6" s="7">
        <f t="shared" si="4"/>
        <v>-999</v>
      </c>
      <c r="Z6" s="7" t="str">
        <f t="shared" si="5"/>
        <v>RECOMMENDED</v>
      </c>
      <c r="AA6" s="7" t="s">
        <v>452</v>
      </c>
    </row>
    <row r="7">
      <c r="A7" s="7" t="s">
        <v>91</v>
      </c>
      <c r="B7" s="7" t="s">
        <v>395</v>
      </c>
      <c r="C7" s="7">
        <v>21.188</v>
      </c>
      <c r="D7" s="7">
        <v>106.078</v>
      </c>
      <c r="E7" s="7" t="s">
        <v>280</v>
      </c>
      <c r="F7" s="7" t="s">
        <v>169</v>
      </c>
      <c r="G7" s="7" t="s">
        <v>199</v>
      </c>
      <c r="H7" s="7">
        <v>21.186</v>
      </c>
      <c r="I7" s="7">
        <v>106.076</v>
      </c>
      <c r="J7" s="7">
        <f t="shared" si="1"/>
        <v>0.31</v>
      </c>
      <c r="K7" s="7">
        <v>30.0</v>
      </c>
      <c r="L7" s="7" t="str">
        <f>IF(AND(J7&gt;=Parameters!$B$2,J7&lt;=$K7),"YES","NO")</f>
        <v>NO</v>
      </c>
      <c r="M7" s="7">
        <v>6.0</v>
      </c>
      <c r="N7" s="7">
        <v>2.4</v>
      </c>
      <c r="O7" s="7">
        <v>25.0</v>
      </c>
      <c r="P7" s="7">
        <v>9.5</v>
      </c>
      <c r="Q7" s="7" t="str">
        <f t="shared" si="2"/>
        <v>YES</v>
      </c>
      <c r="R7" s="7">
        <f>ROUND(J7/Parameters!$B$4*60,0)</f>
        <v>1</v>
      </c>
      <c r="S7" s="7">
        <v>20.0</v>
      </c>
      <c r="T7" s="7">
        <v>46179.5625</v>
      </c>
      <c r="U7" s="7" t="str">
        <f t="shared" si="3"/>
        <v>CHECK</v>
      </c>
      <c r="V7" s="7" t="s">
        <v>44</v>
      </c>
      <c r="W7" s="7" t="s">
        <v>448</v>
      </c>
      <c r="X7" s="7">
        <v>20.0</v>
      </c>
      <c r="Y7" s="7">
        <f t="shared" si="4"/>
        <v>-999</v>
      </c>
      <c r="Z7" s="7" t="str">
        <f t="shared" si="5"/>
        <v>RECOMMENDED</v>
      </c>
      <c r="AA7" s="7" t="s">
        <v>453</v>
      </c>
    </row>
    <row r="8">
      <c r="A8" s="7" t="s">
        <v>91</v>
      </c>
      <c r="B8" s="7" t="s">
        <v>395</v>
      </c>
      <c r="C8" s="7">
        <v>21.188</v>
      </c>
      <c r="D8" s="7">
        <v>106.078</v>
      </c>
      <c r="E8" s="7" t="s">
        <v>167</v>
      </c>
      <c r="F8" s="7" t="s">
        <v>150</v>
      </c>
      <c r="G8" s="7" t="s">
        <v>173</v>
      </c>
      <c r="H8" s="7">
        <v>21.257</v>
      </c>
      <c r="I8" s="7">
        <v>105.849</v>
      </c>
      <c r="J8" s="7">
        <f t="shared" si="1"/>
        <v>26.11</v>
      </c>
      <c r="K8" s="7">
        <v>30.0</v>
      </c>
      <c r="L8" s="7" t="str">
        <f>IF(AND(J8&gt;=Parameters!$B$2,J8&lt;=$K8),"YES","NO")</f>
        <v>YES</v>
      </c>
      <c r="M8" s="7">
        <v>0.9</v>
      </c>
      <c r="N8" s="7">
        <v>2.4</v>
      </c>
      <c r="O8" s="7">
        <v>7.0</v>
      </c>
      <c r="P8" s="7">
        <v>9.5</v>
      </c>
      <c r="Q8" s="7" t="str">
        <f t="shared" si="2"/>
        <v>NO</v>
      </c>
      <c r="R8" s="7">
        <f>ROUND(J8/Parameters!$B$4*60,0)</f>
        <v>45</v>
      </c>
      <c r="S8" s="7">
        <v>20.0</v>
      </c>
      <c r="T8" s="7">
        <v>46179.5625</v>
      </c>
      <c r="U8" s="7" t="str">
        <f t="shared" si="3"/>
        <v>CHECK</v>
      </c>
      <c r="V8" s="7" t="s">
        <v>44</v>
      </c>
      <c r="W8" s="7" t="s">
        <v>446</v>
      </c>
      <c r="X8" s="7">
        <v>30.0</v>
      </c>
      <c r="Y8" s="7">
        <f t="shared" si="4"/>
        <v>-999</v>
      </c>
      <c r="Z8" s="7" t="str">
        <f t="shared" si="5"/>
        <v>RECOMMENDED</v>
      </c>
      <c r="AA8" s="7" t="s">
        <v>454</v>
      </c>
    </row>
    <row r="9">
      <c r="A9" s="7" t="s">
        <v>104</v>
      </c>
      <c r="B9" s="7" t="s">
        <v>455</v>
      </c>
      <c r="C9" s="7">
        <v>20.954</v>
      </c>
      <c r="D9" s="7">
        <v>105.747</v>
      </c>
      <c r="E9" s="7" t="s">
        <v>317</v>
      </c>
      <c r="F9" s="7" t="s">
        <v>150</v>
      </c>
      <c r="G9" s="7" t="s">
        <v>173</v>
      </c>
      <c r="H9" s="7">
        <v>20.954</v>
      </c>
      <c r="I9" s="7">
        <v>105.747</v>
      </c>
      <c r="J9" s="7">
        <f t="shared" si="1"/>
        <v>0</v>
      </c>
      <c r="K9" s="7">
        <v>30.0</v>
      </c>
      <c r="L9" s="7" t="str">
        <f>IF(AND(J9&gt;=Parameters!$B$2,J9&lt;=$K9),"YES","NO")</f>
        <v>NO</v>
      </c>
      <c r="M9" s="7">
        <v>1.1</v>
      </c>
      <c r="N9" s="7">
        <v>1.1</v>
      </c>
      <c r="O9" s="7">
        <v>6.8</v>
      </c>
      <c r="P9" s="7">
        <v>6.8</v>
      </c>
      <c r="Q9" s="7" t="str">
        <f t="shared" si="2"/>
        <v>YES</v>
      </c>
      <c r="R9" s="7">
        <f>ROUND(J9/Parameters!$B$4*60,0)</f>
        <v>0</v>
      </c>
      <c r="S9" s="7">
        <v>20.0</v>
      </c>
      <c r="T9" s="7">
        <v>46179.72222222222</v>
      </c>
      <c r="U9" s="7" t="str">
        <f t="shared" si="3"/>
        <v>CHECK</v>
      </c>
      <c r="V9" s="7" t="s">
        <v>44</v>
      </c>
      <c r="W9" s="7" t="s">
        <v>448</v>
      </c>
      <c r="X9" s="7">
        <v>8.0</v>
      </c>
      <c r="Y9" s="7">
        <f t="shared" si="4"/>
        <v>-999</v>
      </c>
      <c r="Z9" s="7" t="str">
        <f t="shared" si="5"/>
        <v>RECOMMENDED</v>
      </c>
      <c r="AA9" s="7" t="s">
        <v>456</v>
      </c>
    </row>
    <row r="10">
      <c r="A10" s="7" t="s">
        <v>104</v>
      </c>
      <c r="B10" s="7" t="s">
        <v>455</v>
      </c>
      <c r="C10" s="7">
        <v>20.954</v>
      </c>
      <c r="D10" s="7">
        <v>105.747</v>
      </c>
      <c r="E10" s="7" t="s">
        <v>109</v>
      </c>
      <c r="F10" s="7" t="s">
        <v>169</v>
      </c>
      <c r="G10" s="7" t="s">
        <v>155</v>
      </c>
      <c r="H10" s="7">
        <v>20.545</v>
      </c>
      <c r="I10" s="7">
        <v>105.914</v>
      </c>
      <c r="J10" s="7">
        <f t="shared" si="1"/>
        <v>48.91</v>
      </c>
      <c r="K10" s="7">
        <v>30.0</v>
      </c>
      <c r="L10" s="7" t="str">
        <f>IF(AND(J10&gt;=Parameters!$B$2,J10&lt;=$K10),"YES","NO")</f>
        <v>NO</v>
      </c>
      <c r="M10" s="7">
        <v>5.5</v>
      </c>
      <c r="N10" s="7">
        <v>1.1</v>
      </c>
      <c r="O10" s="7">
        <v>20.0</v>
      </c>
      <c r="P10" s="7">
        <v>6.8</v>
      </c>
      <c r="Q10" s="7" t="str">
        <f t="shared" si="2"/>
        <v>YES</v>
      </c>
      <c r="R10" s="7">
        <f>ROUND(J10/Parameters!$B$4*60,0)</f>
        <v>84</v>
      </c>
      <c r="S10" s="7">
        <v>20.0</v>
      </c>
      <c r="T10" s="7">
        <v>46179.72222222222</v>
      </c>
      <c r="U10" s="7" t="str">
        <f t="shared" si="3"/>
        <v>CHECK</v>
      </c>
      <c r="V10" s="7" t="s">
        <v>44</v>
      </c>
      <c r="W10" s="7" t="s">
        <v>448</v>
      </c>
      <c r="X10" s="7">
        <v>40.0</v>
      </c>
      <c r="Y10" s="7">
        <f t="shared" si="4"/>
        <v>-999</v>
      </c>
      <c r="Z10" s="7" t="str">
        <f t="shared" si="5"/>
        <v>RECOMMENDED</v>
      </c>
      <c r="AA10" s="7" t="s">
        <v>457</v>
      </c>
    </row>
    <row r="11">
      <c r="A11" s="7" t="s">
        <v>104</v>
      </c>
      <c r="B11" s="7" t="s">
        <v>455</v>
      </c>
      <c r="C11" s="7">
        <v>20.954</v>
      </c>
      <c r="D11" s="7">
        <v>105.747</v>
      </c>
      <c r="E11" s="7" t="s">
        <v>280</v>
      </c>
      <c r="F11" s="7" t="s">
        <v>169</v>
      </c>
      <c r="G11" s="7" t="s">
        <v>199</v>
      </c>
      <c r="H11" s="7">
        <v>21.186</v>
      </c>
      <c r="I11" s="7">
        <v>106.076</v>
      </c>
      <c r="J11" s="7">
        <f t="shared" si="1"/>
        <v>44.15</v>
      </c>
      <c r="K11" s="7">
        <v>30.0</v>
      </c>
      <c r="L11" s="7" t="str">
        <f>IF(AND(J11&gt;=Parameters!$B$2,J11&lt;=$K11),"YES","NO")</f>
        <v>NO</v>
      </c>
      <c r="M11" s="7">
        <v>6.0</v>
      </c>
      <c r="N11" s="7">
        <v>1.1</v>
      </c>
      <c r="O11" s="7">
        <v>25.0</v>
      </c>
      <c r="P11" s="7">
        <v>6.8</v>
      </c>
      <c r="Q11" s="7" t="str">
        <f t="shared" si="2"/>
        <v>YES</v>
      </c>
      <c r="R11" s="7">
        <f>ROUND(J11/Parameters!$B$4*60,0)</f>
        <v>76</v>
      </c>
      <c r="S11" s="7">
        <v>20.0</v>
      </c>
      <c r="T11" s="7">
        <v>46179.72222222222</v>
      </c>
      <c r="U11" s="7" t="str">
        <f t="shared" si="3"/>
        <v>CHECK</v>
      </c>
      <c r="V11" s="7" t="s">
        <v>44</v>
      </c>
      <c r="W11" s="7" t="s">
        <v>448</v>
      </c>
      <c r="X11" s="7">
        <v>25.0</v>
      </c>
      <c r="Y11" s="7">
        <f t="shared" si="4"/>
        <v>-999</v>
      </c>
      <c r="Z11" s="7" t="str">
        <f t="shared" si="5"/>
        <v>RECOMMENDED</v>
      </c>
      <c r="AA11" s="7" t="s">
        <v>458</v>
      </c>
    </row>
    <row r="12">
      <c r="A12" s="7" t="s">
        <v>104</v>
      </c>
      <c r="B12" s="7" t="s">
        <v>455</v>
      </c>
      <c r="C12" s="7">
        <v>20.954</v>
      </c>
      <c r="D12" s="7">
        <v>105.747</v>
      </c>
      <c r="E12" s="7" t="s">
        <v>167</v>
      </c>
      <c r="F12" s="7" t="s">
        <v>150</v>
      </c>
      <c r="G12" s="7" t="s">
        <v>173</v>
      </c>
      <c r="H12" s="7">
        <v>21.257</v>
      </c>
      <c r="I12" s="7">
        <v>105.849</v>
      </c>
      <c r="J12" s="7">
        <f t="shared" si="1"/>
        <v>35.42</v>
      </c>
      <c r="K12" s="7">
        <v>30.0</v>
      </c>
      <c r="L12" s="7" t="str">
        <f>IF(AND(J12&gt;=Parameters!$B$2,J12&lt;=$K12),"YES","NO")</f>
        <v>NO</v>
      </c>
      <c r="M12" s="7">
        <v>0.9</v>
      </c>
      <c r="N12" s="7">
        <v>1.1</v>
      </c>
      <c r="O12" s="7">
        <v>7.0</v>
      </c>
      <c r="P12" s="7">
        <v>6.8</v>
      </c>
      <c r="Q12" s="7" t="str">
        <f t="shared" si="2"/>
        <v>NO</v>
      </c>
      <c r="R12" s="7">
        <f>ROUND(J12/Parameters!$B$4*60,0)</f>
        <v>61</v>
      </c>
      <c r="S12" s="7">
        <v>20.0</v>
      </c>
      <c r="T12" s="7">
        <v>46179.72222222222</v>
      </c>
      <c r="U12" s="7" t="str">
        <f t="shared" si="3"/>
        <v>CHECK</v>
      </c>
      <c r="V12" s="7" t="s">
        <v>44</v>
      </c>
      <c r="W12" s="7" t="s">
        <v>446</v>
      </c>
      <c r="X12" s="7">
        <v>18.0</v>
      </c>
      <c r="Y12" s="7">
        <f t="shared" si="4"/>
        <v>-999</v>
      </c>
      <c r="Z12" s="7" t="str">
        <f t="shared" si="5"/>
        <v>RECOMMENDED</v>
      </c>
      <c r="AA12" s="7" t="s">
        <v>459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Y2:Y12">
    <cfRule type="colorScale" priority="1">
      <colorScale>
        <cfvo type="min"/>
        <cfvo type="percentile" val="50"/>
        <cfvo type="max"/>
        <color rgb="FFFECACA"/>
        <color rgb="FFFEF3C7"/>
        <color rgb="FFDCFCE7"/>
      </colorScale>
    </cfRule>
  </conditionalFormatting>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9.5"/>
    <col customWidth="1" min="3" max="3" width="15.75"/>
    <col customWidth="1" min="4" max="4" width="17.88"/>
    <col customWidth="1" min="5" max="5" width="56.25"/>
    <col customWidth="1" min="6" max="9" width="30.0"/>
    <col customWidth="1" min="10" max="26" width="8.63"/>
  </cols>
  <sheetData>
    <row r="1">
      <c r="A1" s="6" t="s">
        <v>47</v>
      </c>
      <c r="B1" s="6" t="s">
        <v>460</v>
      </c>
      <c r="C1" s="6" t="s">
        <v>461</v>
      </c>
      <c r="D1" s="6" t="s">
        <v>462</v>
      </c>
      <c r="E1" s="6" t="s">
        <v>463</v>
      </c>
      <c r="F1" s="6" t="s">
        <v>464</v>
      </c>
      <c r="G1" s="6" t="s">
        <v>465</v>
      </c>
      <c r="H1" s="6" t="s">
        <v>466</v>
      </c>
      <c r="I1" s="6" t="s">
        <v>467</v>
      </c>
    </row>
    <row r="2">
      <c r="A2" s="7" t="s">
        <v>77</v>
      </c>
      <c r="B2" s="7">
        <v>1.0</v>
      </c>
      <c r="C2" s="7" t="s">
        <v>468</v>
      </c>
      <c r="D2" s="7" t="s">
        <v>469</v>
      </c>
      <c r="E2" s="15" t="s">
        <v>470</v>
      </c>
      <c r="F2" s="7" t="s">
        <v>471</v>
      </c>
      <c r="G2" s="7" t="s">
        <v>472</v>
      </c>
      <c r="H2" s="7" t="s">
        <v>473</v>
      </c>
      <c r="I2" s="7" t="s">
        <v>474</v>
      </c>
    </row>
    <row r="3">
      <c r="A3" s="7" t="s">
        <v>77</v>
      </c>
      <c r="B3" s="7">
        <v>2.0</v>
      </c>
      <c r="C3" s="7" t="s">
        <v>475</v>
      </c>
      <c r="D3" s="7" t="s">
        <v>469</v>
      </c>
      <c r="E3" s="15" t="s">
        <v>476</v>
      </c>
      <c r="F3" s="7" t="s">
        <v>477</v>
      </c>
      <c r="G3" s="7" t="s">
        <v>478</v>
      </c>
      <c r="H3" s="7" t="s">
        <v>473</v>
      </c>
      <c r="I3" s="7" t="s">
        <v>474</v>
      </c>
    </row>
    <row r="4">
      <c r="A4" s="7" t="s">
        <v>77</v>
      </c>
      <c r="B4" s="7">
        <v>3.0</v>
      </c>
      <c r="C4" s="7" t="s">
        <v>479</v>
      </c>
      <c r="D4" s="7" t="s">
        <v>469</v>
      </c>
      <c r="E4" s="15" t="s">
        <v>480</v>
      </c>
      <c r="F4" s="7" t="s">
        <v>481</v>
      </c>
      <c r="G4" s="7" t="s">
        <v>482</v>
      </c>
      <c r="H4" s="7" t="s">
        <v>473</v>
      </c>
      <c r="I4" s="7" t="s">
        <v>474</v>
      </c>
    </row>
    <row r="5">
      <c r="A5" s="7" t="s">
        <v>77</v>
      </c>
      <c r="B5" s="7">
        <v>4.0</v>
      </c>
      <c r="C5" s="7" t="s">
        <v>483</v>
      </c>
      <c r="D5" s="7" t="s">
        <v>469</v>
      </c>
      <c r="E5" s="15" t="s">
        <v>484</v>
      </c>
      <c r="F5" s="7" t="s">
        <v>485</v>
      </c>
      <c r="G5" s="7" t="s">
        <v>486</v>
      </c>
      <c r="H5" s="7" t="s">
        <v>487</v>
      </c>
      <c r="I5" s="7" t="s">
        <v>474</v>
      </c>
    </row>
    <row r="6">
      <c r="A6" s="7" t="s">
        <v>77</v>
      </c>
      <c r="B6" s="7">
        <v>5.0</v>
      </c>
      <c r="C6" s="7" t="s">
        <v>488</v>
      </c>
      <c r="D6" s="7" t="s">
        <v>489</v>
      </c>
      <c r="E6" s="15" t="s">
        <v>490</v>
      </c>
      <c r="F6" s="7" t="s">
        <v>491</v>
      </c>
      <c r="G6" s="7" t="s">
        <v>492</v>
      </c>
      <c r="H6" s="7" t="s">
        <v>487</v>
      </c>
      <c r="I6" s="7" t="s">
        <v>474</v>
      </c>
    </row>
    <row r="7">
      <c r="A7" s="7" t="s">
        <v>77</v>
      </c>
      <c r="B7" s="7">
        <v>6.0</v>
      </c>
      <c r="C7" s="7" t="s">
        <v>493</v>
      </c>
      <c r="D7" s="7" t="s">
        <v>489</v>
      </c>
      <c r="E7" s="15" t="s">
        <v>494</v>
      </c>
      <c r="F7" s="7" t="s">
        <v>495</v>
      </c>
      <c r="G7" s="7" t="s">
        <v>496</v>
      </c>
      <c r="H7" s="7" t="s">
        <v>473</v>
      </c>
      <c r="I7" s="7" t="s">
        <v>474</v>
      </c>
    </row>
    <row r="8">
      <c r="A8" s="7" t="s">
        <v>77</v>
      </c>
      <c r="B8" s="7">
        <v>7.0</v>
      </c>
      <c r="C8" s="7" t="s">
        <v>497</v>
      </c>
      <c r="D8" s="7" t="s">
        <v>489</v>
      </c>
      <c r="E8" s="15" t="s">
        <v>498</v>
      </c>
      <c r="F8" s="7" t="s">
        <v>499</v>
      </c>
      <c r="G8" s="7" t="s">
        <v>500</v>
      </c>
      <c r="H8" s="7" t="s">
        <v>473</v>
      </c>
      <c r="I8" s="7" t="s">
        <v>474</v>
      </c>
    </row>
    <row r="9">
      <c r="A9" s="7" t="s">
        <v>77</v>
      </c>
      <c r="B9" s="7">
        <v>8.0</v>
      </c>
      <c r="C9" s="7" t="s">
        <v>501</v>
      </c>
      <c r="D9" s="7" t="s">
        <v>489</v>
      </c>
      <c r="E9" s="15" t="s">
        <v>502</v>
      </c>
      <c r="F9" s="7" t="s">
        <v>503</v>
      </c>
      <c r="G9" s="7" t="s">
        <v>504</v>
      </c>
      <c r="H9" s="7" t="s">
        <v>473</v>
      </c>
      <c r="I9" s="7" t="s">
        <v>474</v>
      </c>
    </row>
    <row r="10">
      <c r="A10" s="7" t="s">
        <v>91</v>
      </c>
      <c r="B10" s="7">
        <v>1.0</v>
      </c>
      <c r="C10" s="7" t="s">
        <v>468</v>
      </c>
      <c r="D10" s="7" t="s">
        <v>469</v>
      </c>
      <c r="E10" s="15" t="s">
        <v>470</v>
      </c>
      <c r="F10" s="7" t="s">
        <v>471</v>
      </c>
      <c r="G10" s="7" t="s">
        <v>505</v>
      </c>
      <c r="H10" s="7" t="s">
        <v>473</v>
      </c>
      <c r="I10" s="7" t="s">
        <v>506</v>
      </c>
    </row>
    <row r="11">
      <c r="A11" s="7" t="s">
        <v>91</v>
      </c>
      <c r="B11" s="7">
        <v>2.0</v>
      </c>
      <c r="C11" s="7" t="s">
        <v>475</v>
      </c>
      <c r="D11" s="7" t="s">
        <v>469</v>
      </c>
      <c r="E11" s="15" t="s">
        <v>476</v>
      </c>
      <c r="F11" s="7" t="s">
        <v>477</v>
      </c>
      <c r="G11" s="7" t="s">
        <v>507</v>
      </c>
      <c r="H11" s="7" t="s">
        <v>473</v>
      </c>
      <c r="I11" s="7" t="s">
        <v>506</v>
      </c>
    </row>
    <row r="12">
      <c r="A12" s="7" t="s">
        <v>91</v>
      </c>
      <c r="B12" s="7">
        <v>3.0</v>
      </c>
      <c r="C12" s="7" t="s">
        <v>479</v>
      </c>
      <c r="D12" s="7" t="s">
        <v>469</v>
      </c>
      <c r="E12" s="15" t="s">
        <v>480</v>
      </c>
      <c r="F12" s="7" t="s">
        <v>481</v>
      </c>
      <c r="G12" s="7" t="s">
        <v>508</v>
      </c>
      <c r="H12" s="7" t="s">
        <v>473</v>
      </c>
      <c r="I12" s="7" t="s">
        <v>506</v>
      </c>
    </row>
    <row r="13">
      <c r="A13" s="7" t="s">
        <v>91</v>
      </c>
      <c r="B13" s="7">
        <v>4.0</v>
      </c>
      <c r="C13" s="7" t="s">
        <v>483</v>
      </c>
      <c r="D13" s="7" t="s">
        <v>469</v>
      </c>
      <c r="E13" s="15" t="s">
        <v>484</v>
      </c>
      <c r="F13" s="7" t="s">
        <v>485</v>
      </c>
      <c r="G13" s="7" t="s">
        <v>509</v>
      </c>
      <c r="H13" s="7" t="s">
        <v>487</v>
      </c>
      <c r="I13" s="7" t="s">
        <v>506</v>
      </c>
    </row>
    <row r="14">
      <c r="A14" s="7" t="s">
        <v>91</v>
      </c>
      <c r="B14" s="7">
        <v>5.0</v>
      </c>
      <c r="C14" s="7" t="s">
        <v>488</v>
      </c>
      <c r="D14" s="7" t="s">
        <v>489</v>
      </c>
      <c r="E14" s="15" t="s">
        <v>490</v>
      </c>
      <c r="F14" s="7" t="s">
        <v>491</v>
      </c>
      <c r="G14" s="7" t="s">
        <v>510</v>
      </c>
      <c r="H14" s="7" t="s">
        <v>487</v>
      </c>
      <c r="I14" s="7" t="s">
        <v>506</v>
      </c>
    </row>
    <row r="15">
      <c r="A15" s="7" t="s">
        <v>91</v>
      </c>
      <c r="B15" s="7">
        <v>6.0</v>
      </c>
      <c r="C15" s="7" t="s">
        <v>493</v>
      </c>
      <c r="D15" s="7" t="s">
        <v>489</v>
      </c>
      <c r="E15" s="15" t="s">
        <v>494</v>
      </c>
      <c r="F15" s="7" t="s">
        <v>495</v>
      </c>
      <c r="G15" s="7" t="s">
        <v>511</v>
      </c>
      <c r="H15" s="7" t="s">
        <v>473</v>
      </c>
      <c r="I15" s="7" t="s">
        <v>506</v>
      </c>
    </row>
    <row r="16">
      <c r="A16" s="7" t="s">
        <v>91</v>
      </c>
      <c r="B16" s="7">
        <v>7.0</v>
      </c>
      <c r="C16" s="7" t="s">
        <v>497</v>
      </c>
      <c r="D16" s="7" t="s">
        <v>489</v>
      </c>
      <c r="E16" s="15" t="s">
        <v>498</v>
      </c>
      <c r="F16" s="7" t="s">
        <v>499</v>
      </c>
      <c r="G16" s="7" t="s">
        <v>512</v>
      </c>
      <c r="H16" s="7" t="s">
        <v>473</v>
      </c>
      <c r="I16" s="7" t="s">
        <v>506</v>
      </c>
    </row>
    <row r="17">
      <c r="A17" s="7" t="s">
        <v>91</v>
      </c>
      <c r="B17" s="7">
        <v>8.0</v>
      </c>
      <c r="C17" s="7" t="s">
        <v>501</v>
      </c>
      <c r="D17" s="7" t="s">
        <v>489</v>
      </c>
      <c r="E17" s="15" t="s">
        <v>502</v>
      </c>
      <c r="F17" s="7" t="s">
        <v>503</v>
      </c>
      <c r="G17" s="7" t="s">
        <v>513</v>
      </c>
      <c r="H17" s="7" t="s">
        <v>473</v>
      </c>
      <c r="I17" s="7" t="s">
        <v>506</v>
      </c>
    </row>
    <row r="18">
      <c r="A18" s="7" t="s">
        <v>104</v>
      </c>
      <c r="B18" s="7">
        <v>1.0</v>
      </c>
      <c r="C18" s="7" t="s">
        <v>468</v>
      </c>
      <c r="D18" s="7" t="s">
        <v>469</v>
      </c>
      <c r="E18" s="15" t="s">
        <v>470</v>
      </c>
      <c r="F18" s="7" t="s">
        <v>471</v>
      </c>
      <c r="G18" s="7" t="s">
        <v>514</v>
      </c>
      <c r="H18" s="7" t="s">
        <v>473</v>
      </c>
      <c r="I18" s="7" t="s">
        <v>515</v>
      </c>
    </row>
    <row r="19">
      <c r="A19" s="7" t="s">
        <v>104</v>
      </c>
      <c r="B19" s="7">
        <v>2.0</v>
      </c>
      <c r="C19" s="7" t="s">
        <v>475</v>
      </c>
      <c r="D19" s="7" t="s">
        <v>469</v>
      </c>
      <c r="E19" s="15" t="s">
        <v>476</v>
      </c>
      <c r="F19" s="7" t="s">
        <v>477</v>
      </c>
      <c r="G19" s="7" t="s">
        <v>516</v>
      </c>
      <c r="H19" s="7" t="s">
        <v>473</v>
      </c>
      <c r="I19" s="7" t="s">
        <v>515</v>
      </c>
    </row>
    <row r="20">
      <c r="A20" s="7" t="s">
        <v>104</v>
      </c>
      <c r="B20" s="7">
        <v>3.0</v>
      </c>
      <c r="C20" s="7" t="s">
        <v>479</v>
      </c>
      <c r="D20" s="7" t="s">
        <v>469</v>
      </c>
      <c r="E20" s="15" t="s">
        <v>480</v>
      </c>
      <c r="F20" s="7" t="s">
        <v>481</v>
      </c>
      <c r="G20" s="7" t="s">
        <v>517</v>
      </c>
      <c r="H20" s="7" t="s">
        <v>473</v>
      </c>
      <c r="I20" s="7" t="s">
        <v>515</v>
      </c>
    </row>
    <row r="21" ht="15.75" customHeight="1">
      <c r="A21" s="7" t="s">
        <v>104</v>
      </c>
      <c r="B21" s="7">
        <v>4.0</v>
      </c>
      <c r="C21" s="7" t="s">
        <v>483</v>
      </c>
      <c r="D21" s="7" t="s">
        <v>469</v>
      </c>
      <c r="E21" s="15" t="s">
        <v>484</v>
      </c>
      <c r="F21" s="7" t="s">
        <v>485</v>
      </c>
      <c r="G21" s="7" t="s">
        <v>518</v>
      </c>
      <c r="H21" s="7" t="s">
        <v>487</v>
      </c>
      <c r="I21" s="7" t="s">
        <v>515</v>
      </c>
    </row>
    <row r="22" ht="15.75" customHeight="1">
      <c r="A22" s="7" t="s">
        <v>104</v>
      </c>
      <c r="B22" s="7">
        <v>5.0</v>
      </c>
      <c r="C22" s="7" t="s">
        <v>488</v>
      </c>
      <c r="D22" s="7" t="s">
        <v>489</v>
      </c>
      <c r="E22" s="15" t="s">
        <v>490</v>
      </c>
      <c r="F22" s="7" t="s">
        <v>491</v>
      </c>
      <c r="G22" s="7" t="s">
        <v>519</v>
      </c>
      <c r="H22" s="7" t="s">
        <v>487</v>
      </c>
      <c r="I22" s="7" t="s">
        <v>515</v>
      </c>
    </row>
    <row r="23" ht="15.75" customHeight="1">
      <c r="A23" s="7" t="s">
        <v>104</v>
      </c>
      <c r="B23" s="7">
        <v>6.0</v>
      </c>
      <c r="C23" s="7" t="s">
        <v>493</v>
      </c>
      <c r="D23" s="7" t="s">
        <v>489</v>
      </c>
      <c r="E23" s="15" t="s">
        <v>494</v>
      </c>
      <c r="F23" s="7" t="s">
        <v>495</v>
      </c>
      <c r="G23" s="7" t="s">
        <v>520</v>
      </c>
      <c r="H23" s="7" t="s">
        <v>473</v>
      </c>
      <c r="I23" s="7" t="s">
        <v>515</v>
      </c>
    </row>
    <row r="24" ht="15.75" customHeight="1">
      <c r="A24" s="7" t="s">
        <v>104</v>
      </c>
      <c r="B24" s="7">
        <v>7.0</v>
      </c>
      <c r="C24" s="7" t="s">
        <v>497</v>
      </c>
      <c r="D24" s="7" t="s">
        <v>489</v>
      </c>
      <c r="E24" s="15" t="s">
        <v>498</v>
      </c>
      <c r="F24" s="7" t="s">
        <v>499</v>
      </c>
      <c r="G24" s="7" t="s">
        <v>521</v>
      </c>
      <c r="H24" s="7" t="s">
        <v>473</v>
      </c>
      <c r="I24" s="7" t="s">
        <v>515</v>
      </c>
    </row>
    <row r="25" ht="15.75" customHeight="1">
      <c r="A25" s="7" t="s">
        <v>104</v>
      </c>
      <c r="B25" s="7">
        <v>8.0</v>
      </c>
      <c r="C25" s="7" t="s">
        <v>501</v>
      </c>
      <c r="D25" s="7" t="s">
        <v>489</v>
      </c>
      <c r="E25" s="15" t="s">
        <v>502</v>
      </c>
      <c r="F25" s="7" t="s">
        <v>503</v>
      </c>
      <c r="G25" s="7" t="s">
        <v>522</v>
      </c>
      <c r="H25" s="7" t="s">
        <v>473</v>
      </c>
      <c r="I25" s="7" t="s">
        <v>515</v>
      </c>
    </row>
    <row r="26" ht="15.75" customHeight="1">
      <c r="E26" s="16"/>
    </row>
    <row r="27" ht="15.75" customHeight="1">
      <c r="E27" s="16"/>
    </row>
    <row r="28" ht="15.75" customHeight="1">
      <c r="E28" s="16"/>
    </row>
    <row r="29" ht="15.75" customHeight="1">
      <c r="E29" s="16"/>
    </row>
    <row r="30" ht="15.75" customHeight="1">
      <c r="E30" s="16"/>
    </row>
    <row r="31" ht="15.75" customHeight="1">
      <c r="E31" s="16"/>
    </row>
    <row r="32" ht="15.75" customHeight="1">
      <c r="E32" s="16"/>
    </row>
    <row r="33" ht="15.75" customHeight="1">
      <c r="E33" s="16"/>
    </row>
    <row r="34" ht="15.75" customHeight="1">
      <c r="E34" s="16"/>
    </row>
    <row r="35" ht="15.75" customHeight="1">
      <c r="E35" s="16"/>
    </row>
    <row r="36" ht="15.75" customHeight="1">
      <c r="E36" s="16"/>
    </row>
    <row r="37" ht="15.75" customHeight="1">
      <c r="E37" s="16"/>
    </row>
    <row r="38" ht="15.75" customHeight="1">
      <c r="E38" s="16"/>
    </row>
    <row r="39" ht="15.75" customHeight="1">
      <c r="E39" s="16"/>
    </row>
    <row r="40" ht="15.75" customHeight="1">
      <c r="E40" s="16"/>
    </row>
    <row r="41" ht="15.75" customHeight="1">
      <c r="E41" s="16"/>
    </row>
    <row r="42" ht="15.75" customHeight="1">
      <c r="E42" s="16"/>
    </row>
    <row r="43" ht="15.75" customHeight="1">
      <c r="E43" s="16"/>
    </row>
    <row r="44" ht="15.75" customHeight="1">
      <c r="E44" s="16"/>
    </row>
    <row r="45" ht="15.75" customHeight="1">
      <c r="E45" s="16"/>
    </row>
    <row r="46" ht="15.75" customHeight="1">
      <c r="E46" s="16"/>
    </row>
    <row r="47" ht="15.75" customHeight="1">
      <c r="E47" s="16"/>
    </row>
    <row r="48" ht="15.75" customHeight="1">
      <c r="E48" s="16"/>
    </row>
    <row r="49" ht="15.75" customHeight="1">
      <c r="E49" s="16"/>
    </row>
    <row r="50" ht="15.75" customHeight="1">
      <c r="E50" s="16"/>
    </row>
    <row r="51" ht="15.75" customHeight="1">
      <c r="E51" s="16"/>
    </row>
    <row r="52" ht="15.75" customHeight="1">
      <c r="E52" s="16"/>
    </row>
    <row r="53" ht="15.75" customHeight="1">
      <c r="E53" s="16"/>
    </row>
    <row r="54" ht="15.75" customHeight="1">
      <c r="E54" s="16"/>
    </row>
    <row r="55" ht="15.75" customHeight="1">
      <c r="E55" s="16"/>
    </row>
    <row r="56" ht="15.75" customHeight="1">
      <c r="E56" s="16"/>
    </row>
    <row r="57" ht="15.75" customHeight="1">
      <c r="E57" s="16"/>
    </row>
    <row r="58" ht="15.75" customHeight="1">
      <c r="E58" s="16"/>
    </row>
    <row r="59" ht="15.75" customHeight="1">
      <c r="E59" s="16"/>
    </row>
    <row r="60" ht="15.75" customHeight="1">
      <c r="E60" s="16"/>
    </row>
    <row r="61" ht="15.75" customHeight="1">
      <c r="E61" s="16"/>
    </row>
    <row r="62" ht="15.75" customHeight="1">
      <c r="E62" s="16"/>
    </row>
    <row r="63" ht="15.75" customHeight="1">
      <c r="E63" s="16"/>
    </row>
    <row r="64" ht="15.75" customHeight="1">
      <c r="E64" s="16"/>
    </row>
    <row r="65" ht="15.75" customHeight="1">
      <c r="E65" s="16"/>
    </row>
    <row r="66" ht="15.75" customHeight="1">
      <c r="E66" s="16"/>
    </row>
    <row r="67" ht="15.75" customHeight="1">
      <c r="E67" s="16"/>
    </row>
    <row r="68" ht="15.75" customHeight="1">
      <c r="E68" s="16"/>
    </row>
    <row r="69" ht="15.75" customHeight="1">
      <c r="E69" s="16"/>
    </row>
    <row r="70" ht="15.75" customHeight="1">
      <c r="E70" s="16"/>
    </row>
    <row r="71" ht="15.75" customHeight="1">
      <c r="E71" s="16"/>
    </row>
    <row r="72" ht="15.75" customHeight="1">
      <c r="E72" s="16"/>
    </row>
    <row r="73" ht="15.75" customHeight="1">
      <c r="E73" s="16"/>
    </row>
    <row r="74" ht="15.75" customHeight="1">
      <c r="E74" s="16"/>
    </row>
    <row r="75" ht="15.75" customHeight="1">
      <c r="E75" s="16"/>
    </row>
    <row r="76" ht="15.75" customHeight="1">
      <c r="E76" s="16"/>
    </row>
    <row r="77" ht="15.75" customHeight="1">
      <c r="E77" s="16"/>
    </row>
    <row r="78" ht="15.75" customHeight="1">
      <c r="E78" s="16"/>
    </row>
    <row r="79" ht="15.75" customHeight="1">
      <c r="E79" s="16"/>
    </row>
    <row r="80" ht="15.75" customHeight="1">
      <c r="E80" s="16"/>
    </row>
    <row r="81" ht="15.75" customHeight="1">
      <c r="E81" s="16"/>
    </row>
    <row r="82" ht="15.75" customHeight="1">
      <c r="E82" s="16"/>
    </row>
    <row r="83" ht="15.75" customHeight="1">
      <c r="E83" s="16"/>
    </row>
    <row r="84" ht="15.75" customHeight="1">
      <c r="E84" s="16"/>
    </row>
    <row r="85" ht="15.75" customHeight="1">
      <c r="E85" s="16"/>
    </row>
    <row r="86" ht="15.75" customHeight="1">
      <c r="E86" s="16"/>
    </row>
    <row r="87" ht="15.75" customHeight="1">
      <c r="E87" s="16"/>
    </row>
    <row r="88" ht="15.75" customHeight="1">
      <c r="E88" s="16"/>
    </row>
    <row r="89" ht="15.75" customHeight="1">
      <c r="E89" s="16"/>
    </row>
    <row r="90" ht="15.75" customHeight="1">
      <c r="E90" s="16"/>
    </row>
    <row r="91" ht="15.75" customHeight="1">
      <c r="E91" s="16"/>
    </row>
    <row r="92" ht="15.75" customHeight="1">
      <c r="E92" s="16"/>
    </row>
    <row r="93" ht="15.75" customHeight="1">
      <c r="E93" s="16"/>
    </row>
    <row r="94" ht="15.75" customHeight="1">
      <c r="E94" s="16"/>
    </row>
    <row r="95" ht="15.75" customHeight="1">
      <c r="E95" s="16"/>
    </row>
    <row r="96" ht="15.75" customHeight="1">
      <c r="E96" s="16"/>
    </row>
    <row r="97" ht="15.75" customHeight="1">
      <c r="E97" s="16"/>
    </row>
    <row r="98" ht="15.75" customHeight="1">
      <c r="E98" s="16"/>
    </row>
    <row r="99" ht="15.75" customHeight="1">
      <c r="E99" s="16"/>
    </row>
    <row r="100" ht="15.75" customHeight="1">
      <c r="E100" s="16"/>
    </row>
    <row r="101" ht="15.75" customHeight="1">
      <c r="E101" s="16"/>
    </row>
    <row r="102" ht="15.75" customHeight="1">
      <c r="E102" s="16"/>
    </row>
    <row r="103" ht="15.75" customHeight="1">
      <c r="E103" s="16"/>
    </row>
    <row r="104" ht="15.75" customHeight="1">
      <c r="E104" s="16"/>
    </row>
    <row r="105" ht="15.75" customHeight="1">
      <c r="E105" s="16"/>
    </row>
    <row r="106" ht="15.75" customHeight="1">
      <c r="E106" s="16"/>
    </row>
    <row r="107" ht="15.75" customHeight="1">
      <c r="E107" s="16"/>
    </row>
    <row r="108" ht="15.75" customHeight="1">
      <c r="E108" s="16"/>
    </row>
    <row r="109" ht="15.75" customHeight="1">
      <c r="E109" s="16"/>
    </row>
    <row r="110" ht="15.75" customHeight="1">
      <c r="E110" s="16"/>
    </row>
    <row r="111" ht="15.75" customHeight="1">
      <c r="E111" s="16"/>
    </row>
    <row r="112" ht="15.75" customHeight="1">
      <c r="E112" s="16"/>
    </row>
    <row r="113" ht="15.75" customHeight="1">
      <c r="E113" s="16"/>
    </row>
    <row r="114" ht="15.75" customHeight="1">
      <c r="E114" s="16"/>
    </row>
    <row r="115" ht="15.75" customHeight="1">
      <c r="E115" s="16"/>
    </row>
    <row r="116" ht="15.75" customHeight="1">
      <c r="E116" s="16"/>
    </row>
    <row r="117" ht="15.75" customHeight="1">
      <c r="E117" s="16"/>
    </row>
    <row r="118" ht="15.75" customHeight="1">
      <c r="E118" s="16"/>
    </row>
    <row r="119" ht="15.75" customHeight="1">
      <c r="E119" s="16"/>
    </row>
    <row r="120" ht="15.75" customHeight="1">
      <c r="E120" s="16"/>
    </row>
    <row r="121" ht="15.75" customHeight="1">
      <c r="E121" s="16"/>
    </row>
    <row r="122" ht="15.75" customHeight="1">
      <c r="E122" s="16"/>
    </row>
    <row r="123" ht="15.75" customHeight="1">
      <c r="E123" s="16"/>
    </row>
    <row r="124" ht="15.75" customHeight="1">
      <c r="E124" s="16"/>
    </row>
    <row r="125" ht="15.75" customHeight="1">
      <c r="E125" s="16"/>
    </row>
    <row r="126" ht="15.75" customHeight="1">
      <c r="E126" s="16"/>
    </row>
    <row r="127" ht="15.75" customHeight="1">
      <c r="E127" s="16"/>
    </row>
    <row r="128" ht="15.75" customHeight="1">
      <c r="E128" s="16"/>
    </row>
    <row r="129" ht="15.75" customHeight="1">
      <c r="E129" s="16"/>
    </row>
    <row r="130" ht="15.75" customHeight="1">
      <c r="E130" s="16"/>
    </row>
    <row r="131" ht="15.75" customHeight="1">
      <c r="E131" s="16"/>
    </row>
    <row r="132" ht="15.75" customHeight="1">
      <c r="E132" s="16"/>
    </row>
    <row r="133" ht="15.75" customHeight="1">
      <c r="E133" s="16"/>
    </row>
    <row r="134" ht="15.75" customHeight="1">
      <c r="E134" s="16"/>
    </row>
    <row r="135" ht="15.75" customHeight="1">
      <c r="E135" s="16"/>
    </row>
    <row r="136" ht="15.75" customHeight="1">
      <c r="E136" s="16"/>
    </row>
    <row r="137" ht="15.75" customHeight="1">
      <c r="E137" s="16"/>
    </row>
    <row r="138" ht="15.75" customHeight="1">
      <c r="E138" s="16"/>
    </row>
    <row r="139" ht="15.75" customHeight="1">
      <c r="E139" s="16"/>
    </row>
    <row r="140" ht="15.75" customHeight="1">
      <c r="E140" s="16"/>
    </row>
    <row r="141" ht="15.75" customHeight="1">
      <c r="E141" s="16"/>
    </row>
    <row r="142" ht="15.75" customHeight="1">
      <c r="E142" s="16"/>
    </row>
    <row r="143" ht="15.75" customHeight="1">
      <c r="E143" s="16"/>
    </row>
    <row r="144" ht="15.75" customHeight="1">
      <c r="E144" s="16"/>
    </row>
    <row r="145" ht="15.75" customHeight="1">
      <c r="E145" s="16"/>
    </row>
    <row r="146" ht="15.75" customHeight="1">
      <c r="E146" s="16"/>
    </row>
    <row r="147" ht="15.75" customHeight="1">
      <c r="E147" s="16"/>
    </row>
    <row r="148" ht="15.75" customHeight="1">
      <c r="E148" s="16"/>
    </row>
    <row r="149" ht="15.75" customHeight="1">
      <c r="E149" s="16"/>
    </row>
    <row r="150" ht="15.75" customHeight="1">
      <c r="E150" s="16"/>
    </row>
    <row r="151" ht="15.75" customHeight="1">
      <c r="E151" s="16"/>
    </row>
    <row r="152" ht="15.75" customHeight="1">
      <c r="E152" s="16"/>
    </row>
    <row r="153" ht="15.75" customHeight="1">
      <c r="E153" s="16"/>
    </row>
    <row r="154" ht="15.75" customHeight="1">
      <c r="E154" s="16"/>
    </row>
    <row r="155" ht="15.75" customHeight="1">
      <c r="E155" s="16"/>
    </row>
    <row r="156" ht="15.75" customHeight="1">
      <c r="E156" s="16"/>
    </row>
    <row r="157" ht="15.75" customHeight="1">
      <c r="E157" s="16"/>
    </row>
    <row r="158" ht="15.75" customHeight="1">
      <c r="E158" s="16"/>
    </row>
    <row r="159" ht="15.75" customHeight="1">
      <c r="E159" s="16"/>
    </row>
    <row r="160" ht="15.75" customHeight="1">
      <c r="E160" s="16"/>
    </row>
    <row r="161" ht="15.75" customHeight="1">
      <c r="E161" s="16"/>
    </row>
    <row r="162" ht="15.75" customHeight="1">
      <c r="E162" s="16"/>
    </row>
    <row r="163" ht="15.75" customHeight="1">
      <c r="E163" s="16"/>
    </row>
    <row r="164" ht="15.75" customHeight="1">
      <c r="E164" s="16"/>
    </row>
    <row r="165" ht="15.75" customHeight="1">
      <c r="E165" s="16"/>
    </row>
    <row r="166" ht="15.75" customHeight="1">
      <c r="E166" s="16"/>
    </row>
    <row r="167" ht="15.75" customHeight="1">
      <c r="E167" s="16"/>
    </row>
    <row r="168" ht="15.75" customHeight="1">
      <c r="E168" s="16"/>
    </row>
    <row r="169" ht="15.75" customHeight="1">
      <c r="E169" s="16"/>
    </row>
    <row r="170" ht="15.75" customHeight="1">
      <c r="E170" s="16"/>
    </row>
    <row r="171" ht="15.75" customHeight="1">
      <c r="E171" s="16"/>
    </row>
    <row r="172" ht="15.75" customHeight="1">
      <c r="E172" s="16"/>
    </row>
    <row r="173" ht="15.75" customHeight="1">
      <c r="E173" s="16"/>
    </row>
    <row r="174" ht="15.75" customHeight="1">
      <c r="E174" s="16"/>
    </row>
    <row r="175" ht="15.75" customHeight="1">
      <c r="E175" s="16"/>
    </row>
    <row r="176" ht="15.75" customHeight="1">
      <c r="E176" s="16"/>
    </row>
    <row r="177" ht="15.75" customHeight="1">
      <c r="E177" s="16"/>
    </row>
    <row r="178" ht="15.75" customHeight="1">
      <c r="E178" s="16"/>
    </row>
    <row r="179" ht="15.75" customHeight="1">
      <c r="E179" s="16"/>
    </row>
    <row r="180" ht="15.75" customHeight="1">
      <c r="E180" s="16"/>
    </row>
    <row r="181" ht="15.75" customHeight="1">
      <c r="E181" s="16"/>
    </row>
    <row r="182" ht="15.75" customHeight="1">
      <c r="E182" s="16"/>
    </row>
    <row r="183" ht="15.75" customHeight="1">
      <c r="E183" s="16"/>
    </row>
    <row r="184" ht="15.75" customHeight="1">
      <c r="E184" s="16"/>
    </row>
    <row r="185" ht="15.75" customHeight="1">
      <c r="E185" s="16"/>
    </row>
    <row r="186" ht="15.75" customHeight="1">
      <c r="E186" s="16"/>
    </row>
    <row r="187" ht="15.75" customHeight="1">
      <c r="E187" s="16"/>
    </row>
    <row r="188" ht="15.75" customHeight="1">
      <c r="E188" s="16"/>
    </row>
    <row r="189" ht="15.75" customHeight="1">
      <c r="E189" s="16"/>
    </row>
    <row r="190" ht="15.75" customHeight="1">
      <c r="E190" s="16"/>
    </row>
    <row r="191" ht="15.75" customHeight="1">
      <c r="E191" s="16"/>
    </row>
    <row r="192" ht="15.75" customHeight="1">
      <c r="E192" s="16"/>
    </row>
    <row r="193" ht="15.75" customHeight="1">
      <c r="E193" s="16"/>
    </row>
    <row r="194" ht="15.75" customHeight="1">
      <c r="E194" s="16"/>
    </row>
    <row r="195" ht="15.75" customHeight="1">
      <c r="E195" s="16"/>
    </row>
    <row r="196" ht="15.75" customHeight="1">
      <c r="E196" s="16"/>
    </row>
    <row r="197" ht="15.75" customHeight="1">
      <c r="E197" s="16"/>
    </row>
    <row r="198" ht="15.75" customHeight="1">
      <c r="E198" s="16"/>
    </row>
    <row r="199" ht="15.75" customHeight="1">
      <c r="E199" s="16"/>
    </row>
    <row r="200" ht="15.75" customHeight="1">
      <c r="E200" s="16"/>
    </row>
    <row r="201" ht="15.75" customHeight="1">
      <c r="E201" s="16"/>
    </row>
    <row r="202" ht="15.75" customHeight="1">
      <c r="E202" s="16"/>
    </row>
    <row r="203" ht="15.75" customHeight="1">
      <c r="E203" s="16"/>
    </row>
    <row r="204" ht="15.75" customHeight="1">
      <c r="E204" s="16"/>
    </row>
    <row r="205" ht="15.75" customHeight="1">
      <c r="E205" s="16"/>
    </row>
    <row r="206" ht="15.75" customHeight="1">
      <c r="E206" s="16"/>
    </row>
    <row r="207" ht="15.75" customHeight="1">
      <c r="E207" s="16"/>
    </row>
    <row r="208" ht="15.75" customHeight="1">
      <c r="E208" s="16"/>
    </row>
    <row r="209" ht="15.75" customHeight="1">
      <c r="E209" s="16"/>
    </row>
    <row r="210" ht="15.75" customHeight="1">
      <c r="E210" s="16"/>
    </row>
    <row r="211" ht="15.75" customHeight="1">
      <c r="E211" s="16"/>
    </row>
    <row r="212" ht="15.75" customHeight="1">
      <c r="E212" s="16"/>
    </row>
    <row r="213" ht="15.75" customHeight="1">
      <c r="E213" s="16"/>
    </row>
    <row r="214" ht="15.75" customHeight="1">
      <c r="E214" s="16"/>
    </row>
    <row r="215" ht="15.75" customHeight="1">
      <c r="E215" s="16"/>
    </row>
    <row r="216" ht="15.75" customHeight="1">
      <c r="E216" s="16"/>
    </row>
    <row r="217" ht="15.75" customHeight="1">
      <c r="E217" s="16"/>
    </row>
    <row r="218" ht="15.75" customHeight="1">
      <c r="E218" s="16"/>
    </row>
    <row r="219" ht="15.75" customHeight="1">
      <c r="E219" s="16"/>
    </row>
    <row r="220" ht="15.75" customHeight="1">
      <c r="E220" s="16"/>
    </row>
    <row r="221" ht="15.75" customHeight="1">
      <c r="E221" s="16"/>
    </row>
    <row r="222" ht="15.75" customHeight="1">
      <c r="E222" s="16"/>
    </row>
    <row r="223" ht="15.75" customHeight="1">
      <c r="E223" s="16"/>
    </row>
    <row r="224" ht="15.75" customHeight="1">
      <c r="E224" s="16"/>
    </row>
    <row r="225" ht="15.75" customHeight="1">
      <c r="E225" s="16"/>
    </row>
    <row r="226" ht="15.75" customHeight="1">
      <c r="E226" s="16"/>
    </row>
    <row r="227" ht="15.75" customHeight="1">
      <c r="E227" s="16"/>
    </row>
    <row r="228" ht="15.75" customHeight="1">
      <c r="E228" s="16"/>
    </row>
    <row r="229" ht="15.75" customHeight="1">
      <c r="E229" s="16"/>
    </row>
    <row r="230" ht="15.75" customHeight="1">
      <c r="E230" s="16"/>
    </row>
    <row r="231" ht="15.75" customHeight="1">
      <c r="E231" s="16"/>
    </row>
    <row r="232" ht="15.75" customHeight="1">
      <c r="E232" s="16"/>
    </row>
    <row r="233" ht="15.75" customHeight="1">
      <c r="E233" s="16"/>
    </row>
    <row r="234" ht="15.75" customHeight="1">
      <c r="E234" s="16"/>
    </row>
    <row r="235" ht="15.75" customHeight="1">
      <c r="E235" s="16"/>
    </row>
    <row r="236" ht="15.75" customHeight="1">
      <c r="E236" s="16"/>
    </row>
    <row r="237" ht="15.75" customHeight="1">
      <c r="E237" s="16"/>
    </row>
    <row r="238" ht="15.75" customHeight="1">
      <c r="E238" s="16"/>
    </row>
    <row r="239" ht="15.75" customHeight="1">
      <c r="E239" s="16"/>
    </row>
    <row r="240" ht="15.75" customHeight="1">
      <c r="E240" s="16"/>
    </row>
    <row r="241" ht="15.75" customHeight="1">
      <c r="E241" s="16"/>
    </row>
    <row r="242" ht="15.75" customHeight="1">
      <c r="E242" s="16"/>
    </row>
    <row r="243" ht="15.75" customHeight="1">
      <c r="E243" s="16"/>
    </row>
    <row r="244" ht="15.75" customHeight="1">
      <c r="E244" s="16"/>
    </row>
    <row r="245" ht="15.75" customHeight="1">
      <c r="E245" s="16"/>
    </row>
    <row r="246" ht="15.75" customHeight="1">
      <c r="E246" s="16"/>
    </row>
    <row r="247" ht="15.75" customHeight="1">
      <c r="E247" s="16"/>
    </row>
    <row r="248" ht="15.75" customHeight="1">
      <c r="E248" s="16"/>
    </row>
    <row r="249" ht="15.75" customHeight="1">
      <c r="E249" s="16"/>
    </row>
    <row r="250" ht="15.75" customHeight="1">
      <c r="E250" s="16"/>
    </row>
    <row r="251" ht="15.75" customHeight="1">
      <c r="E251" s="16"/>
    </row>
    <row r="252" ht="15.75" customHeight="1">
      <c r="E252" s="16"/>
    </row>
    <row r="253" ht="15.75" customHeight="1">
      <c r="E253" s="16"/>
    </row>
    <row r="254" ht="15.75" customHeight="1">
      <c r="E254" s="16"/>
    </row>
    <row r="255" ht="15.75" customHeight="1">
      <c r="E255" s="16"/>
    </row>
    <row r="256" ht="15.75" customHeight="1">
      <c r="E256" s="16"/>
    </row>
    <row r="257" ht="15.75" customHeight="1">
      <c r="E257" s="16"/>
    </row>
    <row r="258" ht="15.75" customHeight="1">
      <c r="E258" s="16"/>
    </row>
    <row r="259" ht="15.75" customHeight="1">
      <c r="E259" s="16"/>
    </row>
    <row r="260" ht="15.75" customHeight="1">
      <c r="E260" s="16"/>
    </row>
    <row r="261" ht="15.75" customHeight="1">
      <c r="E261" s="16"/>
    </row>
    <row r="262" ht="15.75" customHeight="1">
      <c r="E262" s="16"/>
    </row>
    <row r="263" ht="15.75" customHeight="1">
      <c r="E263" s="16"/>
    </row>
    <row r="264" ht="15.75" customHeight="1">
      <c r="E264" s="16"/>
    </row>
    <row r="265" ht="15.75" customHeight="1">
      <c r="E265" s="16"/>
    </row>
    <row r="266" ht="15.75" customHeight="1">
      <c r="E266" s="16"/>
    </row>
    <row r="267" ht="15.75" customHeight="1">
      <c r="E267" s="16"/>
    </row>
    <row r="268" ht="15.75" customHeight="1">
      <c r="E268" s="16"/>
    </row>
    <row r="269" ht="15.75" customHeight="1">
      <c r="E269" s="16"/>
    </row>
    <row r="270" ht="15.75" customHeight="1">
      <c r="E270" s="16"/>
    </row>
    <row r="271" ht="15.75" customHeight="1">
      <c r="E271" s="16"/>
    </row>
    <row r="272" ht="15.75" customHeight="1">
      <c r="E272" s="16"/>
    </row>
    <row r="273" ht="15.75" customHeight="1">
      <c r="E273" s="16"/>
    </row>
    <row r="274" ht="15.75" customHeight="1">
      <c r="E274" s="16"/>
    </row>
    <row r="275" ht="15.75" customHeight="1">
      <c r="E275" s="16"/>
    </row>
    <row r="276" ht="15.75" customHeight="1">
      <c r="E276" s="16"/>
    </row>
    <row r="277" ht="15.75" customHeight="1">
      <c r="E277" s="16"/>
    </row>
    <row r="278" ht="15.75" customHeight="1">
      <c r="E278" s="16"/>
    </row>
    <row r="279" ht="15.75" customHeight="1">
      <c r="E279" s="16"/>
    </row>
    <row r="280" ht="15.75" customHeight="1">
      <c r="E280" s="16"/>
    </row>
    <row r="281" ht="15.75" customHeight="1">
      <c r="E281" s="16"/>
    </row>
    <row r="282" ht="15.75" customHeight="1">
      <c r="E282" s="16"/>
    </row>
    <row r="283" ht="15.75" customHeight="1">
      <c r="E283" s="16"/>
    </row>
    <row r="284" ht="15.75" customHeight="1">
      <c r="E284" s="16"/>
    </row>
    <row r="285" ht="15.75" customHeight="1">
      <c r="E285" s="16"/>
    </row>
    <row r="286" ht="15.75" customHeight="1">
      <c r="E286" s="16"/>
    </row>
    <row r="287" ht="15.75" customHeight="1">
      <c r="E287" s="16"/>
    </row>
    <row r="288" ht="15.75" customHeight="1">
      <c r="E288" s="16"/>
    </row>
    <row r="289" ht="15.75" customHeight="1">
      <c r="E289" s="16"/>
    </row>
    <row r="290" ht="15.75" customHeight="1">
      <c r="E290" s="16"/>
    </row>
    <row r="291" ht="15.75" customHeight="1">
      <c r="E291" s="16"/>
    </row>
    <row r="292" ht="15.75" customHeight="1">
      <c r="E292" s="16"/>
    </row>
    <row r="293" ht="15.75" customHeight="1">
      <c r="E293" s="16"/>
    </row>
    <row r="294" ht="15.75" customHeight="1">
      <c r="E294" s="16"/>
    </row>
    <row r="295" ht="15.75" customHeight="1">
      <c r="E295" s="16"/>
    </row>
    <row r="296" ht="15.75" customHeight="1">
      <c r="E296" s="16"/>
    </row>
    <row r="297" ht="15.75" customHeight="1">
      <c r="E297" s="16"/>
    </row>
    <row r="298" ht="15.75" customHeight="1">
      <c r="E298" s="16"/>
    </row>
    <row r="299" ht="15.75" customHeight="1">
      <c r="E299" s="16"/>
    </row>
    <row r="300" ht="15.75" customHeight="1">
      <c r="E300" s="16"/>
    </row>
    <row r="301" ht="15.75" customHeight="1">
      <c r="E301" s="16"/>
    </row>
    <row r="302" ht="15.75" customHeight="1">
      <c r="E302" s="16"/>
    </row>
    <row r="303" ht="15.75" customHeight="1">
      <c r="E303" s="16"/>
    </row>
    <row r="304" ht="15.75" customHeight="1">
      <c r="E304" s="16"/>
    </row>
    <row r="305" ht="15.75" customHeight="1">
      <c r="E305" s="16"/>
    </row>
    <row r="306" ht="15.75" customHeight="1">
      <c r="E306" s="16"/>
    </row>
    <row r="307" ht="15.75" customHeight="1">
      <c r="E307" s="16"/>
    </row>
    <row r="308" ht="15.75" customHeight="1">
      <c r="E308" s="16"/>
    </row>
    <row r="309" ht="15.75" customHeight="1">
      <c r="E309" s="16"/>
    </row>
    <row r="310" ht="15.75" customHeight="1">
      <c r="E310" s="16"/>
    </row>
    <row r="311" ht="15.75" customHeight="1">
      <c r="E311" s="16"/>
    </row>
    <row r="312" ht="15.75" customHeight="1">
      <c r="E312" s="16"/>
    </row>
    <row r="313" ht="15.75" customHeight="1">
      <c r="E313" s="16"/>
    </row>
    <row r="314" ht="15.75" customHeight="1">
      <c r="E314" s="16"/>
    </row>
    <row r="315" ht="15.75" customHeight="1">
      <c r="E315" s="16"/>
    </row>
    <row r="316" ht="15.75" customHeight="1">
      <c r="E316" s="16"/>
    </row>
    <row r="317" ht="15.75" customHeight="1">
      <c r="E317" s="16"/>
    </row>
    <row r="318" ht="15.75" customHeight="1">
      <c r="E318" s="16"/>
    </row>
    <row r="319" ht="15.75" customHeight="1">
      <c r="E319" s="16"/>
    </row>
    <row r="320" ht="15.75" customHeight="1">
      <c r="E320" s="16"/>
    </row>
    <row r="321" ht="15.75" customHeight="1">
      <c r="E321" s="16"/>
    </row>
    <row r="322" ht="15.75" customHeight="1">
      <c r="E322" s="16"/>
    </row>
    <row r="323" ht="15.75" customHeight="1">
      <c r="E323" s="16"/>
    </row>
    <row r="324" ht="15.75" customHeight="1">
      <c r="E324" s="16"/>
    </row>
    <row r="325" ht="15.75" customHeight="1">
      <c r="E325" s="16"/>
    </row>
    <row r="326" ht="15.75" customHeight="1">
      <c r="E326" s="16"/>
    </row>
    <row r="327" ht="15.75" customHeight="1">
      <c r="E327" s="16"/>
    </row>
    <row r="328" ht="15.75" customHeight="1">
      <c r="E328" s="16"/>
    </row>
    <row r="329" ht="15.75" customHeight="1">
      <c r="E329" s="16"/>
    </row>
    <row r="330" ht="15.75" customHeight="1">
      <c r="E330" s="16"/>
    </row>
    <row r="331" ht="15.75" customHeight="1">
      <c r="E331" s="16"/>
    </row>
    <row r="332" ht="15.75" customHeight="1">
      <c r="E332" s="16"/>
    </row>
    <row r="333" ht="15.75" customHeight="1">
      <c r="E333" s="16"/>
    </row>
    <row r="334" ht="15.75" customHeight="1">
      <c r="E334" s="16"/>
    </row>
    <row r="335" ht="15.75" customHeight="1">
      <c r="E335" s="16"/>
    </row>
    <row r="336" ht="15.75" customHeight="1">
      <c r="E336" s="16"/>
    </row>
    <row r="337" ht="15.75" customHeight="1">
      <c r="E337" s="16"/>
    </row>
    <row r="338" ht="15.75" customHeight="1">
      <c r="E338" s="16"/>
    </row>
    <row r="339" ht="15.75" customHeight="1">
      <c r="E339" s="16"/>
    </row>
    <row r="340" ht="15.75" customHeight="1">
      <c r="E340" s="16"/>
    </row>
    <row r="341" ht="15.75" customHeight="1">
      <c r="E341" s="16"/>
    </row>
    <row r="342" ht="15.75" customHeight="1">
      <c r="E342" s="16"/>
    </row>
    <row r="343" ht="15.75" customHeight="1">
      <c r="E343" s="16"/>
    </row>
    <row r="344" ht="15.75" customHeight="1">
      <c r="E344" s="16"/>
    </row>
    <row r="345" ht="15.75" customHeight="1">
      <c r="E345" s="16"/>
    </row>
    <row r="346" ht="15.75" customHeight="1">
      <c r="E346" s="16"/>
    </row>
    <row r="347" ht="15.75" customHeight="1">
      <c r="E347" s="16"/>
    </row>
    <row r="348" ht="15.75" customHeight="1">
      <c r="E348" s="16"/>
    </row>
    <row r="349" ht="15.75" customHeight="1">
      <c r="E349" s="16"/>
    </row>
    <row r="350" ht="15.75" customHeight="1">
      <c r="E350" s="16"/>
    </row>
    <row r="351" ht="15.75" customHeight="1">
      <c r="E351" s="16"/>
    </row>
    <row r="352" ht="15.75" customHeight="1">
      <c r="E352" s="16"/>
    </row>
    <row r="353" ht="15.75" customHeight="1">
      <c r="E353" s="16"/>
    </row>
    <row r="354" ht="15.75" customHeight="1">
      <c r="E354" s="16"/>
    </row>
    <row r="355" ht="15.75" customHeight="1">
      <c r="E355" s="16"/>
    </row>
    <row r="356" ht="15.75" customHeight="1">
      <c r="E356" s="16"/>
    </row>
    <row r="357" ht="15.75" customHeight="1">
      <c r="E357" s="16"/>
    </row>
    <row r="358" ht="15.75" customHeight="1">
      <c r="E358" s="16"/>
    </row>
    <row r="359" ht="15.75" customHeight="1">
      <c r="E359" s="16"/>
    </row>
    <row r="360" ht="15.75" customHeight="1">
      <c r="E360" s="16"/>
    </row>
    <row r="361" ht="15.75" customHeight="1">
      <c r="E361" s="16"/>
    </row>
    <row r="362" ht="15.75" customHeight="1">
      <c r="E362" s="16"/>
    </row>
    <row r="363" ht="15.75" customHeight="1">
      <c r="E363" s="16"/>
    </row>
    <row r="364" ht="15.75" customHeight="1">
      <c r="E364" s="16"/>
    </row>
    <row r="365" ht="15.75" customHeight="1">
      <c r="E365" s="16"/>
    </row>
    <row r="366" ht="15.75" customHeight="1">
      <c r="E366" s="16"/>
    </row>
    <row r="367" ht="15.75" customHeight="1">
      <c r="E367" s="16"/>
    </row>
    <row r="368" ht="15.75" customHeight="1">
      <c r="E368" s="16"/>
    </row>
    <row r="369" ht="15.75" customHeight="1">
      <c r="E369" s="16"/>
    </row>
    <row r="370" ht="15.75" customHeight="1">
      <c r="E370" s="16"/>
    </row>
    <row r="371" ht="15.75" customHeight="1">
      <c r="E371" s="16"/>
    </row>
    <row r="372" ht="15.75" customHeight="1">
      <c r="E372" s="16"/>
    </row>
    <row r="373" ht="15.75" customHeight="1">
      <c r="E373" s="16"/>
    </row>
    <row r="374" ht="15.75" customHeight="1">
      <c r="E374" s="16"/>
    </row>
    <row r="375" ht="15.75" customHeight="1">
      <c r="E375" s="16"/>
    </row>
    <row r="376" ht="15.75" customHeight="1">
      <c r="E376" s="16"/>
    </row>
    <row r="377" ht="15.75" customHeight="1">
      <c r="E377" s="16"/>
    </row>
    <row r="378" ht="15.75" customHeight="1">
      <c r="E378" s="16"/>
    </row>
    <row r="379" ht="15.75" customHeight="1">
      <c r="E379" s="16"/>
    </row>
    <row r="380" ht="15.75" customHeight="1">
      <c r="E380" s="16"/>
    </row>
    <row r="381" ht="15.75" customHeight="1">
      <c r="E381" s="16"/>
    </row>
    <row r="382" ht="15.75" customHeight="1">
      <c r="E382" s="16"/>
    </row>
    <row r="383" ht="15.75" customHeight="1">
      <c r="E383" s="16"/>
    </row>
    <row r="384" ht="15.75" customHeight="1">
      <c r="E384" s="16"/>
    </row>
    <row r="385" ht="15.75" customHeight="1">
      <c r="E385" s="16"/>
    </row>
    <row r="386" ht="15.75" customHeight="1">
      <c r="E386" s="16"/>
    </row>
    <row r="387" ht="15.75" customHeight="1">
      <c r="E387" s="16"/>
    </row>
    <row r="388" ht="15.75" customHeight="1">
      <c r="E388" s="16"/>
    </row>
    <row r="389" ht="15.75" customHeight="1">
      <c r="E389" s="16"/>
    </row>
    <row r="390" ht="15.75" customHeight="1">
      <c r="E390" s="16"/>
    </row>
    <row r="391" ht="15.75" customHeight="1">
      <c r="E391" s="16"/>
    </row>
    <row r="392" ht="15.75" customHeight="1">
      <c r="E392" s="16"/>
    </row>
    <row r="393" ht="15.75" customHeight="1">
      <c r="E393" s="16"/>
    </row>
    <row r="394" ht="15.75" customHeight="1">
      <c r="E394" s="16"/>
    </row>
    <row r="395" ht="15.75" customHeight="1">
      <c r="E395" s="16"/>
    </row>
    <row r="396" ht="15.75" customHeight="1">
      <c r="E396" s="16"/>
    </row>
    <row r="397" ht="15.75" customHeight="1">
      <c r="E397" s="16"/>
    </row>
    <row r="398" ht="15.75" customHeight="1">
      <c r="E398" s="16"/>
    </row>
    <row r="399" ht="15.75" customHeight="1">
      <c r="E399" s="16"/>
    </row>
    <row r="400" ht="15.75" customHeight="1">
      <c r="E400" s="16"/>
    </row>
    <row r="401" ht="15.75" customHeight="1">
      <c r="E401" s="16"/>
    </row>
    <row r="402" ht="15.75" customHeight="1">
      <c r="E402" s="16"/>
    </row>
    <row r="403" ht="15.75" customHeight="1">
      <c r="E403" s="16"/>
    </row>
    <row r="404" ht="15.75" customHeight="1">
      <c r="E404" s="16"/>
    </row>
    <row r="405" ht="15.75" customHeight="1">
      <c r="E405" s="16"/>
    </row>
    <row r="406" ht="15.75" customHeight="1">
      <c r="E406" s="16"/>
    </row>
    <row r="407" ht="15.75" customHeight="1">
      <c r="E407" s="16"/>
    </row>
    <row r="408" ht="15.75" customHeight="1">
      <c r="E408" s="16"/>
    </row>
    <row r="409" ht="15.75" customHeight="1">
      <c r="E409" s="16"/>
    </row>
    <row r="410" ht="15.75" customHeight="1">
      <c r="E410" s="16"/>
    </row>
    <row r="411" ht="15.75" customHeight="1">
      <c r="E411" s="16"/>
    </row>
    <row r="412" ht="15.75" customHeight="1">
      <c r="E412" s="16"/>
    </row>
    <row r="413" ht="15.75" customHeight="1">
      <c r="E413" s="16"/>
    </row>
    <row r="414" ht="15.75" customHeight="1">
      <c r="E414" s="16"/>
    </row>
    <row r="415" ht="15.75" customHeight="1">
      <c r="E415" s="16"/>
    </row>
    <row r="416" ht="15.75" customHeight="1">
      <c r="E416" s="16"/>
    </row>
    <row r="417" ht="15.75" customHeight="1">
      <c r="E417" s="16"/>
    </row>
    <row r="418" ht="15.75" customHeight="1">
      <c r="E418" s="16"/>
    </row>
    <row r="419" ht="15.75" customHeight="1">
      <c r="E419" s="16"/>
    </row>
    <row r="420" ht="15.75" customHeight="1">
      <c r="E420" s="16"/>
    </row>
    <row r="421" ht="15.75" customHeight="1">
      <c r="E421" s="16"/>
    </row>
    <row r="422" ht="15.75" customHeight="1">
      <c r="E422" s="16"/>
    </row>
    <row r="423" ht="15.75" customHeight="1">
      <c r="E423" s="16"/>
    </row>
    <row r="424" ht="15.75" customHeight="1">
      <c r="E424" s="16"/>
    </row>
    <row r="425" ht="15.75" customHeight="1">
      <c r="E425" s="16"/>
    </row>
    <row r="426" ht="15.75" customHeight="1">
      <c r="E426" s="16"/>
    </row>
    <row r="427" ht="15.75" customHeight="1">
      <c r="E427" s="16"/>
    </row>
    <row r="428" ht="15.75" customHeight="1">
      <c r="E428" s="16"/>
    </row>
    <row r="429" ht="15.75" customHeight="1">
      <c r="E429" s="16"/>
    </row>
    <row r="430" ht="15.75" customHeight="1">
      <c r="E430" s="16"/>
    </row>
    <row r="431" ht="15.75" customHeight="1">
      <c r="E431" s="16"/>
    </row>
    <row r="432" ht="15.75" customHeight="1">
      <c r="E432" s="16"/>
    </row>
    <row r="433" ht="15.75" customHeight="1">
      <c r="E433" s="16"/>
    </row>
    <row r="434" ht="15.75" customHeight="1">
      <c r="E434" s="16"/>
    </row>
    <row r="435" ht="15.75" customHeight="1">
      <c r="E435" s="16"/>
    </row>
    <row r="436" ht="15.75" customHeight="1">
      <c r="E436" s="16"/>
    </row>
    <row r="437" ht="15.75" customHeight="1">
      <c r="E437" s="16"/>
    </row>
    <row r="438" ht="15.75" customHeight="1">
      <c r="E438" s="16"/>
    </row>
    <row r="439" ht="15.75" customHeight="1">
      <c r="E439" s="16"/>
    </row>
    <row r="440" ht="15.75" customHeight="1">
      <c r="E440" s="16"/>
    </row>
    <row r="441" ht="15.75" customHeight="1">
      <c r="E441" s="16"/>
    </row>
    <row r="442" ht="15.75" customHeight="1">
      <c r="E442" s="16"/>
    </row>
    <row r="443" ht="15.75" customHeight="1">
      <c r="E443" s="16"/>
    </row>
    <row r="444" ht="15.75" customHeight="1">
      <c r="E444" s="16"/>
    </row>
    <row r="445" ht="15.75" customHeight="1">
      <c r="E445" s="16"/>
    </row>
    <row r="446" ht="15.75" customHeight="1">
      <c r="E446" s="16"/>
    </row>
    <row r="447" ht="15.75" customHeight="1">
      <c r="E447" s="16"/>
    </row>
    <row r="448" ht="15.75" customHeight="1">
      <c r="E448" s="16"/>
    </row>
    <row r="449" ht="15.75" customHeight="1">
      <c r="E449" s="16"/>
    </row>
    <row r="450" ht="15.75" customHeight="1">
      <c r="E450" s="16"/>
    </row>
    <row r="451" ht="15.75" customHeight="1">
      <c r="E451" s="16"/>
    </row>
    <row r="452" ht="15.75" customHeight="1">
      <c r="E452" s="16"/>
    </row>
    <row r="453" ht="15.75" customHeight="1">
      <c r="E453" s="16"/>
    </row>
    <row r="454" ht="15.75" customHeight="1">
      <c r="E454" s="16"/>
    </row>
    <row r="455" ht="15.75" customHeight="1">
      <c r="E455" s="16"/>
    </row>
    <row r="456" ht="15.75" customHeight="1">
      <c r="E456" s="16"/>
    </row>
    <row r="457" ht="15.75" customHeight="1">
      <c r="E457" s="16"/>
    </row>
    <row r="458" ht="15.75" customHeight="1">
      <c r="E458" s="16"/>
    </row>
    <row r="459" ht="15.75" customHeight="1">
      <c r="E459" s="16"/>
    </row>
    <row r="460" ht="15.75" customHeight="1">
      <c r="E460" s="16"/>
    </row>
    <row r="461" ht="15.75" customHeight="1">
      <c r="E461" s="16"/>
    </row>
    <row r="462" ht="15.75" customHeight="1">
      <c r="E462" s="16"/>
    </row>
    <row r="463" ht="15.75" customHeight="1">
      <c r="E463" s="16"/>
    </row>
    <row r="464" ht="15.75" customHeight="1">
      <c r="E464" s="16"/>
    </row>
    <row r="465" ht="15.75" customHeight="1">
      <c r="E465" s="16"/>
    </row>
    <row r="466" ht="15.75" customHeight="1">
      <c r="E466" s="16"/>
    </row>
    <row r="467" ht="15.75" customHeight="1">
      <c r="E467" s="16"/>
    </row>
    <row r="468" ht="15.75" customHeight="1">
      <c r="E468" s="16"/>
    </row>
    <row r="469" ht="15.75" customHeight="1">
      <c r="E469" s="16"/>
    </row>
    <row r="470" ht="15.75" customHeight="1">
      <c r="E470" s="16"/>
    </row>
    <row r="471" ht="15.75" customHeight="1">
      <c r="E471" s="16"/>
    </row>
    <row r="472" ht="15.75" customHeight="1">
      <c r="E472" s="16"/>
    </row>
    <row r="473" ht="15.75" customHeight="1">
      <c r="E473" s="16"/>
    </row>
    <row r="474" ht="15.75" customHeight="1">
      <c r="E474" s="16"/>
    </row>
    <row r="475" ht="15.75" customHeight="1">
      <c r="E475" s="16"/>
    </row>
    <row r="476" ht="15.75" customHeight="1">
      <c r="E476" s="16"/>
    </row>
    <row r="477" ht="15.75" customHeight="1">
      <c r="E477" s="16"/>
    </row>
    <row r="478" ht="15.75" customHeight="1">
      <c r="E478" s="16"/>
    </row>
    <row r="479" ht="15.75" customHeight="1">
      <c r="E479" s="16"/>
    </row>
    <row r="480" ht="15.75" customHeight="1">
      <c r="E480" s="16"/>
    </row>
    <row r="481" ht="15.75" customHeight="1">
      <c r="E481" s="16"/>
    </row>
    <row r="482" ht="15.75" customHeight="1">
      <c r="E482" s="16"/>
    </row>
    <row r="483" ht="15.75" customHeight="1">
      <c r="E483" s="16"/>
    </row>
    <row r="484" ht="15.75" customHeight="1">
      <c r="E484" s="16"/>
    </row>
    <row r="485" ht="15.75" customHeight="1">
      <c r="E485" s="16"/>
    </row>
    <row r="486" ht="15.75" customHeight="1">
      <c r="E486" s="16"/>
    </row>
    <row r="487" ht="15.75" customHeight="1">
      <c r="E487" s="16"/>
    </row>
    <row r="488" ht="15.75" customHeight="1">
      <c r="E488" s="16"/>
    </row>
    <row r="489" ht="15.75" customHeight="1">
      <c r="E489" s="16"/>
    </row>
    <row r="490" ht="15.75" customHeight="1">
      <c r="E490" s="16"/>
    </row>
    <row r="491" ht="15.75" customHeight="1">
      <c r="E491" s="16"/>
    </row>
    <row r="492" ht="15.75" customHeight="1">
      <c r="E492" s="16"/>
    </row>
    <row r="493" ht="15.75" customHeight="1">
      <c r="E493" s="16"/>
    </row>
    <row r="494" ht="15.75" customHeight="1">
      <c r="E494" s="16"/>
    </row>
    <row r="495" ht="15.75" customHeight="1">
      <c r="E495" s="16"/>
    </row>
    <row r="496" ht="15.75" customHeight="1">
      <c r="E496" s="16"/>
    </row>
    <row r="497" ht="15.75" customHeight="1">
      <c r="E497" s="16"/>
    </row>
    <row r="498" ht="15.75" customHeight="1">
      <c r="E498" s="16"/>
    </row>
    <row r="499" ht="15.75" customHeight="1">
      <c r="E499" s="16"/>
    </row>
    <row r="500" ht="15.75" customHeight="1">
      <c r="E500" s="16"/>
    </row>
    <row r="501" ht="15.75" customHeight="1">
      <c r="E501" s="16"/>
    </row>
    <row r="502" ht="15.75" customHeight="1">
      <c r="E502" s="16"/>
    </row>
    <row r="503" ht="15.75" customHeight="1">
      <c r="E503" s="16"/>
    </row>
    <row r="504" ht="15.75" customHeight="1">
      <c r="E504" s="16"/>
    </row>
    <row r="505" ht="15.75" customHeight="1">
      <c r="E505" s="16"/>
    </row>
    <row r="506" ht="15.75" customHeight="1">
      <c r="E506" s="16"/>
    </row>
    <row r="507" ht="15.75" customHeight="1">
      <c r="E507" s="16"/>
    </row>
    <row r="508" ht="15.75" customHeight="1">
      <c r="E508" s="16"/>
    </row>
    <row r="509" ht="15.75" customHeight="1">
      <c r="E509" s="16"/>
    </row>
    <row r="510" ht="15.75" customHeight="1">
      <c r="E510" s="16"/>
    </row>
    <row r="511" ht="15.75" customHeight="1">
      <c r="E511" s="16"/>
    </row>
    <row r="512" ht="15.75" customHeight="1">
      <c r="E512" s="16"/>
    </row>
    <row r="513" ht="15.75" customHeight="1">
      <c r="E513" s="16"/>
    </row>
    <row r="514" ht="15.75" customHeight="1">
      <c r="E514" s="16"/>
    </row>
    <row r="515" ht="15.75" customHeight="1">
      <c r="E515" s="16"/>
    </row>
    <row r="516" ht="15.75" customHeight="1">
      <c r="E516" s="16"/>
    </row>
    <row r="517" ht="15.75" customHeight="1">
      <c r="E517" s="16"/>
    </row>
    <row r="518" ht="15.75" customHeight="1">
      <c r="E518" s="16"/>
    </row>
    <row r="519" ht="15.75" customHeight="1">
      <c r="E519" s="16"/>
    </row>
    <row r="520" ht="15.75" customHeight="1">
      <c r="E520" s="16"/>
    </row>
    <row r="521" ht="15.75" customHeight="1">
      <c r="E521" s="16"/>
    </row>
    <row r="522" ht="15.75" customHeight="1">
      <c r="E522" s="16"/>
    </row>
    <row r="523" ht="15.75" customHeight="1">
      <c r="E523" s="16"/>
    </row>
    <row r="524" ht="15.75" customHeight="1">
      <c r="E524" s="16"/>
    </row>
    <row r="525" ht="15.75" customHeight="1">
      <c r="E525" s="16"/>
    </row>
    <row r="526" ht="15.75" customHeight="1">
      <c r="E526" s="16"/>
    </row>
    <row r="527" ht="15.75" customHeight="1">
      <c r="E527" s="16"/>
    </row>
    <row r="528" ht="15.75" customHeight="1">
      <c r="E528" s="16"/>
    </row>
    <row r="529" ht="15.75" customHeight="1">
      <c r="E529" s="16"/>
    </row>
    <row r="530" ht="15.75" customHeight="1">
      <c r="E530" s="16"/>
    </row>
    <row r="531" ht="15.75" customHeight="1">
      <c r="E531" s="16"/>
    </row>
    <row r="532" ht="15.75" customHeight="1">
      <c r="E532" s="16"/>
    </row>
    <row r="533" ht="15.75" customHeight="1">
      <c r="E533" s="16"/>
    </row>
    <row r="534" ht="15.75" customHeight="1">
      <c r="E534" s="16"/>
    </row>
    <row r="535" ht="15.75" customHeight="1">
      <c r="E535" s="16"/>
    </row>
    <row r="536" ht="15.75" customHeight="1">
      <c r="E536" s="16"/>
    </row>
    <row r="537" ht="15.75" customHeight="1">
      <c r="E537" s="16"/>
    </row>
    <row r="538" ht="15.75" customHeight="1">
      <c r="E538" s="16"/>
    </row>
    <row r="539" ht="15.75" customHeight="1">
      <c r="E539" s="16"/>
    </row>
    <row r="540" ht="15.75" customHeight="1">
      <c r="E540" s="16"/>
    </row>
    <row r="541" ht="15.75" customHeight="1">
      <c r="E541" s="16"/>
    </row>
    <row r="542" ht="15.75" customHeight="1">
      <c r="E542" s="16"/>
    </row>
    <row r="543" ht="15.75" customHeight="1">
      <c r="E543" s="16"/>
    </row>
    <row r="544" ht="15.75" customHeight="1">
      <c r="E544" s="16"/>
    </row>
    <row r="545" ht="15.75" customHeight="1">
      <c r="E545" s="16"/>
    </row>
    <row r="546" ht="15.75" customHeight="1">
      <c r="E546" s="16"/>
    </row>
    <row r="547" ht="15.75" customHeight="1">
      <c r="E547" s="16"/>
    </row>
    <row r="548" ht="15.75" customHeight="1">
      <c r="E548" s="16"/>
    </row>
    <row r="549" ht="15.75" customHeight="1">
      <c r="E549" s="16"/>
    </row>
    <row r="550" ht="15.75" customHeight="1">
      <c r="E550" s="16"/>
    </row>
    <row r="551" ht="15.75" customHeight="1">
      <c r="E551" s="16"/>
    </row>
    <row r="552" ht="15.75" customHeight="1">
      <c r="E552" s="16"/>
    </row>
    <row r="553" ht="15.75" customHeight="1">
      <c r="E553" s="16"/>
    </row>
    <row r="554" ht="15.75" customHeight="1">
      <c r="E554" s="16"/>
    </row>
    <row r="555" ht="15.75" customHeight="1">
      <c r="E555" s="16"/>
    </row>
    <row r="556" ht="15.75" customHeight="1">
      <c r="E556" s="16"/>
    </row>
    <row r="557" ht="15.75" customHeight="1">
      <c r="E557" s="16"/>
    </row>
    <row r="558" ht="15.75" customHeight="1">
      <c r="E558" s="16"/>
    </row>
    <row r="559" ht="15.75" customHeight="1">
      <c r="E559" s="16"/>
    </row>
    <row r="560" ht="15.75" customHeight="1">
      <c r="E560" s="16"/>
    </row>
    <row r="561" ht="15.75" customHeight="1">
      <c r="E561" s="16"/>
    </row>
    <row r="562" ht="15.75" customHeight="1">
      <c r="E562" s="16"/>
    </row>
    <row r="563" ht="15.75" customHeight="1">
      <c r="E563" s="16"/>
    </row>
    <row r="564" ht="15.75" customHeight="1">
      <c r="E564" s="16"/>
    </row>
    <row r="565" ht="15.75" customHeight="1">
      <c r="E565" s="16"/>
    </row>
    <row r="566" ht="15.75" customHeight="1">
      <c r="E566" s="16"/>
    </row>
    <row r="567" ht="15.75" customHeight="1">
      <c r="E567" s="16"/>
    </row>
    <row r="568" ht="15.75" customHeight="1">
      <c r="E568" s="16"/>
    </row>
    <row r="569" ht="15.75" customHeight="1">
      <c r="E569" s="16"/>
    </row>
    <row r="570" ht="15.75" customHeight="1">
      <c r="E570" s="16"/>
    </row>
    <row r="571" ht="15.75" customHeight="1">
      <c r="E571" s="16"/>
    </row>
    <row r="572" ht="15.75" customHeight="1">
      <c r="E572" s="16"/>
    </row>
    <row r="573" ht="15.75" customHeight="1">
      <c r="E573" s="16"/>
    </row>
    <row r="574" ht="15.75" customHeight="1">
      <c r="E574" s="16"/>
    </row>
    <row r="575" ht="15.75" customHeight="1">
      <c r="E575" s="16"/>
    </row>
    <row r="576" ht="15.75" customHeight="1">
      <c r="E576" s="16"/>
    </row>
    <row r="577" ht="15.75" customHeight="1">
      <c r="E577" s="16"/>
    </row>
    <row r="578" ht="15.75" customHeight="1">
      <c r="E578" s="16"/>
    </row>
    <row r="579" ht="15.75" customHeight="1">
      <c r="E579" s="16"/>
    </row>
    <row r="580" ht="15.75" customHeight="1">
      <c r="E580" s="16"/>
    </row>
    <row r="581" ht="15.75" customHeight="1">
      <c r="E581" s="16"/>
    </row>
    <row r="582" ht="15.75" customHeight="1">
      <c r="E582" s="16"/>
    </row>
    <row r="583" ht="15.75" customHeight="1">
      <c r="E583" s="16"/>
    </row>
    <row r="584" ht="15.75" customHeight="1">
      <c r="E584" s="16"/>
    </row>
    <row r="585" ht="15.75" customHeight="1">
      <c r="E585" s="16"/>
    </row>
    <row r="586" ht="15.75" customHeight="1">
      <c r="E586" s="16"/>
    </row>
    <row r="587" ht="15.75" customHeight="1">
      <c r="E587" s="16"/>
    </row>
    <row r="588" ht="15.75" customHeight="1">
      <c r="E588" s="16"/>
    </row>
    <row r="589" ht="15.75" customHeight="1">
      <c r="E589" s="16"/>
    </row>
    <row r="590" ht="15.75" customHeight="1">
      <c r="E590" s="16"/>
    </row>
    <row r="591" ht="15.75" customHeight="1">
      <c r="E591" s="16"/>
    </row>
    <row r="592" ht="15.75" customHeight="1">
      <c r="E592" s="16"/>
    </row>
    <row r="593" ht="15.75" customHeight="1">
      <c r="E593" s="16"/>
    </row>
    <row r="594" ht="15.75" customHeight="1">
      <c r="E594" s="16"/>
    </row>
    <row r="595" ht="15.75" customHeight="1">
      <c r="E595" s="16"/>
    </row>
    <row r="596" ht="15.75" customHeight="1">
      <c r="E596" s="16"/>
    </row>
    <row r="597" ht="15.75" customHeight="1">
      <c r="E597" s="16"/>
    </row>
    <row r="598" ht="15.75" customHeight="1">
      <c r="E598" s="16"/>
    </row>
    <row r="599" ht="15.75" customHeight="1">
      <c r="E599" s="16"/>
    </row>
    <row r="600" ht="15.75" customHeight="1">
      <c r="E600" s="16"/>
    </row>
    <row r="601" ht="15.75" customHeight="1">
      <c r="E601" s="16"/>
    </row>
    <row r="602" ht="15.75" customHeight="1">
      <c r="E602" s="16"/>
    </row>
    <row r="603" ht="15.75" customHeight="1">
      <c r="E603" s="16"/>
    </row>
    <row r="604" ht="15.75" customHeight="1">
      <c r="E604" s="16"/>
    </row>
    <row r="605" ht="15.75" customHeight="1">
      <c r="E605" s="16"/>
    </row>
    <row r="606" ht="15.75" customHeight="1">
      <c r="E606" s="16"/>
    </row>
    <row r="607" ht="15.75" customHeight="1">
      <c r="E607" s="16"/>
    </row>
    <row r="608" ht="15.75" customHeight="1">
      <c r="E608" s="16"/>
    </row>
    <row r="609" ht="15.75" customHeight="1">
      <c r="E609" s="16"/>
    </row>
    <row r="610" ht="15.75" customHeight="1">
      <c r="E610" s="16"/>
    </row>
    <row r="611" ht="15.75" customHeight="1">
      <c r="E611" s="16"/>
    </row>
    <row r="612" ht="15.75" customHeight="1">
      <c r="E612" s="16"/>
    </row>
    <row r="613" ht="15.75" customHeight="1">
      <c r="E613" s="16"/>
    </row>
    <row r="614" ht="15.75" customHeight="1">
      <c r="E614" s="16"/>
    </row>
    <row r="615" ht="15.75" customHeight="1">
      <c r="E615" s="16"/>
    </row>
    <row r="616" ht="15.75" customHeight="1">
      <c r="E616" s="16"/>
    </row>
    <row r="617" ht="15.75" customHeight="1">
      <c r="E617" s="16"/>
    </row>
    <row r="618" ht="15.75" customHeight="1">
      <c r="E618" s="16"/>
    </row>
    <row r="619" ht="15.75" customHeight="1">
      <c r="E619" s="16"/>
    </row>
    <row r="620" ht="15.75" customHeight="1">
      <c r="E620" s="16"/>
    </row>
    <row r="621" ht="15.75" customHeight="1">
      <c r="E621" s="16"/>
    </row>
    <row r="622" ht="15.75" customHeight="1">
      <c r="E622" s="16"/>
    </row>
    <row r="623" ht="15.75" customHeight="1">
      <c r="E623" s="16"/>
    </row>
    <row r="624" ht="15.75" customHeight="1">
      <c r="E624" s="16"/>
    </row>
    <row r="625" ht="15.75" customHeight="1">
      <c r="E625" s="16"/>
    </row>
    <row r="626" ht="15.75" customHeight="1">
      <c r="E626" s="16"/>
    </row>
    <row r="627" ht="15.75" customHeight="1">
      <c r="E627" s="16"/>
    </row>
    <row r="628" ht="15.75" customHeight="1">
      <c r="E628" s="16"/>
    </row>
    <row r="629" ht="15.75" customHeight="1">
      <c r="E629" s="16"/>
    </row>
    <row r="630" ht="15.75" customHeight="1">
      <c r="E630" s="16"/>
    </row>
    <row r="631" ht="15.75" customHeight="1">
      <c r="E631" s="16"/>
    </row>
    <row r="632" ht="15.75" customHeight="1">
      <c r="E632" s="16"/>
    </row>
    <row r="633" ht="15.75" customHeight="1">
      <c r="E633" s="16"/>
    </row>
    <row r="634" ht="15.75" customHeight="1">
      <c r="E634" s="16"/>
    </row>
    <row r="635" ht="15.75" customHeight="1">
      <c r="E635" s="16"/>
    </row>
    <row r="636" ht="15.75" customHeight="1">
      <c r="E636" s="16"/>
    </row>
    <row r="637" ht="15.75" customHeight="1">
      <c r="E637" s="16"/>
    </row>
    <row r="638" ht="15.75" customHeight="1">
      <c r="E638" s="16"/>
    </row>
    <row r="639" ht="15.75" customHeight="1">
      <c r="E639" s="16"/>
    </row>
    <row r="640" ht="15.75" customHeight="1">
      <c r="E640" s="16"/>
    </row>
    <row r="641" ht="15.75" customHeight="1">
      <c r="E641" s="16"/>
    </row>
    <row r="642" ht="15.75" customHeight="1">
      <c r="E642" s="16"/>
    </row>
    <row r="643" ht="15.75" customHeight="1">
      <c r="E643" s="16"/>
    </row>
    <row r="644" ht="15.75" customHeight="1">
      <c r="E644" s="16"/>
    </row>
    <row r="645" ht="15.75" customHeight="1">
      <c r="E645" s="16"/>
    </row>
    <row r="646" ht="15.75" customHeight="1">
      <c r="E646" s="16"/>
    </row>
    <row r="647" ht="15.75" customHeight="1">
      <c r="E647" s="16"/>
    </row>
    <row r="648" ht="15.75" customHeight="1">
      <c r="E648" s="16"/>
    </row>
    <row r="649" ht="15.75" customHeight="1">
      <c r="E649" s="16"/>
    </row>
    <row r="650" ht="15.75" customHeight="1">
      <c r="E650" s="16"/>
    </row>
    <row r="651" ht="15.75" customHeight="1">
      <c r="E651" s="16"/>
    </row>
    <row r="652" ht="15.75" customHeight="1">
      <c r="E652" s="16"/>
    </row>
    <row r="653" ht="15.75" customHeight="1">
      <c r="E653" s="16"/>
    </row>
    <row r="654" ht="15.75" customHeight="1">
      <c r="E654" s="16"/>
    </row>
    <row r="655" ht="15.75" customHeight="1">
      <c r="E655" s="16"/>
    </row>
    <row r="656" ht="15.75" customHeight="1">
      <c r="E656" s="16"/>
    </row>
    <row r="657" ht="15.75" customHeight="1">
      <c r="E657" s="16"/>
    </row>
    <row r="658" ht="15.75" customHeight="1">
      <c r="E658" s="16"/>
    </row>
    <row r="659" ht="15.75" customHeight="1">
      <c r="E659" s="16"/>
    </row>
    <row r="660" ht="15.75" customHeight="1">
      <c r="E660" s="16"/>
    </row>
    <row r="661" ht="15.75" customHeight="1">
      <c r="E661" s="16"/>
    </row>
    <row r="662" ht="15.75" customHeight="1">
      <c r="E662" s="16"/>
    </row>
    <row r="663" ht="15.75" customHeight="1">
      <c r="E663" s="16"/>
    </row>
    <row r="664" ht="15.75" customHeight="1">
      <c r="E664" s="16"/>
    </row>
    <row r="665" ht="15.75" customHeight="1">
      <c r="E665" s="16"/>
    </row>
    <row r="666" ht="15.75" customHeight="1">
      <c r="E666" s="16"/>
    </row>
    <row r="667" ht="15.75" customHeight="1">
      <c r="E667" s="16"/>
    </row>
    <row r="668" ht="15.75" customHeight="1">
      <c r="E668" s="16"/>
    </row>
    <row r="669" ht="15.75" customHeight="1">
      <c r="E669" s="16"/>
    </row>
    <row r="670" ht="15.75" customHeight="1">
      <c r="E670" s="16"/>
    </row>
    <row r="671" ht="15.75" customHeight="1">
      <c r="E671" s="16"/>
    </row>
    <row r="672" ht="15.75" customHeight="1">
      <c r="E672" s="16"/>
    </row>
    <row r="673" ht="15.75" customHeight="1">
      <c r="E673" s="16"/>
    </row>
    <row r="674" ht="15.75" customHeight="1">
      <c r="E674" s="16"/>
    </row>
    <row r="675" ht="15.75" customHeight="1">
      <c r="E675" s="16"/>
    </row>
    <row r="676" ht="15.75" customHeight="1">
      <c r="E676" s="16"/>
    </row>
    <row r="677" ht="15.75" customHeight="1">
      <c r="E677" s="16"/>
    </row>
    <row r="678" ht="15.75" customHeight="1">
      <c r="E678" s="16"/>
    </row>
    <row r="679" ht="15.75" customHeight="1">
      <c r="E679" s="16"/>
    </row>
    <row r="680" ht="15.75" customHeight="1">
      <c r="E680" s="16"/>
    </row>
    <row r="681" ht="15.75" customHeight="1">
      <c r="E681" s="16"/>
    </row>
    <row r="682" ht="15.75" customHeight="1">
      <c r="E682" s="16"/>
    </row>
    <row r="683" ht="15.75" customHeight="1">
      <c r="E683" s="16"/>
    </row>
    <row r="684" ht="15.75" customHeight="1">
      <c r="E684" s="16"/>
    </row>
    <row r="685" ht="15.75" customHeight="1">
      <c r="E685" s="16"/>
    </row>
    <row r="686" ht="15.75" customHeight="1">
      <c r="E686" s="16"/>
    </row>
    <row r="687" ht="15.75" customHeight="1">
      <c r="E687" s="16"/>
    </row>
    <row r="688" ht="15.75" customHeight="1">
      <c r="E688" s="16"/>
    </row>
    <row r="689" ht="15.75" customHeight="1">
      <c r="E689" s="16"/>
    </row>
    <row r="690" ht="15.75" customHeight="1">
      <c r="E690" s="16"/>
    </row>
    <row r="691" ht="15.75" customHeight="1">
      <c r="E691" s="16"/>
    </row>
    <row r="692" ht="15.75" customHeight="1">
      <c r="E692" s="16"/>
    </row>
    <row r="693" ht="15.75" customHeight="1">
      <c r="E693" s="16"/>
    </row>
    <row r="694" ht="15.75" customHeight="1">
      <c r="E694" s="16"/>
    </row>
    <row r="695" ht="15.75" customHeight="1">
      <c r="E695" s="16"/>
    </row>
    <row r="696" ht="15.75" customHeight="1">
      <c r="E696" s="16"/>
    </row>
    <row r="697" ht="15.75" customHeight="1">
      <c r="E697" s="16"/>
    </row>
    <row r="698" ht="15.75" customHeight="1">
      <c r="E698" s="16"/>
    </row>
    <row r="699" ht="15.75" customHeight="1">
      <c r="E699" s="16"/>
    </row>
    <row r="700" ht="15.75" customHeight="1">
      <c r="E700" s="16"/>
    </row>
    <row r="701" ht="15.75" customHeight="1">
      <c r="E701" s="16"/>
    </row>
    <row r="702" ht="15.75" customHeight="1">
      <c r="E702" s="16"/>
    </row>
    <row r="703" ht="15.75" customHeight="1">
      <c r="E703" s="16"/>
    </row>
    <row r="704" ht="15.75" customHeight="1">
      <c r="E704" s="16"/>
    </row>
    <row r="705" ht="15.75" customHeight="1">
      <c r="E705" s="16"/>
    </row>
    <row r="706" ht="15.75" customHeight="1">
      <c r="E706" s="16"/>
    </row>
    <row r="707" ht="15.75" customHeight="1">
      <c r="E707" s="16"/>
    </row>
    <row r="708" ht="15.75" customHeight="1">
      <c r="E708" s="16"/>
    </row>
    <row r="709" ht="15.75" customHeight="1">
      <c r="E709" s="16"/>
    </row>
    <row r="710" ht="15.75" customHeight="1">
      <c r="E710" s="16"/>
    </row>
    <row r="711" ht="15.75" customHeight="1">
      <c r="E711" s="16"/>
    </row>
    <row r="712" ht="15.75" customHeight="1">
      <c r="E712" s="16"/>
    </row>
    <row r="713" ht="15.75" customHeight="1">
      <c r="E713" s="16"/>
    </row>
    <row r="714" ht="15.75" customHeight="1">
      <c r="E714" s="16"/>
    </row>
    <row r="715" ht="15.75" customHeight="1">
      <c r="E715" s="16"/>
    </row>
    <row r="716" ht="15.75" customHeight="1">
      <c r="E716" s="16"/>
    </row>
    <row r="717" ht="15.75" customHeight="1">
      <c r="E717" s="16"/>
    </row>
    <row r="718" ht="15.75" customHeight="1">
      <c r="E718" s="16"/>
    </row>
    <row r="719" ht="15.75" customHeight="1">
      <c r="E719" s="16"/>
    </row>
    <row r="720" ht="15.75" customHeight="1">
      <c r="E720" s="16"/>
    </row>
    <row r="721" ht="15.75" customHeight="1">
      <c r="E721" s="16"/>
    </row>
    <row r="722" ht="15.75" customHeight="1">
      <c r="E722" s="16"/>
    </row>
    <row r="723" ht="15.75" customHeight="1">
      <c r="E723" s="16"/>
    </row>
    <row r="724" ht="15.75" customHeight="1">
      <c r="E724" s="16"/>
    </row>
    <row r="725" ht="15.75" customHeight="1">
      <c r="E725" s="16"/>
    </row>
    <row r="726" ht="15.75" customHeight="1">
      <c r="E726" s="16"/>
    </row>
    <row r="727" ht="15.75" customHeight="1">
      <c r="E727" s="16"/>
    </row>
    <row r="728" ht="15.75" customHeight="1">
      <c r="E728" s="16"/>
    </row>
    <row r="729" ht="15.75" customHeight="1">
      <c r="E729" s="16"/>
    </row>
    <row r="730" ht="15.75" customHeight="1">
      <c r="E730" s="16"/>
    </row>
    <row r="731" ht="15.75" customHeight="1">
      <c r="E731" s="16"/>
    </row>
    <row r="732" ht="15.75" customHeight="1">
      <c r="E732" s="16"/>
    </row>
    <row r="733" ht="15.75" customHeight="1">
      <c r="E733" s="16"/>
    </row>
    <row r="734" ht="15.75" customHeight="1">
      <c r="E734" s="16"/>
    </row>
    <row r="735" ht="15.75" customHeight="1">
      <c r="E735" s="16"/>
    </row>
    <row r="736" ht="15.75" customHeight="1">
      <c r="E736" s="16"/>
    </row>
    <row r="737" ht="15.75" customHeight="1">
      <c r="E737" s="16"/>
    </row>
    <row r="738" ht="15.75" customHeight="1">
      <c r="E738" s="16"/>
    </row>
    <row r="739" ht="15.75" customHeight="1">
      <c r="E739" s="16"/>
    </row>
    <row r="740" ht="15.75" customHeight="1">
      <c r="E740" s="16"/>
    </row>
    <row r="741" ht="15.75" customHeight="1">
      <c r="E741" s="16"/>
    </row>
    <row r="742" ht="15.75" customHeight="1">
      <c r="E742" s="16"/>
    </row>
    <row r="743" ht="15.75" customHeight="1">
      <c r="E743" s="16"/>
    </row>
    <row r="744" ht="15.75" customHeight="1">
      <c r="E744" s="16"/>
    </row>
    <row r="745" ht="15.75" customHeight="1">
      <c r="E745" s="16"/>
    </row>
    <row r="746" ht="15.75" customHeight="1">
      <c r="E746" s="16"/>
    </row>
    <row r="747" ht="15.75" customHeight="1">
      <c r="E747" s="16"/>
    </row>
    <row r="748" ht="15.75" customHeight="1">
      <c r="E748" s="16"/>
    </row>
    <row r="749" ht="15.75" customHeight="1">
      <c r="E749" s="16"/>
    </row>
    <row r="750" ht="15.75" customHeight="1">
      <c r="E750" s="16"/>
    </row>
    <row r="751" ht="15.75" customHeight="1">
      <c r="E751" s="16"/>
    </row>
    <row r="752" ht="15.75" customHeight="1">
      <c r="E752" s="16"/>
    </row>
    <row r="753" ht="15.75" customHeight="1">
      <c r="E753" s="16"/>
    </row>
    <row r="754" ht="15.75" customHeight="1">
      <c r="E754" s="16"/>
    </row>
    <row r="755" ht="15.75" customHeight="1">
      <c r="E755" s="16"/>
    </row>
    <row r="756" ht="15.75" customHeight="1">
      <c r="E756" s="16"/>
    </row>
    <row r="757" ht="15.75" customHeight="1">
      <c r="E757" s="16"/>
    </row>
    <row r="758" ht="15.75" customHeight="1">
      <c r="E758" s="16"/>
    </row>
    <row r="759" ht="15.75" customHeight="1">
      <c r="E759" s="16"/>
    </row>
    <row r="760" ht="15.75" customHeight="1">
      <c r="E760" s="16"/>
    </row>
    <row r="761" ht="15.75" customHeight="1">
      <c r="E761" s="16"/>
    </row>
    <row r="762" ht="15.75" customHeight="1">
      <c r="E762" s="16"/>
    </row>
    <row r="763" ht="15.75" customHeight="1">
      <c r="E763" s="16"/>
    </row>
    <row r="764" ht="15.75" customHeight="1">
      <c r="E764" s="16"/>
    </row>
    <row r="765" ht="15.75" customHeight="1">
      <c r="E765" s="16"/>
    </row>
    <row r="766" ht="15.75" customHeight="1">
      <c r="E766" s="16"/>
    </row>
    <row r="767" ht="15.75" customHeight="1">
      <c r="E767" s="16"/>
    </row>
    <row r="768" ht="15.75" customHeight="1">
      <c r="E768" s="16"/>
    </row>
    <row r="769" ht="15.75" customHeight="1">
      <c r="E769" s="16"/>
    </row>
    <row r="770" ht="15.75" customHeight="1">
      <c r="E770" s="16"/>
    </row>
    <row r="771" ht="15.75" customHeight="1">
      <c r="E771" s="16"/>
    </row>
    <row r="772" ht="15.75" customHeight="1">
      <c r="E772" s="16"/>
    </row>
    <row r="773" ht="15.75" customHeight="1">
      <c r="E773" s="16"/>
    </row>
    <row r="774" ht="15.75" customHeight="1">
      <c r="E774" s="16"/>
    </row>
    <row r="775" ht="15.75" customHeight="1">
      <c r="E775" s="16"/>
    </row>
    <row r="776" ht="15.75" customHeight="1">
      <c r="E776" s="16"/>
    </row>
    <row r="777" ht="15.75" customHeight="1">
      <c r="E777" s="16"/>
    </row>
    <row r="778" ht="15.75" customHeight="1">
      <c r="E778" s="16"/>
    </row>
    <row r="779" ht="15.75" customHeight="1">
      <c r="E779" s="16"/>
    </row>
    <row r="780" ht="15.75" customHeight="1">
      <c r="E780" s="16"/>
    </row>
    <row r="781" ht="15.75" customHeight="1">
      <c r="E781" s="16"/>
    </row>
    <row r="782" ht="15.75" customHeight="1">
      <c r="E782" s="16"/>
    </row>
    <row r="783" ht="15.75" customHeight="1">
      <c r="E783" s="16"/>
    </row>
    <row r="784" ht="15.75" customHeight="1">
      <c r="E784" s="16"/>
    </row>
    <row r="785" ht="15.75" customHeight="1">
      <c r="E785" s="16"/>
    </row>
    <row r="786" ht="15.75" customHeight="1">
      <c r="E786" s="16"/>
    </row>
    <row r="787" ht="15.75" customHeight="1">
      <c r="E787" s="16"/>
    </row>
    <row r="788" ht="15.75" customHeight="1">
      <c r="E788" s="16"/>
    </row>
    <row r="789" ht="15.75" customHeight="1">
      <c r="E789" s="16"/>
    </row>
    <row r="790" ht="15.75" customHeight="1">
      <c r="E790" s="16"/>
    </row>
    <row r="791" ht="15.75" customHeight="1">
      <c r="E791" s="16"/>
    </row>
    <row r="792" ht="15.75" customHeight="1">
      <c r="E792" s="16"/>
    </row>
    <row r="793" ht="15.75" customHeight="1">
      <c r="E793" s="16"/>
    </row>
    <row r="794" ht="15.75" customHeight="1">
      <c r="E794" s="16"/>
    </row>
    <row r="795" ht="15.75" customHeight="1">
      <c r="E795" s="16"/>
    </row>
    <row r="796" ht="15.75" customHeight="1">
      <c r="E796" s="16"/>
    </row>
    <row r="797" ht="15.75" customHeight="1">
      <c r="E797" s="16"/>
    </row>
    <row r="798" ht="15.75" customHeight="1">
      <c r="E798" s="16"/>
    </row>
    <row r="799" ht="15.75" customHeight="1">
      <c r="E799" s="16"/>
    </row>
    <row r="800" ht="15.75" customHeight="1">
      <c r="E800" s="16"/>
    </row>
    <row r="801" ht="15.75" customHeight="1">
      <c r="E801" s="16"/>
    </row>
    <row r="802" ht="15.75" customHeight="1">
      <c r="E802" s="16"/>
    </row>
    <row r="803" ht="15.75" customHeight="1">
      <c r="E803" s="16"/>
    </row>
    <row r="804" ht="15.75" customHeight="1">
      <c r="E804" s="16"/>
    </row>
    <row r="805" ht="15.75" customHeight="1">
      <c r="E805" s="16"/>
    </row>
    <row r="806" ht="15.75" customHeight="1">
      <c r="E806" s="16"/>
    </row>
    <row r="807" ht="15.75" customHeight="1">
      <c r="E807" s="16"/>
    </row>
    <row r="808" ht="15.75" customHeight="1">
      <c r="E808" s="16"/>
    </row>
    <row r="809" ht="15.75" customHeight="1">
      <c r="E809" s="16"/>
    </row>
    <row r="810" ht="15.75" customHeight="1">
      <c r="E810" s="16"/>
    </row>
    <row r="811" ht="15.75" customHeight="1">
      <c r="E811" s="16"/>
    </row>
    <row r="812" ht="15.75" customHeight="1">
      <c r="E812" s="16"/>
    </row>
    <row r="813" ht="15.75" customHeight="1">
      <c r="E813" s="16"/>
    </row>
    <row r="814" ht="15.75" customHeight="1">
      <c r="E814" s="16"/>
    </row>
    <row r="815" ht="15.75" customHeight="1">
      <c r="E815" s="16"/>
    </row>
    <row r="816" ht="15.75" customHeight="1">
      <c r="E816" s="16"/>
    </row>
    <row r="817" ht="15.75" customHeight="1">
      <c r="E817" s="16"/>
    </row>
    <row r="818" ht="15.75" customHeight="1">
      <c r="E818" s="16"/>
    </row>
    <row r="819" ht="15.75" customHeight="1">
      <c r="E819" s="16"/>
    </row>
    <row r="820" ht="15.75" customHeight="1">
      <c r="E820" s="16"/>
    </row>
    <row r="821" ht="15.75" customHeight="1">
      <c r="E821" s="16"/>
    </row>
    <row r="822" ht="15.75" customHeight="1">
      <c r="E822" s="16"/>
    </row>
    <row r="823" ht="15.75" customHeight="1">
      <c r="E823" s="16"/>
    </row>
    <row r="824" ht="15.75" customHeight="1">
      <c r="E824" s="16"/>
    </row>
    <row r="825" ht="15.75" customHeight="1">
      <c r="E825" s="16"/>
    </row>
    <row r="826" ht="15.75" customHeight="1">
      <c r="E826" s="16"/>
    </row>
    <row r="827" ht="15.75" customHeight="1">
      <c r="E827" s="16"/>
    </row>
    <row r="828" ht="15.75" customHeight="1">
      <c r="E828" s="16"/>
    </row>
    <row r="829" ht="15.75" customHeight="1">
      <c r="E829" s="16"/>
    </row>
    <row r="830" ht="15.75" customHeight="1">
      <c r="E830" s="16"/>
    </row>
    <row r="831" ht="15.75" customHeight="1">
      <c r="E831" s="16"/>
    </row>
    <row r="832" ht="15.75" customHeight="1">
      <c r="E832" s="16"/>
    </row>
    <row r="833" ht="15.75" customHeight="1">
      <c r="E833" s="16"/>
    </row>
    <row r="834" ht="15.75" customHeight="1">
      <c r="E834" s="16"/>
    </row>
    <row r="835" ht="15.75" customHeight="1">
      <c r="E835" s="16"/>
    </row>
    <row r="836" ht="15.75" customHeight="1">
      <c r="E836" s="16"/>
    </row>
    <row r="837" ht="15.75" customHeight="1">
      <c r="E837" s="16"/>
    </row>
    <row r="838" ht="15.75" customHeight="1">
      <c r="E838" s="16"/>
    </row>
    <row r="839" ht="15.75" customHeight="1">
      <c r="E839" s="16"/>
    </row>
    <row r="840" ht="15.75" customHeight="1">
      <c r="E840" s="16"/>
    </row>
    <row r="841" ht="15.75" customHeight="1">
      <c r="E841" s="16"/>
    </row>
    <row r="842" ht="15.75" customHeight="1">
      <c r="E842" s="16"/>
    </row>
    <row r="843" ht="15.75" customHeight="1">
      <c r="E843" s="16"/>
    </row>
    <row r="844" ht="15.75" customHeight="1">
      <c r="E844" s="16"/>
    </row>
    <row r="845" ht="15.75" customHeight="1">
      <c r="E845" s="16"/>
    </row>
    <row r="846" ht="15.75" customHeight="1">
      <c r="E846" s="16"/>
    </row>
    <row r="847" ht="15.75" customHeight="1">
      <c r="E847" s="16"/>
    </row>
    <row r="848" ht="15.75" customHeight="1">
      <c r="E848" s="16"/>
    </row>
    <row r="849" ht="15.75" customHeight="1">
      <c r="E849" s="16"/>
    </row>
    <row r="850" ht="15.75" customHeight="1">
      <c r="E850" s="16"/>
    </row>
    <row r="851" ht="15.75" customHeight="1">
      <c r="E851" s="16"/>
    </row>
    <row r="852" ht="15.75" customHeight="1">
      <c r="E852" s="16"/>
    </row>
    <row r="853" ht="15.75" customHeight="1">
      <c r="E853" s="16"/>
    </row>
    <row r="854" ht="15.75" customHeight="1">
      <c r="E854" s="16"/>
    </row>
    <row r="855" ht="15.75" customHeight="1">
      <c r="E855" s="16"/>
    </row>
    <row r="856" ht="15.75" customHeight="1">
      <c r="E856" s="16"/>
    </row>
    <row r="857" ht="15.75" customHeight="1">
      <c r="E857" s="16"/>
    </row>
    <row r="858" ht="15.75" customHeight="1">
      <c r="E858" s="16"/>
    </row>
    <row r="859" ht="15.75" customHeight="1">
      <c r="E859" s="16"/>
    </row>
    <row r="860" ht="15.75" customHeight="1">
      <c r="E860" s="16"/>
    </row>
    <row r="861" ht="15.75" customHeight="1">
      <c r="E861" s="16"/>
    </row>
    <row r="862" ht="15.75" customHeight="1">
      <c r="E862" s="16"/>
    </row>
    <row r="863" ht="15.75" customHeight="1">
      <c r="E863" s="16"/>
    </row>
    <row r="864" ht="15.75" customHeight="1">
      <c r="E864" s="16"/>
    </row>
    <row r="865" ht="15.75" customHeight="1">
      <c r="E865" s="16"/>
    </row>
    <row r="866" ht="15.75" customHeight="1">
      <c r="E866" s="16"/>
    </row>
    <row r="867" ht="15.75" customHeight="1">
      <c r="E867" s="16"/>
    </row>
    <row r="868" ht="15.75" customHeight="1">
      <c r="E868" s="16"/>
    </row>
    <row r="869" ht="15.75" customHeight="1">
      <c r="E869" s="16"/>
    </row>
    <row r="870" ht="15.75" customHeight="1">
      <c r="E870" s="16"/>
    </row>
    <row r="871" ht="15.75" customHeight="1">
      <c r="E871" s="16"/>
    </row>
    <row r="872" ht="15.75" customHeight="1">
      <c r="E872" s="16"/>
    </row>
    <row r="873" ht="15.75" customHeight="1">
      <c r="E873" s="16"/>
    </row>
    <row r="874" ht="15.75" customHeight="1">
      <c r="E874" s="16"/>
    </row>
    <row r="875" ht="15.75" customHeight="1">
      <c r="E875" s="16"/>
    </row>
    <row r="876" ht="15.75" customHeight="1">
      <c r="E876" s="16"/>
    </row>
    <row r="877" ht="15.75" customHeight="1">
      <c r="E877" s="16"/>
    </row>
    <row r="878" ht="15.75" customHeight="1">
      <c r="E878" s="16"/>
    </row>
    <row r="879" ht="15.75" customHeight="1">
      <c r="E879" s="16"/>
    </row>
    <row r="880" ht="15.75" customHeight="1">
      <c r="E880" s="16"/>
    </row>
    <row r="881" ht="15.75" customHeight="1">
      <c r="E881" s="16"/>
    </row>
    <row r="882" ht="15.75" customHeight="1">
      <c r="E882" s="16"/>
    </row>
    <row r="883" ht="15.75" customHeight="1">
      <c r="E883" s="16"/>
    </row>
    <row r="884" ht="15.75" customHeight="1">
      <c r="E884" s="16"/>
    </row>
    <row r="885" ht="15.75" customHeight="1">
      <c r="E885" s="16"/>
    </row>
    <row r="886" ht="15.75" customHeight="1">
      <c r="E886" s="16"/>
    </row>
    <row r="887" ht="15.75" customHeight="1">
      <c r="E887" s="16"/>
    </row>
    <row r="888" ht="15.75" customHeight="1">
      <c r="E888" s="16"/>
    </row>
    <row r="889" ht="15.75" customHeight="1">
      <c r="E889" s="16"/>
    </row>
    <row r="890" ht="15.75" customHeight="1">
      <c r="E890" s="16"/>
    </row>
    <row r="891" ht="15.75" customHeight="1">
      <c r="E891" s="16"/>
    </row>
    <row r="892" ht="15.75" customHeight="1">
      <c r="E892" s="16"/>
    </row>
    <row r="893" ht="15.75" customHeight="1">
      <c r="E893" s="16"/>
    </row>
    <row r="894" ht="15.75" customHeight="1">
      <c r="E894" s="16"/>
    </row>
    <row r="895" ht="15.75" customHeight="1">
      <c r="E895" s="16"/>
    </row>
    <row r="896" ht="15.75" customHeight="1">
      <c r="E896" s="16"/>
    </row>
    <row r="897" ht="15.75" customHeight="1">
      <c r="E897" s="16"/>
    </row>
    <row r="898" ht="15.75" customHeight="1">
      <c r="E898" s="16"/>
    </row>
    <row r="899" ht="15.75" customHeight="1">
      <c r="E899" s="16"/>
    </row>
    <row r="900" ht="15.75" customHeight="1">
      <c r="E900" s="16"/>
    </row>
    <row r="901" ht="15.75" customHeight="1">
      <c r="E901" s="16"/>
    </row>
    <row r="902" ht="15.75" customHeight="1">
      <c r="E902" s="16"/>
    </row>
    <row r="903" ht="15.75" customHeight="1">
      <c r="E903" s="16"/>
    </row>
    <row r="904" ht="15.75" customHeight="1">
      <c r="E904" s="16"/>
    </row>
    <row r="905" ht="15.75" customHeight="1">
      <c r="E905" s="16"/>
    </row>
    <row r="906" ht="15.75" customHeight="1">
      <c r="E906" s="16"/>
    </row>
    <row r="907" ht="15.75" customHeight="1">
      <c r="E907" s="16"/>
    </row>
    <row r="908" ht="15.75" customHeight="1">
      <c r="E908" s="16"/>
    </row>
    <row r="909" ht="15.75" customHeight="1">
      <c r="E909" s="16"/>
    </row>
    <row r="910" ht="15.75" customHeight="1">
      <c r="E910" s="16"/>
    </row>
    <row r="911" ht="15.75" customHeight="1">
      <c r="E911" s="16"/>
    </row>
    <row r="912" ht="15.75" customHeight="1">
      <c r="E912" s="16"/>
    </row>
    <row r="913" ht="15.75" customHeight="1">
      <c r="E913" s="16"/>
    </row>
    <row r="914" ht="15.75" customHeight="1">
      <c r="E914" s="16"/>
    </row>
    <row r="915" ht="15.75" customHeight="1">
      <c r="E915" s="16"/>
    </row>
    <row r="916" ht="15.75" customHeight="1">
      <c r="E916" s="16"/>
    </row>
    <row r="917" ht="15.75" customHeight="1">
      <c r="E917" s="16"/>
    </row>
    <row r="918" ht="15.75" customHeight="1">
      <c r="E918" s="16"/>
    </row>
    <row r="919" ht="15.75" customHeight="1">
      <c r="E919" s="16"/>
    </row>
    <row r="920" ht="15.75" customHeight="1">
      <c r="E920" s="16"/>
    </row>
    <row r="921" ht="15.75" customHeight="1">
      <c r="E921" s="16"/>
    </row>
    <row r="922" ht="15.75" customHeight="1">
      <c r="E922" s="16"/>
    </row>
    <row r="923" ht="15.75" customHeight="1">
      <c r="E923" s="16"/>
    </row>
    <row r="924" ht="15.75" customHeight="1">
      <c r="E924" s="16"/>
    </row>
    <row r="925" ht="15.75" customHeight="1">
      <c r="E925" s="16"/>
    </row>
    <row r="926" ht="15.75" customHeight="1">
      <c r="E926" s="16"/>
    </row>
    <row r="927" ht="15.75" customHeight="1">
      <c r="E927" s="16"/>
    </row>
    <row r="928" ht="15.75" customHeight="1">
      <c r="E928" s="16"/>
    </row>
    <row r="929" ht="15.75" customHeight="1">
      <c r="E929" s="16"/>
    </row>
    <row r="930" ht="15.75" customHeight="1">
      <c r="E930" s="16"/>
    </row>
    <row r="931" ht="15.75" customHeight="1">
      <c r="E931" s="16"/>
    </row>
    <row r="932" ht="15.75" customHeight="1">
      <c r="E932" s="16"/>
    </row>
    <row r="933" ht="15.75" customHeight="1">
      <c r="E933" s="16"/>
    </row>
    <row r="934" ht="15.75" customHeight="1">
      <c r="E934" s="16"/>
    </row>
    <row r="935" ht="15.75" customHeight="1">
      <c r="E935" s="16"/>
    </row>
    <row r="936" ht="15.75" customHeight="1">
      <c r="E936" s="16"/>
    </row>
    <row r="937" ht="15.75" customHeight="1">
      <c r="E937" s="16"/>
    </row>
    <row r="938" ht="15.75" customHeight="1">
      <c r="E938" s="16"/>
    </row>
    <row r="939" ht="15.75" customHeight="1">
      <c r="E939" s="16"/>
    </row>
    <row r="940" ht="15.75" customHeight="1">
      <c r="E940" s="16"/>
    </row>
    <row r="941" ht="15.75" customHeight="1">
      <c r="E941" s="16"/>
    </row>
    <row r="942" ht="15.75" customHeight="1">
      <c r="E942" s="16"/>
    </row>
    <row r="943" ht="15.75" customHeight="1">
      <c r="E943" s="16"/>
    </row>
    <row r="944" ht="15.75" customHeight="1">
      <c r="E944" s="16"/>
    </row>
    <row r="945" ht="15.75" customHeight="1">
      <c r="E945" s="16"/>
    </row>
    <row r="946" ht="15.75" customHeight="1">
      <c r="E946" s="16"/>
    </row>
    <row r="947" ht="15.75" customHeight="1">
      <c r="E947" s="16"/>
    </row>
    <row r="948" ht="15.75" customHeight="1">
      <c r="E948" s="16"/>
    </row>
    <row r="949" ht="15.75" customHeight="1">
      <c r="E949" s="16"/>
    </row>
    <row r="950" ht="15.75" customHeight="1">
      <c r="E950" s="16"/>
    </row>
    <row r="951" ht="15.75" customHeight="1">
      <c r="E951" s="16"/>
    </row>
    <row r="952" ht="15.75" customHeight="1">
      <c r="E952" s="16"/>
    </row>
    <row r="953" ht="15.75" customHeight="1">
      <c r="E953" s="16"/>
    </row>
    <row r="954" ht="15.75" customHeight="1">
      <c r="E954" s="16"/>
    </row>
    <row r="955" ht="15.75" customHeight="1">
      <c r="E955" s="16"/>
    </row>
    <row r="956" ht="15.75" customHeight="1">
      <c r="E956" s="16"/>
    </row>
    <row r="957" ht="15.75" customHeight="1">
      <c r="E957" s="16"/>
    </row>
    <row r="958" ht="15.75" customHeight="1">
      <c r="E958" s="16"/>
    </row>
    <row r="959" ht="15.75" customHeight="1">
      <c r="E959" s="16"/>
    </row>
    <row r="960" ht="15.75" customHeight="1">
      <c r="E960" s="16"/>
    </row>
    <row r="961" ht="15.75" customHeight="1">
      <c r="E961" s="16"/>
    </row>
    <row r="962" ht="15.75" customHeight="1">
      <c r="E962" s="16"/>
    </row>
    <row r="963" ht="15.75" customHeight="1">
      <c r="E963" s="16"/>
    </row>
    <row r="964" ht="15.75" customHeight="1">
      <c r="E964" s="16"/>
    </row>
    <row r="965" ht="15.75" customHeight="1">
      <c r="E965" s="16"/>
    </row>
    <row r="966" ht="15.75" customHeight="1">
      <c r="E966" s="16"/>
    </row>
    <row r="967" ht="15.75" customHeight="1">
      <c r="E967" s="16"/>
    </row>
    <row r="968" ht="15.75" customHeight="1">
      <c r="E968" s="16"/>
    </row>
    <row r="969" ht="15.75" customHeight="1">
      <c r="E969" s="16"/>
    </row>
    <row r="970" ht="15.75" customHeight="1">
      <c r="E970" s="16"/>
    </row>
    <row r="971" ht="15.75" customHeight="1">
      <c r="E971" s="16"/>
    </row>
    <row r="972" ht="15.75" customHeight="1">
      <c r="E972" s="16"/>
    </row>
    <row r="973" ht="15.75" customHeight="1">
      <c r="E973" s="16"/>
    </row>
    <row r="974" ht="15.75" customHeight="1">
      <c r="E974" s="16"/>
    </row>
    <row r="975" ht="15.75" customHeight="1">
      <c r="E975" s="16"/>
    </row>
    <row r="976" ht="15.75" customHeight="1">
      <c r="E976" s="16"/>
    </row>
    <row r="977" ht="15.75" customHeight="1">
      <c r="E977" s="16"/>
    </row>
    <row r="978" ht="15.75" customHeight="1">
      <c r="E978" s="16"/>
    </row>
    <row r="979" ht="15.75" customHeight="1">
      <c r="E979" s="16"/>
    </row>
    <row r="980" ht="15.75" customHeight="1">
      <c r="E980" s="16"/>
    </row>
    <row r="981" ht="15.75" customHeight="1">
      <c r="E981" s="16"/>
    </row>
    <row r="982" ht="15.75" customHeight="1">
      <c r="E982" s="16"/>
    </row>
    <row r="983" ht="15.75" customHeight="1">
      <c r="E983" s="16"/>
    </row>
    <row r="984" ht="15.75" customHeight="1">
      <c r="E984" s="16"/>
    </row>
    <row r="985" ht="15.75" customHeight="1">
      <c r="E985" s="16"/>
    </row>
    <row r="986" ht="15.75" customHeight="1">
      <c r="E986" s="16"/>
    </row>
    <row r="987" ht="15.75" customHeight="1">
      <c r="E987" s="16"/>
    </row>
    <row r="988" ht="15.75" customHeight="1">
      <c r="E988" s="16"/>
    </row>
    <row r="989" ht="15.75" customHeight="1">
      <c r="E989" s="16"/>
    </row>
    <row r="990" ht="15.75" customHeight="1">
      <c r="E990" s="16"/>
    </row>
    <row r="991" ht="15.75" customHeight="1">
      <c r="E991" s="16"/>
    </row>
    <row r="992" ht="15.75" customHeight="1">
      <c r="E992" s="16"/>
    </row>
    <row r="993" ht="15.75" customHeight="1">
      <c r="E993" s="16"/>
    </row>
    <row r="994" ht="15.75" customHeight="1">
      <c r="E994" s="16"/>
    </row>
    <row r="995" ht="15.75" customHeight="1">
      <c r="E995" s="16"/>
    </row>
    <row r="996" ht="15.75" customHeight="1">
      <c r="E996" s="16"/>
    </row>
    <row r="997" ht="15.75" customHeight="1">
      <c r="E997" s="16"/>
    </row>
    <row r="998" ht="15.75" customHeight="1">
      <c r="E998" s="16"/>
    </row>
    <row r="999" ht="15.75" customHeight="1">
      <c r="E999" s="16"/>
    </row>
    <row r="1000" ht="15.75" customHeight="1">
      <c r="E1000" s="16"/>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8.5"/>
    <col customWidth="1" min="3" max="3" width="83.63"/>
    <col customWidth="1" min="4" max="4" width="70.0"/>
    <col customWidth="1" min="5" max="5" width="12.38"/>
    <col customWidth="1" min="6" max="6" width="60.75"/>
    <col customWidth="1" min="7" max="7" width="48.88"/>
    <col customWidth="1" min="8" max="26" width="8.63"/>
  </cols>
  <sheetData>
    <row r="1">
      <c r="A1" s="6" t="s">
        <v>47</v>
      </c>
      <c r="B1" s="6" t="s">
        <v>523</v>
      </c>
      <c r="C1" s="6" t="s">
        <v>524</v>
      </c>
      <c r="D1" s="6" t="s">
        <v>525</v>
      </c>
      <c r="E1" s="6" t="s">
        <v>526</v>
      </c>
      <c r="F1" s="6" t="s">
        <v>527</v>
      </c>
      <c r="G1" s="6" t="s">
        <v>528</v>
      </c>
    </row>
    <row r="2">
      <c r="A2" s="17" t="s">
        <v>77</v>
      </c>
      <c r="B2" s="17" t="s">
        <v>529</v>
      </c>
      <c r="C2" s="17" t="s">
        <v>530</v>
      </c>
      <c r="D2" s="11" t="s">
        <v>531</v>
      </c>
      <c r="E2" s="17" t="s">
        <v>532</v>
      </c>
      <c r="F2" s="17" t="s">
        <v>533</v>
      </c>
      <c r="G2" s="17" t="s">
        <v>534</v>
      </c>
    </row>
    <row r="3">
      <c r="A3" s="17" t="s">
        <v>77</v>
      </c>
      <c r="B3" s="17" t="s">
        <v>535</v>
      </c>
      <c r="C3" s="17" t="s">
        <v>536</v>
      </c>
      <c r="D3" s="11" t="s">
        <v>537</v>
      </c>
      <c r="E3" s="17" t="s">
        <v>538</v>
      </c>
      <c r="F3" s="17" t="s">
        <v>539</v>
      </c>
      <c r="G3" s="17" t="s">
        <v>540</v>
      </c>
    </row>
    <row r="4">
      <c r="A4" s="17" t="s">
        <v>91</v>
      </c>
      <c r="B4" s="17" t="s">
        <v>541</v>
      </c>
      <c r="C4" s="17" t="s">
        <v>542</v>
      </c>
      <c r="D4" s="11" t="s">
        <v>543</v>
      </c>
      <c r="E4" s="17" t="s">
        <v>544</v>
      </c>
      <c r="F4" s="17" t="s">
        <v>545</v>
      </c>
      <c r="G4" s="17" t="s">
        <v>546</v>
      </c>
    </row>
    <row r="5">
      <c r="A5" s="17" t="s">
        <v>91</v>
      </c>
      <c r="B5" s="17" t="s">
        <v>117</v>
      </c>
      <c r="C5" s="17" t="s">
        <v>547</v>
      </c>
      <c r="D5" s="11" t="s">
        <v>548</v>
      </c>
      <c r="E5" s="17" t="s">
        <v>538</v>
      </c>
      <c r="F5" s="17" t="s">
        <v>549</v>
      </c>
      <c r="G5" s="17" t="s">
        <v>550</v>
      </c>
    </row>
    <row r="6">
      <c r="A6" s="17" t="s">
        <v>104</v>
      </c>
      <c r="B6" s="17" t="s">
        <v>551</v>
      </c>
      <c r="C6" s="17" t="s">
        <v>552</v>
      </c>
      <c r="D6" s="11" t="s">
        <v>553</v>
      </c>
      <c r="E6" s="17" t="s">
        <v>532</v>
      </c>
      <c r="F6" s="17" t="s">
        <v>554</v>
      </c>
      <c r="G6" s="17" t="s">
        <v>555</v>
      </c>
    </row>
    <row r="7">
      <c r="A7" s="17" t="s">
        <v>104</v>
      </c>
      <c r="B7" s="17" t="s">
        <v>556</v>
      </c>
      <c r="C7" s="17" t="s">
        <v>557</v>
      </c>
      <c r="D7" s="11" t="s">
        <v>558</v>
      </c>
      <c r="E7" s="17" t="s">
        <v>538</v>
      </c>
      <c r="F7" s="17" t="s">
        <v>559</v>
      </c>
      <c r="G7" s="17" t="s">
        <v>560</v>
      </c>
    </row>
    <row r="8">
      <c r="D8" s="16"/>
    </row>
    <row r="9">
      <c r="B9" s="18" t="s">
        <v>561</v>
      </c>
      <c r="D9" s="16"/>
    </row>
    <row r="10">
      <c r="D10" s="16"/>
    </row>
    <row r="11">
      <c r="D11" s="16"/>
    </row>
    <row r="12">
      <c r="D12" s="16"/>
    </row>
    <row r="13">
      <c r="D13" s="16"/>
    </row>
    <row r="14">
      <c r="D14" s="16"/>
    </row>
    <row r="15">
      <c r="D15" s="16"/>
    </row>
    <row r="16">
      <c r="D16" s="16"/>
    </row>
    <row r="17">
      <c r="D17" s="16"/>
    </row>
    <row r="18">
      <c r="D18" s="16"/>
    </row>
    <row r="19">
      <c r="D19" s="16"/>
    </row>
    <row r="20">
      <c r="D20" s="16"/>
    </row>
    <row r="21" ht="15.75" customHeight="1">
      <c r="D21" s="16"/>
    </row>
    <row r="22" ht="15.75" customHeight="1">
      <c r="D22" s="16"/>
    </row>
    <row r="23" ht="15.75" customHeight="1">
      <c r="D23" s="16"/>
    </row>
    <row r="24" ht="15.75" customHeight="1">
      <c r="D24" s="16"/>
    </row>
    <row r="25" ht="15.75" customHeight="1">
      <c r="D25" s="16"/>
    </row>
    <row r="26" ht="15.75" customHeight="1">
      <c r="D26" s="16"/>
    </row>
    <row r="27" ht="15.75" customHeight="1">
      <c r="D27" s="16"/>
    </row>
    <row r="28" ht="15.75" customHeight="1">
      <c r="D28" s="16"/>
    </row>
    <row r="29" ht="15.75" customHeight="1">
      <c r="D29" s="16"/>
    </row>
    <row r="30" ht="15.75" customHeight="1">
      <c r="D30" s="16"/>
    </row>
    <row r="31" ht="15.75" customHeight="1">
      <c r="D31" s="16"/>
    </row>
    <row r="32" ht="15.75" customHeight="1">
      <c r="D32" s="16"/>
    </row>
    <row r="33" ht="15.75" customHeight="1">
      <c r="D33" s="16"/>
    </row>
    <row r="34" ht="15.75" customHeight="1">
      <c r="D34" s="16"/>
    </row>
    <row r="35" ht="15.75" customHeight="1">
      <c r="D35" s="16"/>
    </row>
    <row r="36" ht="15.75" customHeight="1">
      <c r="D36" s="16"/>
    </row>
    <row r="37" ht="15.75" customHeight="1">
      <c r="D37" s="16"/>
    </row>
    <row r="38" ht="15.75" customHeight="1">
      <c r="D38" s="16"/>
    </row>
    <row r="39" ht="15.75" customHeight="1">
      <c r="D39" s="16"/>
    </row>
    <row r="40" ht="15.75" customHeight="1">
      <c r="D40" s="16"/>
    </row>
    <row r="41" ht="15.75" customHeight="1">
      <c r="D41" s="16"/>
    </row>
    <row r="42" ht="15.75" customHeight="1">
      <c r="D42" s="16"/>
    </row>
    <row r="43" ht="15.75" customHeight="1">
      <c r="D43" s="16"/>
    </row>
    <row r="44" ht="15.75" customHeight="1">
      <c r="D44" s="16"/>
    </row>
    <row r="45" ht="15.75" customHeight="1">
      <c r="D45" s="16"/>
    </row>
    <row r="46" ht="15.75" customHeight="1">
      <c r="D46" s="16"/>
    </row>
    <row r="47" ht="15.75" customHeight="1">
      <c r="D47" s="16"/>
    </row>
    <row r="48" ht="15.75" customHeight="1">
      <c r="D48" s="16"/>
    </row>
    <row r="49" ht="15.75" customHeight="1">
      <c r="D49" s="16"/>
    </row>
    <row r="50" ht="15.75" customHeight="1">
      <c r="D50" s="16"/>
    </row>
    <row r="51" ht="15.75" customHeight="1">
      <c r="D51" s="16"/>
    </row>
    <row r="52" ht="15.75" customHeight="1">
      <c r="D52" s="16"/>
    </row>
    <row r="53" ht="15.75" customHeight="1">
      <c r="D53" s="16"/>
    </row>
    <row r="54" ht="15.75" customHeight="1">
      <c r="D54" s="16"/>
    </row>
    <row r="55" ht="15.75" customHeight="1">
      <c r="D55" s="16"/>
    </row>
    <row r="56" ht="15.75" customHeight="1">
      <c r="D56" s="16"/>
    </row>
    <row r="57" ht="15.75" customHeight="1">
      <c r="D57" s="16"/>
    </row>
    <row r="58" ht="15.75" customHeight="1">
      <c r="D58" s="16"/>
    </row>
    <row r="59" ht="15.75" customHeight="1">
      <c r="D59" s="16"/>
    </row>
    <row r="60" ht="15.75" customHeight="1">
      <c r="D60" s="16"/>
    </row>
    <row r="61" ht="15.75" customHeight="1">
      <c r="D61" s="16"/>
    </row>
    <row r="62" ht="15.75" customHeight="1">
      <c r="D62" s="16"/>
    </row>
    <row r="63" ht="15.75" customHeight="1">
      <c r="D63" s="16"/>
    </row>
    <row r="64" ht="15.75" customHeight="1">
      <c r="D64" s="16"/>
    </row>
    <row r="65" ht="15.75" customHeight="1">
      <c r="D65" s="16"/>
    </row>
    <row r="66" ht="15.75" customHeight="1">
      <c r="D66" s="16"/>
    </row>
    <row r="67" ht="15.75" customHeight="1">
      <c r="D67" s="16"/>
    </row>
    <row r="68" ht="15.75" customHeight="1">
      <c r="D68" s="16"/>
    </row>
    <row r="69" ht="15.75" customHeight="1">
      <c r="D69" s="16"/>
    </row>
    <row r="70" ht="15.75" customHeight="1">
      <c r="D70" s="16"/>
    </row>
    <row r="71" ht="15.75" customHeight="1">
      <c r="D71" s="16"/>
    </row>
    <row r="72" ht="15.75" customHeight="1">
      <c r="D72" s="16"/>
    </row>
    <row r="73" ht="15.75" customHeight="1">
      <c r="D73" s="16"/>
    </row>
    <row r="74" ht="15.75" customHeight="1">
      <c r="D74" s="16"/>
    </row>
    <row r="75" ht="15.75" customHeight="1">
      <c r="D75" s="16"/>
    </row>
    <row r="76" ht="15.75" customHeight="1">
      <c r="D76" s="16"/>
    </row>
    <row r="77" ht="15.75" customHeight="1">
      <c r="D77" s="16"/>
    </row>
    <row r="78" ht="15.75" customHeight="1">
      <c r="D78" s="16"/>
    </row>
    <row r="79" ht="15.75" customHeight="1">
      <c r="D79" s="16"/>
    </row>
    <row r="80" ht="15.75" customHeight="1">
      <c r="D80" s="16"/>
    </row>
    <row r="81" ht="15.75" customHeight="1">
      <c r="D81" s="16"/>
    </row>
    <row r="82" ht="15.75" customHeight="1">
      <c r="D82" s="16"/>
    </row>
    <row r="83" ht="15.75" customHeight="1">
      <c r="D83" s="16"/>
    </row>
    <row r="84" ht="15.75" customHeight="1">
      <c r="D84" s="16"/>
    </row>
    <row r="85" ht="15.75" customHeight="1">
      <c r="D85" s="16"/>
    </row>
    <row r="86" ht="15.75" customHeight="1">
      <c r="D86" s="16"/>
    </row>
    <row r="87" ht="15.75" customHeight="1">
      <c r="D87" s="16"/>
    </row>
    <row r="88" ht="15.75" customHeight="1">
      <c r="D88" s="16"/>
    </row>
    <row r="89" ht="15.75" customHeight="1">
      <c r="D89" s="16"/>
    </row>
    <row r="90" ht="15.75" customHeight="1">
      <c r="D90" s="16"/>
    </row>
    <row r="91" ht="15.75" customHeight="1">
      <c r="D91" s="16"/>
    </row>
    <row r="92" ht="15.75" customHeight="1">
      <c r="D92" s="16"/>
    </row>
    <row r="93" ht="15.75" customHeight="1">
      <c r="D93" s="16"/>
    </row>
    <row r="94" ht="15.75" customHeight="1">
      <c r="D94" s="16"/>
    </row>
    <row r="95" ht="15.75" customHeight="1">
      <c r="D95" s="16"/>
    </row>
    <row r="96" ht="15.75" customHeight="1">
      <c r="D96" s="16"/>
    </row>
    <row r="97" ht="15.75" customHeight="1">
      <c r="D97" s="16"/>
    </row>
    <row r="98" ht="15.75" customHeight="1">
      <c r="D98" s="16"/>
    </row>
    <row r="99" ht="15.75" customHeight="1">
      <c r="D99" s="16"/>
    </row>
    <row r="100" ht="15.75" customHeight="1">
      <c r="D100" s="16"/>
    </row>
    <row r="101" ht="15.75" customHeight="1">
      <c r="D101" s="16"/>
    </row>
    <row r="102" ht="15.75" customHeight="1">
      <c r="D102" s="16"/>
    </row>
    <row r="103" ht="15.75" customHeight="1">
      <c r="D103" s="16"/>
    </row>
    <row r="104" ht="15.75" customHeight="1">
      <c r="D104" s="16"/>
    </row>
    <row r="105" ht="15.75" customHeight="1">
      <c r="D105" s="16"/>
    </row>
    <row r="106" ht="15.75" customHeight="1">
      <c r="D106" s="16"/>
    </row>
    <row r="107" ht="15.75" customHeight="1">
      <c r="D107" s="16"/>
    </row>
    <row r="108" ht="15.75" customHeight="1">
      <c r="D108" s="16"/>
    </row>
    <row r="109" ht="15.75" customHeight="1">
      <c r="D109" s="16"/>
    </row>
    <row r="110" ht="15.75" customHeight="1">
      <c r="D110" s="16"/>
    </row>
    <row r="111" ht="15.75" customHeight="1">
      <c r="D111" s="16"/>
    </row>
    <row r="112" ht="15.75" customHeight="1">
      <c r="D112" s="16"/>
    </row>
    <row r="113" ht="15.75" customHeight="1">
      <c r="D113" s="16"/>
    </row>
    <row r="114" ht="15.75" customHeight="1">
      <c r="D114" s="16"/>
    </row>
    <row r="115" ht="15.75" customHeight="1">
      <c r="D115" s="16"/>
    </row>
    <row r="116" ht="15.75" customHeight="1">
      <c r="D116" s="16"/>
    </row>
    <row r="117" ht="15.75" customHeight="1">
      <c r="D117" s="16"/>
    </row>
    <row r="118" ht="15.75" customHeight="1">
      <c r="D118" s="16"/>
    </row>
    <row r="119" ht="15.75" customHeight="1">
      <c r="D119" s="16"/>
    </row>
    <row r="120" ht="15.75" customHeight="1">
      <c r="D120" s="16"/>
    </row>
    <row r="121" ht="15.75" customHeight="1">
      <c r="D121" s="16"/>
    </row>
    <row r="122" ht="15.75" customHeight="1">
      <c r="D122" s="16"/>
    </row>
    <row r="123" ht="15.75" customHeight="1">
      <c r="D123" s="16"/>
    </row>
    <row r="124" ht="15.75" customHeight="1">
      <c r="D124" s="16"/>
    </row>
    <row r="125" ht="15.75" customHeight="1">
      <c r="D125" s="16"/>
    </row>
    <row r="126" ht="15.75" customHeight="1">
      <c r="D126" s="16"/>
    </row>
    <row r="127" ht="15.75" customHeight="1">
      <c r="D127" s="16"/>
    </row>
    <row r="128" ht="15.75" customHeight="1">
      <c r="D128" s="16"/>
    </row>
    <row r="129" ht="15.75" customHeight="1">
      <c r="D129" s="16"/>
    </row>
    <row r="130" ht="15.75" customHeight="1">
      <c r="D130" s="16"/>
    </row>
    <row r="131" ht="15.75" customHeight="1">
      <c r="D131" s="16"/>
    </row>
    <row r="132" ht="15.75" customHeight="1">
      <c r="D132" s="16"/>
    </row>
    <row r="133" ht="15.75" customHeight="1">
      <c r="D133" s="16"/>
    </row>
    <row r="134" ht="15.75" customHeight="1">
      <c r="D134" s="16"/>
    </row>
    <row r="135" ht="15.75" customHeight="1">
      <c r="D135" s="16"/>
    </row>
    <row r="136" ht="15.75" customHeight="1">
      <c r="D136" s="16"/>
    </row>
    <row r="137" ht="15.75" customHeight="1">
      <c r="D137" s="16"/>
    </row>
    <row r="138" ht="15.75" customHeight="1">
      <c r="D138" s="16"/>
    </row>
    <row r="139" ht="15.75" customHeight="1">
      <c r="D139" s="16"/>
    </row>
    <row r="140" ht="15.75" customHeight="1">
      <c r="D140" s="16"/>
    </row>
    <row r="141" ht="15.75" customHeight="1">
      <c r="D141" s="16"/>
    </row>
    <row r="142" ht="15.75" customHeight="1">
      <c r="D142" s="16"/>
    </row>
    <row r="143" ht="15.75" customHeight="1">
      <c r="D143" s="16"/>
    </row>
    <row r="144" ht="15.75" customHeight="1">
      <c r="D144" s="16"/>
    </row>
    <row r="145" ht="15.75" customHeight="1">
      <c r="D145" s="16"/>
    </row>
    <row r="146" ht="15.75" customHeight="1">
      <c r="D146" s="16"/>
    </row>
    <row r="147" ht="15.75" customHeight="1">
      <c r="D147" s="16"/>
    </row>
    <row r="148" ht="15.75" customHeight="1">
      <c r="D148" s="16"/>
    </row>
    <row r="149" ht="15.75" customHeight="1">
      <c r="D149" s="16"/>
    </row>
    <row r="150" ht="15.75" customHeight="1">
      <c r="D150" s="16"/>
    </row>
    <row r="151" ht="15.75" customHeight="1">
      <c r="D151" s="16"/>
    </row>
    <row r="152" ht="15.75" customHeight="1">
      <c r="D152" s="16"/>
    </row>
    <row r="153" ht="15.75" customHeight="1">
      <c r="D153" s="16"/>
    </row>
    <row r="154" ht="15.75" customHeight="1">
      <c r="D154" s="16"/>
    </row>
    <row r="155" ht="15.75" customHeight="1">
      <c r="D155" s="16"/>
    </row>
    <row r="156" ht="15.75" customHeight="1">
      <c r="D156" s="16"/>
    </row>
    <row r="157" ht="15.75" customHeight="1">
      <c r="D157" s="16"/>
    </row>
    <row r="158" ht="15.75" customHeight="1">
      <c r="D158" s="16"/>
    </row>
    <row r="159" ht="15.75" customHeight="1">
      <c r="D159" s="16"/>
    </row>
    <row r="160" ht="15.75" customHeight="1">
      <c r="D160" s="16"/>
    </row>
    <row r="161" ht="15.75" customHeight="1">
      <c r="D161" s="16"/>
    </row>
    <row r="162" ht="15.75" customHeight="1">
      <c r="D162" s="16"/>
    </row>
    <row r="163" ht="15.75" customHeight="1">
      <c r="D163" s="16"/>
    </row>
    <row r="164" ht="15.75" customHeight="1">
      <c r="D164" s="16"/>
    </row>
    <row r="165" ht="15.75" customHeight="1">
      <c r="D165" s="16"/>
    </row>
    <row r="166" ht="15.75" customHeight="1">
      <c r="D166" s="16"/>
    </row>
    <row r="167" ht="15.75" customHeight="1">
      <c r="D167" s="16"/>
    </row>
    <row r="168" ht="15.75" customHeight="1">
      <c r="D168" s="16"/>
    </row>
    <row r="169" ht="15.75" customHeight="1">
      <c r="D169" s="16"/>
    </row>
    <row r="170" ht="15.75" customHeight="1">
      <c r="D170" s="16"/>
    </row>
    <row r="171" ht="15.75" customHeight="1">
      <c r="D171" s="16"/>
    </row>
    <row r="172" ht="15.75" customHeight="1">
      <c r="D172" s="16"/>
    </row>
    <row r="173" ht="15.75" customHeight="1">
      <c r="D173" s="16"/>
    </row>
    <row r="174" ht="15.75" customHeight="1">
      <c r="D174" s="16"/>
    </row>
    <row r="175" ht="15.75" customHeight="1">
      <c r="D175" s="16"/>
    </row>
    <row r="176" ht="15.75" customHeight="1">
      <c r="D176" s="16"/>
    </row>
    <row r="177" ht="15.75" customHeight="1">
      <c r="D177" s="16"/>
    </row>
    <row r="178" ht="15.75" customHeight="1">
      <c r="D178" s="16"/>
    </row>
    <row r="179" ht="15.75" customHeight="1">
      <c r="D179" s="16"/>
    </row>
    <row r="180" ht="15.75" customHeight="1">
      <c r="D180" s="16"/>
    </row>
    <row r="181" ht="15.75" customHeight="1">
      <c r="D181" s="16"/>
    </row>
    <row r="182" ht="15.75" customHeight="1">
      <c r="D182" s="16"/>
    </row>
    <row r="183" ht="15.75" customHeight="1">
      <c r="D183" s="16"/>
    </row>
    <row r="184" ht="15.75" customHeight="1">
      <c r="D184" s="16"/>
    </row>
    <row r="185" ht="15.75" customHeight="1">
      <c r="D185" s="16"/>
    </row>
    <row r="186" ht="15.75" customHeight="1">
      <c r="D186" s="16"/>
    </row>
    <row r="187" ht="15.75" customHeight="1">
      <c r="D187" s="16"/>
    </row>
    <row r="188" ht="15.75" customHeight="1">
      <c r="D188" s="16"/>
    </row>
    <row r="189" ht="15.75" customHeight="1">
      <c r="D189" s="16"/>
    </row>
    <row r="190" ht="15.75" customHeight="1">
      <c r="D190" s="16"/>
    </row>
    <row r="191" ht="15.75" customHeight="1">
      <c r="D191" s="16"/>
    </row>
    <row r="192" ht="15.75" customHeight="1">
      <c r="D192" s="16"/>
    </row>
    <row r="193" ht="15.75" customHeight="1">
      <c r="D193" s="16"/>
    </row>
    <row r="194" ht="15.75" customHeight="1">
      <c r="D194" s="16"/>
    </row>
    <row r="195" ht="15.75" customHeight="1">
      <c r="D195" s="16"/>
    </row>
    <row r="196" ht="15.75" customHeight="1">
      <c r="D196" s="16"/>
    </row>
    <row r="197" ht="15.75" customHeight="1">
      <c r="D197" s="16"/>
    </row>
    <row r="198" ht="15.75" customHeight="1">
      <c r="D198" s="16"/>
    </row>
    <row r="199" ht="15.75" customHeight="1">
      <c r="D199" s="16"/>
    </row>
    <row r="200" ht="15.75" customHeight="1">
      <c r="D200" s="16"/>
    </row>
    <row r="201" ht="15.75" customHeight="1">
      <c r="D201" s="16"/>
    </row>
    <row r="202" ht="15.75" customHeight="1">
      <c r="D202" s="16"/>
    </row>
    <row r="203" ht="15.75" customHeight="1">
      <c r="D203" s="16"/>
    </row>
    <row r="204" ht="15.75" customHeight="1">
      <c r="D204" s="16"/>
    </row>
    <row r="205" ht="15.75" customHeight="1">
      <c r="D205" s="16"/>
    </row>
    <row r="206" ht="15.75" customHeight="1">
      <c r="D206" s="16"/>
    </row>
    <row r="207" ht="15.75" customHeight="1">
      <c r="D207" s="16"/>
    </row>
    <row r="208" ht="15.75" customHeight="1">
      <c r="D208" s="16"/>
    </row>
    <row r="209" ht="15.75" customHeight="1">
      <c r="D209" s="16"/>
    </row>
    <row r="210" ht="15.75" customHeight="1">
      <c r="D210" s="16"/>
    </row>
    <row r="211" ht="15.75" customHeight="1">
      <c r="D211" s="16"/>
    </row>
    <row r="212" ht="15.75" customHeight="1">
      <c r="D212" s="16"/>
    </row>
    <row r="213" ht="15.75" customHeight="1">
      <c r="D213" s="16"/>
    </row>
    <row r="214" ht="15.75" customHeight="1">
      <c r="D214" s="16"/>
    </row>
    <row r="215" ht="15.75" customHeight="1">
      <c r="D215" s="16"/>
    </row>
    <row r="216" ht="15.75" customHeight="1">
      <c r="D216" s="16"/>
    </row>
    <row r="217" ht="15.75" customHeight="1">
      <c r="D217" s="16"/>
    </row>
    <row r="218" ht="15.75" customHeight="1">
      <c r="D218" s="16"/>
    </row>
    <row r="219" ht="15.75" customHeight="1">
      <c r="D219" s="16"/>
    </row>
    <row r="220" ht="15.75" customHeight="1">
      <c r="D220" s="16"/>
    </row>
    <row r="221" ht="15.75" customHeight="1">
      <c r="D221" s="16"/>
    </row>
    <row r="222" ht="15.75" customHeight="1">
      <c r="D222" s="16"/>
    </row>
    <row r="223" ht="15.75" customHeight="1">
      <c r="D223" s="16"/>
    </row>
    <row r="224" ht="15.75" customHeight="1">
      <c r="D224" s="16"/>
    </row>
    <row r="225" ht="15.75" customHeight="1">
      <c r="D225" s="16"/>
    </row>
    <row r="226" ht="15.75" customHeight="1">
      <c r="D226" s="16"/>
    </row>
    <row r="227" ht="15.75" customHeight="1">
      <c r="D227" s="16"/>
    </row>
    <row r="228" ht="15.75" customHeight="1">
      <c r="D228" s="16"/>
    </row>
    <row r="229" ht="15.75" customHeight="1">
      <c r="D229" s="16"/>
    </row>
    <row r="230" ht="15.75" customHeight="1">
      <c r="D230" s="16"/>
    </row>
    <row r="231" ht="15.75" customHeight="1">
      <c r="D231" s="16"/>
    </row>
    <row r="232" ht="15.75" customHeight="1">
      <c r="D232" s="16"/>
    </row>
    <row r="233" ht="15.75" customHeight="1">
      <c r="D233" s="16"/>
    </row>
    <row r="234" ht="15.75" customHeight="1">
      <c r="D234" s="16"/>
    </row>
    <row r="235" ht="15.75" customHeight="1">
      <c r="D235" s="16"/>
    </row>
    <row r="236" ht="15.75" customHeight="1">
      <c r="D236" s="16"/>
    </row>
    <row r="237" ht="15.75" customHeight="1">
      <c r="D237" s="16"/>
    </row>
    <row r="238" ht="15.75" customHeight="1">
      <c r="D238" s="16"/>
    </row>
    <row r="239" ht="15.75" customHeight="1">
      <c r="D239" s="16"/>
    </row>
    <row r="240" ht="15.75" customHeight="1">
      <c r="D240" s="16"/>
    </row>
    <row r="241" ht="15.75" customHeight="1">
      <c r="D241" s="16"/>
    </row>
    <row r="242" ht="15.75" customHeight="1">
      <c r="D242" s="16"/>
    </row>
    <row r="243" ht="15.75" customHeight="1">
      <c r="D243" s="16"/>
    </row>
    <row r="244" ht="15.75" customHeight="1">
      <c r="D244" s="16"/>
    </row>
    <row r="245" ht="15.75" customHeight="1">
      <c r="D245" s="16"/>
    </row>
    <row r="246" ht="15.75" customHeight="1">
      <c r="D246" s="16"/>
    </row>
    <row r="247" ht="15.75" customHeight="1">
      <c r="D247" s="16"/>
    </row>
    <row r="248" ht="15.75" customHeight="1">
      <c r="D248" s="16"/>
    </row>
    <row r="249" ht="15.75" customHeight="1">
      <c r="D249" s="16"/>
    </row>
    <row r="250" ht="15.75" customHeight="1">
      <c r="D250" s="16"/>
    </row>
    <row r="251" ht="15.75" customHeight="1">
      <c r="D251" s="16"/>
    </row>
    <row r="252" ht="15.75" customHeight="1">
      <c r="D252" s="16"/>
    </row>
    <row r="253" ht="15.75" customHeight="1">
      <c r="D253" s="16"/>
    </row>
    <row r="254" ht="15.75" customHeight="1">
      <c r="D254" s="16"/>
    </row>
    <row r="255" ht="15.75" customHeight="1">
      <c r="D255" s="16"/>
    </row>
    <row r="256" ht="15.75" customHeight="1">
      <c r="D256" s="16"/>
    </row>
    <row r="257" ht="15.75" customHeight="1">
      <c r="D257" s="16"/>
    </row>
    <row r="258" ht="15.75" customHeight="1">
      <c r="D258" s="16"/>
    </row>
    <row r="259" ht="15.75" customHeight="1">
      <c r="D259" s="16"/>
    </row>
    <row r="260" ht="15.75" customHeight="1">
      <c r="D260" s="16"/>
    </row>
    <row r="261" ht="15.75" customHeight="1">
      <c r="D261" s="16"/>
    </row>
    <row r="262" ht="15.75" customHeight="1">
      <c r="D262" s="16"/>
    </row>
    <row r="263" ht="15.75" customHeight="1">
      <c r="D263" s="16"/>
    </row>
    <row r="264" ht="15.75" customHeight="1">
      <c r="D264" s="16"/>
    </row>
    <row r="265" ht="15.75" customHeight="1">
      <c r="D265" s="16"/>
    </row>
    <row r="266" ht="15.75" customHeight="1">
      <c r="D266" s="16"/>
    </row>
    <row r="267" ht="15.75" customHeight="1">
      <c r="D267" s="16"/>
    </row>
    <row r="268" ht="15.75" customHeight="1">
      <c r="D268" s="16"/>
    </row>
    <row r="269" ht="15.75" customHeight="1">
      <c r="D269" s="16"/>
    </row>
    <row r="270" ht="15.75" customHeight="1">
      <c r="D270" s="16"/>
    </row>
    <row r="271" ht="15.75" customHeight="1">
      <c r="D271" s="16"/>
    </row>
    <row r="272" ht="15.75" customHeight="1">
      <c r="D272" s="16"/>
    </row>
    <row r="273" ht="15.75" customHeight="1">
      <c r="D273" s="16"/>
    </row>
    <row r="274" ht="15.75" customHeight="1">
      <c r="D274" s="16"/>
    </row>
    <row r="275" ht="15.75" customHeight="1">
      <c r="D275" s="16"/>
    </row>
    <row r="276" ht="15.75" customHeight="1">
      <c r="D276" s="16"/>
    </row>
    <row r="277" ht="15.75" customHeight="1">
      <c r="D277" s="16"/>
    </row>
    <row r="278" ht="15.75" customHeight="1">
      <c r="D278" s="16"/>
    </row>
    <row r="279" ht="15.75" customHeight="1">
      <c r="D279" s="16"/>
    </row>
    <row r="280" ht="15.75" customHeight="1">
      <c r="D280" s="16"/>
    </row>
    <row r="281" ht="15.75" customHeight="1">
      <c r="D281" s="16"/>
    </row>
    <row r="282" ht="15.75" customHeight="1">
      <c r="D282" s="16"/>
    </row>
    <row r="283" ht="15.75" customHeight="1">
      <c r="D283" s="16"/>
    </row>
    <row r="284" ht="15.75" customHeight="1">
      <c r="D284" s="16"/>
    </row>
    <row r="285" ht="15.75" customHeight="1">
      <c r="D285" s="16"/>
    </row>
    <row r="286" ht="15.75" customHeight="1">
      <c r="D286" s="16"/>
    </row>
    <row r="287" ht="15.75" customHeight="1">
      <c r="D287" s="16"/>
    </row>
    <row r="288" ht="15.75" customHeight="1">
      <c r="D288" s="16"/>
    </row>
    <row r="289" ht="15.75" customHeight="1">
      <c r="D289" s="16"/>
    </row>
    <row r="290" ht="15.75" customHeight="1">
      <c r="D290" s="16"/>
    </row>
    <row r="291" ht="15.75" customHeight="1">
      <c r="D291" s="16"/>
    </row>
    <row r="292" ht="15.75" customHeight="1">
      <c r="D292" s="16"/>
    </row>
    <row r="293" ht="15.75" customHeight="1">
      <c r="D293" s="16"/>
    </row>
    <row r="294" ht="15.75" customHeight="1">
      <c r="D294" s="16"/>
    </row>
    <row r="295" ht="15.75" customHeight="1">
      <c r="D295" s="16"/>
    </row>
    <row r="296" ht="15.75" customHeight="1">
      <c r="D296" s="16"/>
    </row>
    <row r="297" ht="15.75" customHeight="1">
      <c r="D297" s="16"/>
    </row>
    <row r="298" ht="15.75" customHeight="1">
      <c r="D298" s="16"/>
    </row>
    <row r="299" ht="15.75" customHeight="1">
      <c r="D299" s="16"/>
    </row>
    <row r="300" ht="15.75" customHeight="1">
      <c r="D300" s="16"/>
    </row>
    <row r="301" ht="15.75" customHeight="1">
      <c r="D301" s="16"/>
    </row>
    <row r="302" ht="15.75" customHeight="1">
      <c r="D302" s="16"/>
    </row>
    <row r="303" ht="15.75" customHeight="1">
      <c r="D303" s="16"/>
    </row>
    <row r="304" ht="15.75" customHeight="1">
      <c r="D304" s="16"/>
    </row>
    <row r="305" ht="15.75" customHeight="1">
      <c r="D305" s="16"/>
    </row>
    <row r="306" ht="15.75" customHeight="1">
      <c r="D306" s="16"/>
    </row>
    <row r="307" ht="15.75" customHeight="1">
      <c r="D307" s="16"/>
    </row>
    <row r="308" ht="15.75" customHeight="1">
      <c r="D308" s="16"/>
    </row>
    <row r="309" ht="15.75" customHeight="1">
      <c r="D309" s="16"/>
    </row>
    <row r="310" ht="15.75" customHeight="1">
      <c r="D310" s="16"/>
    </row>
    <row r="311" ht="15.75" customHeight="1">
      <c r="D311" s="16"/>
    </row>
    <row r="312" ht="15.75" customHeight="1">
      <c r="D312" s="16"/>
    </row>
    <row r="313" ht="15.75" customHeight="1">
      <c r="D313" s="16"/>
    </row>
    <row r="314" ht="15.75" customHeight="1">
      <c r="D314" s="16"/>
    </row>
    <row r="315" ht="15.75" customHeight="1">
      <c r="D315" s="16"/>
    </row>
    <row r="316" ht="15.75" customHeight="1">
      <c r="D316" s="16"/>
    </row>
    <row r="317" ht="15.75" customHeight="1">
      <c r="D317" s="16"/>
    </row>
    <row r="318" ht="15.75" customHeight="1">
      <c r="D318" s="16"/>
    </row>
    <row r="319" ht="15.75" customHeight="1">
      <c r="D319" s="16"/>
    </row>
    <row r="320" ht="15.75" customHeight="1">
      <c r="D320" s="16"/>
    </row>
    <row r="321" ht="15.75" customHeight="1">
      <c r="D321" s="16"/>
    </row>
    <row r="322" ht="15.75" customHeight="1">
      <c r="D322" s="16"/>
    </row>
    <row r="323" ht="15.75" customHeight="1">
      <c r="D323" s="16"/>
    </row>
    <row r="324" ht="15.75" customHeight="1">
      <c r="D324" s="16"/>
    </row>
    <row r="325" ht="15.75" customHeight="1">
      <c r="D325" s="16"/>
    </row>
    <row r="326" ht="15.75" customHeight="1">
      <c r="D326" s="16"/>
    </row>
    <row r="327" ht="15.75" customHeight="1">
      <c r="D327" s="16"/>
    </row>
    <row r="328" ht="15.75" customHeight="1">
      <c r="D328" s="16"/>
    </row>
    <row r="329" ht="15.75" customHeight="1">
      <c r="D329" s="16"/>
    </row>
    <row r="330" ht="15.75" customHeight="1">
      <c r="D330" s="16"/>
    </row>
    <row r="331" ht="15.75" customHeight="1">
      <c r="D331" s="16"/>
    </row>
    <row r="332" ht="15.75" customHeight="1">
      <c r="D332" s="16"/>
    </row>
    <row r="333" ht="15.75" customHeight="1">
      <c r="D333" s="16"/>
    </row>
    <row r="334" ht="15.75" customHeight="1">
      <c r="D334" s="16"/>
    </row>
    <row r="335" ht="15.75" customHeight="1">
      <c r="D335" s="16"/>
    </row>
    <row r="336" ht="15.75" customHeight="1">
      <c r="D336" s="16"/>
    </row>
    <row r="337" ht="15.75" customHeight="1">
      <c r="D337" s="16"/>
    </row>
    <row r="338" ht="15.75" customHeight="1">
      <c r="D338" s="16"/>
    </row>
    <row r="339" ht="15.75" customHeight="1">
      <c r="D339" s="16"/>
    </row>
    <row r="340" ht="15.75" customHeight="1">
      <c r="D340" s="16"/>
    </row>
    <row r="341" ht="15.75" customHeight="1">
      <c r="D341" s="16"/>
    </row>
    <row r="342" ht="15.75" customHeight="1">
      <c r="D342" s="16"/>
    </row>
    <row r="343" ht="15.75" customHeight="1">
      <c r="D343" s="16"/>
    </row>
    <row r="344" ht="15.75" customHeight="1">
      <c r="D344" s="16"/>
    </row>
    <row r="345" ht="15.75" customHeight="1">
      <c r="D345" s="16"/>
    </row>
    <row r="346" ht="15.75" customHeight="1">
      <c r="D346" s="16"/>
    </row>
    <row r="347" ht="15.75" customHeight="1">
      <c r="D347" s="16"/>
    </row>
    <row r="348" ht="15.75" customHeight="1">
      <c r="D348" s="16"/>
    </row>
    <row r="349" ht="15.75" customHeight="1">
      <c r="D349" s="16"/>
    </row>
    <row r="350" ht="15.75" customHeight="1">
      <c r="D350" s="16"/>
    </row>
    <row r="351" ht="15.75" customHeight="1">
      <c r="D351" s="16"/>
    </row>
    <row r="352" ht="15.75" customHeight="1">
      <c r="D352" s="16"/>
    </row>
    <row r="353" ht="15.75" customHeight="1">
      <c r="D353" s="16"/>
    </row>
    <row r="354" ht="15.75" customHeight="1">
      <c r="D354" s="16"/>
    </row>
    <row r="355" ht="15.75" customHeight="1">
      <c r="D355" s="16"/>
    </row>
    <row r="356" ht="15.75" customHeight="1">
      <c r="D356" s="16"/>
    </row>
    <row r="357" ht="15.75" customHeight="1">
      <c r="D357" s="16"/>
    </row>
    <row r="358" ht="15.75" customHeight="1">
      <c r="D358" s="16"/>
    </row>
    <row r="359" ht="15.75" customHeight="1">
      <c r="D359" s="16"/>
    </row>
    <row r="360" ht="15.75" customHeight="1">
      <c r="D360" s="16"/>
    </row>
    <row r="361" ht="15.75" customHeight="1">
      <c r="D361" s="16"/>
    </row>
    <row r="362" ht="15.75" customHeight="1">
      <c r="D362" s="16"/>
    </row>
    <row r="363" ht="15.75" customHeight="1">
      <c r="D363" s="16"/>
    </row>
    <row r="364" ht="15.75" customHeight="1">
      <c r="D364" s="16"/>
    </row>
    <row r="365" ht="15.75" customHeight="1">
      <c r="D365" s="16"/>
    </row>
    <row r="366" ht="15.75" customHeight="1">
      <c r="D366" s="16"/>
    </row>
    <row r="367" ht="15.75" customHeight="1">
      <c r="D367" s="16"/>
    </row>
    <row r="368" ht="15.75" customHeight="1">
      <c r="D368" s="16"/>
    </row>
    <row r="369" ht="15.75" customHeight="1">
      <c r="D369" s="16"/>
    </row>
    <row r="370" ht="15.75" customHeight="1">
      <c r="D370" s="16"/>
    </row>
    <row r="371" ht="15.75" customHeight="1">
      <c r="D371" s="16"/>
    </row>
    <row r="372" ht="15.75" customHeight="1">
      <c r="D372" s="16"/>
    </row>
    <row r="373" ht="15.75" customHeight="1">
      <c r="D373" s="16"/>
    </row>
    <row r="374" ht="15.75" customHeight="1">
      <c r="D374" s="16"/>
    </row>
    <row r="375" ht="15.75" customHeight="1">
      <c r="D375" s="16"/>
    </row>
    <row r="376" ht="15.75" customHeight="1">
      <c r="D376" s="16"/>
    </row>
    <row r="377" ht="15.75" customHeight="1">
      <c r="D377" s="16"/>
    </row>
    <row r="378" ht="15.75" customHeight="1">
      <c r="D378" s="16"/>
    </row>
    <row r="379" ht="15.75" customHeight="1">
      <c r="D379" s="16"/>
    </row>
    <row r="380" ht="15.75" customHeight="1">
      <c r="D380" s="16"/>
    </row>
    <row r="381" ht="15.75" customHeight="1">
      <c r="D381" s="16"/>
    </row>
    <row r="382" ht="15.75" customHeight="1">
      <c r="D382" s="16"/>
    </row>
    <row r="383" ht="15.75" customHeight="1">
      <c r="D383" s="16"/>
    </row>
    <row r="384" ht="15.75" customHeight="1">
      <c r="D384" s="16"/>
    </row>
    <row r="385" ht="15.75" customHeight="1">
      <c r="D385" s="16"/>
    </row>
    <row r="386" ht="15.75" customHeight="1">
      <c r="D386" s="16"/>
    </row>
    <row r="387" ht="15.75" customHeight="1">
      <c r="D387" s="16"/>
    </row>
    <row r="388" ht="15.75" customHeight="1">
      <c r="D388" s="16"/>
    </row>
    <row r="389" ht="15.75" customHeight="1">
      <c r="D389" s="16"/>
    </row>
    <row r="390" ht="15.75" customHeight="1">
      <c r="D390" s="16"/>
    </row>
    <row r="391" ht="15.75" customHeight="1">
      <c r="D391" s="16"/>
    </row>
    <row r="392" ht="15.75" customHeight="1">
      <c r="D392" s="16"/>
    </row>
    <row r="393" ht="15.75" customHeight="1">
      <c r="D393" s="16"/>
    </row>
    <row r="394" ht="15.75" customHeight="1">
      <c r="D394" s="16"/>
    </row>
    <row r="395" ht="15.75" customHeight="1">
      <c r="D395" s="16"/>
    </row>
    <row r="396" ht="15.75" customHeight="1">
      <c r="D396" s="16"/>
    </row>
    <row r="397" ht="15.75" customHeight="1">
      <c r="D397" s="16"/>
    </row>
    <row r="398" ht="15.75" customHeight="1">
      <c r="D398" s="16"/>
    </row>
    <row r="399" ht="15.75" customHeight="1">
      <c r="D399" s="16"/>
    </row>
    <row r="400" ht="15.75" customHeight="1">
      <c r="D400" s="16"/>
    </row>
    <row r="401" ht="15.75" customHeight="1">
      <c r="D401" s="16"/>
    </row>
    <row r="402" ht="15.75" customHeight="1">
      <c r="D402" s="16"/>
    </row>
    <row r="403" ht="15.75" customHeight="1">
      <c r="D403" s="16"/>
    </row>
    <row r="404" ht="15.75" customHeight="1">
      <c r="D404" s="16"/>
    </row>
    <row r="405" ht="15.75" customHeight="1">
      <c r="D405" s="16"/>
    </row>
    <row r="406" ht="15.75" customHeight="1">
      <c r="D406" s="16"/>
    </row>
    <row r="407" ht="15.75" customHeight="1">
      <c r="D407" s="16"/>
    </row>
    <row r="408" ht="15.75" customHeight="1">
      <c r="D408" s="16"/>
    </row>
    <row r="409" ht="15.75" customHeight="1">
      <c r="D409" s="16"/>
    </row>
    <row r="410" ht="15.75" customHeight="1">
      <c r="D410" s="16"/>
    </row>
    <row r="411" ht="15.75" customHeight="1">
      <c r="D411" s="16"/>
    </row>
    <row r="412" ht="15.75" customHeight="1">
      <c r="D412" s="16"/>
    </row>
    <row r="413" ht="15.75" customHeight="1">
      <c r="D413" s="16"/>
    </row>
    <row r="414" ht="15.75" customHeight="1">
      <c r="D414" s="16"/>
    </row>
    <row r="415" ht="15.75" customHeight="1">
      <c r="D415" s="16"/>
    </row>
    <row r="416" ht="15.75" customHeight="1">
      <c r="D416" s="16"/>
    </row>
    <row r="417" ht="15.75" customHeight="1">
      <c r="D417" s="16"/>
    </row>
    <row r="418" ht="15.75" customHeight="1">
      <c r="D418" s="16"/>
    </row>
    <row r="419" ht="15.75" customHeight="1">
      <c r="D419" s="16"/>
    </row>
    <row r="420" ht="15.75" customHeight="1">
      <c r="D420" s="16"/>
    </row>
    <row r="421" ht="15.75" customHeight="1">
      <c r="D421" s="16"/>
    </row>
    <row r="422" ht="15.75" customHeight="1">
      <c r="D422" s="16"/>
    </row>
    <row r="423" ht="15.75" customHeight="1">
      <c r="D423" s="16"/>
    </row>
    <row r="424" ht="15.75" customHeight="1">
      <c r="D424" s="16"/>
    </row>
    <row r="425" ht="15.75" customHeight="1">
      <c r="D425" s="16"/>
    </row>
    <row r="426" ht="15.75" customHeight="1">
      <c r="D426" s="16"/>
    </row>
    <row r="427" ht="15.75" customHeight="1">
      <c r="D427" s="16"/>
    </row>
    <row r="428" ht="15.75" customHeight="1">
      <c r="D428" s="16"/>
    </row>
    <row r="429" ht="15.75" customHeight="1">
      <c r="D429" s="16"/>
    </row>
    <row r="430" ht="15.75" customHeight="1">
      <c r="D430" s="16"/>
    </row>
    <row r="431" ht="15.75" customHeight="1">
      <c r="D431" s="16"/>
    </row>
    <row r="432" ht="15.75" customHeight="1">
      <c r="D432" s="16"/>
    </row>
    <row r="433" ht="15.75" customHeight="1">
      <c r="D433" s="16"/>
    </row>
    <row r="434" ht="15.75" customHeight="1">
      <c r="D434" s="16"/>
    </row>
    <row r="435" ht="15.75" customHeight="1">
      <c r="D435" s="16"/>
    </row>
    <row r="436" ht="15.75" customHeight="1">
      <c r="D436" s="16"/>
    </row>
    <row r="437" ht="15.75" customHeight="1">
      <c r="D437" s="16"/>
    </row>
    <row r="438" ht="15.75" customHeight="1">
      <c r="D438" s="16"/>
    </row>
    <row r="439" ht="15.75" customHeight="1">
      <c r="D439" s="16"/>
    </row>
    <row r="440" ht="15.75" customHeight="1">
      <c r="D440" s="16"/>
    </row>
    <row r="441" ht="15.75" customHeight="1">
      <c r="D441" s="16"/>
    </row>
    <row r="442" ht="15.75" customHeight="1">
      <c r="D442" s="16"/>
    </row>
    <row r="443" ht="15.75" customHeight="1">
      <c r="D443" s="16"/>
    </row>
    <row r="444" ht="15.75" customHeight="1">
      <c r="D444" s="16"/>
    </row>
    <row r="445" ht="15.75" customHeight="1">
      <c r="D445" s="16"/>
    </row>
    <row r="446" ht="15.75" customHeight="1">
      <c r="D446" s="16"/>
    </row>
    <row r="447" ht="15.75" customHeight="1">
      <c r="D447" s="16"/>
    </row>
    <row r="448" ht="15.75" customHeight="1">
      <c r="D448" s="16"/>
    </row>
    <row r="449" ht="15.75" customHeight="1">
      <c r="D449" s="16"/>
    </row>
    <row r="450" ht="15.75" customHeight="1">
      <c r="D450" s="16"/>
    </row>
    <row r="451" ht="15.75" customHeight="1">
      <c r="D451" s="16"/>
    </row>
    <row r="452" ht="15.75" customHeight="1">
      <c r="D452" s="16"/>
    </row>
    <row r="453" ht="15.75" customHeight="1">
      <c r="D453" s="16"/>
    </row>
    <row r="454" ht="15.75" customHeight="1">
      <c r="D454" s="16"/>
    </row>
    <row r="455" ht="15.75" customHeight="1">
      <c r="D455" s="16"/>
    </row>
    <row r="456" ht="15.75" customHeight="1">
      <c r="D456" s="16"/>
    </row>
    <row r="457" ht="15.75" customHeight="1">
      <c r="D457" s="16"/>
    </row>
    <row r="458" ht="15.75" customHeight="1">
      <c r="D458" s="16"/>
    </row>
    <row r="459" ht="15.75" customHeight="1">
      <c r="D459" s="16"/>
    </row>
    <row r="460" ht="15.75" customHeight="1">
      <c r="D460" s="16"/>
    </row>
    <row r="461" ht="15.75" customHeight="1">
      <c r="D461" s="16"/>
    </row>
    <row r="462" ht="15.75" customHeight="1">
      <c r="D462" s="16"/>
    </row>
    <row r="463" ht="15.75" customHeight="1">
      <c r="D463" s="16"/>
    </row>
    <row r="464" ht="15.75" customHeight="1">
      <c r="D464" s="16"/>
    </row>
    <row r="465" ht="15.75" customHeight="1">
      <c r="D465" s="16"/>
    </row>
    <row r="466" ht="15.75" customHeight="1">
      <c r="D466" s="16"/>
    </row>
    <row r="467" ht="15.75" customHeight="1">
      <c r="D467" s="16"/>
    </row>
    <row r="468" ht="15.75" customHeight="1">
      <c r="D468" s="16"/>
    </row>
    <row r="469" ht="15.75" customHeight="1">
      <c r="D469" s="16"/>
    </row>
    <row r="470" ht="15.75" customHeight="1">
      <c r="D470" s="16"/>
    </row>
    <row r="471" ht="15.75" customHeight="1">
      <c r="D471" s="16"/>
    </row>
    <row r="472" ht="15.75" customHeight="1">
      <c r="D472" s="16"/>
    </row>
    <row r="473" ht="15.75" customHeight="1">
      <c r="D473" s="16"/>
    </row>
    <row r="474" ht="15.75" customHeight="1">
      <c r="D474" s="16"/>
    </row>
    <row r="475" ht="15.75" customHeight="1">
      <c r="D475" s="16"/>
    </row>
    <row r="476" ht="15.75" customHeight="1">
      <c r="D476" s="16"/>
    </row>
    <row r="477" ht="15.75" customHeight="1">
      <c r="D477" s="16"/>
    </row>
    <row r="478" ht="15.75" customHeight="1">
      <c r="D478" s="16"/>
    </row>
    <row r="479" ht="15.75" customHeight="1">
      <c r="D479" s="16"/>
    </row>
    <row r="480" ht="15.75" customHeight="1">
      <c r="D480" s="16"/>
    </row>
    <row r="481" ht="15.75" customHeight="1">
      <c r="D481" s="16"/>
    </row>
    <row r="482" ht="15.75" customHeight="1">
      <c r="D482" s="16"/>
    </row>
    <row r="483" ht="15.75" customHeight="1">
      <c r="D483" s="16"/>
    </row>
    <row r="484" ht="15.75" customHeight="1">
      <c r="D484" s="16"/>
    </row>
    <row r="485" ht="15.75" customHeight="1">
      <c r="D485" s="16"/>
    </row>
    <row r="486" ht="15.75" customHeight="1">
      <c r="D486" s="16"/>
    </row>
    <row r="487" ht="15.75" customHeight="1">
      <c r="D487" s="16"/>
    </row>
    <row r="488" ht="15.75" customHeight="1">
      <c r="D488" s="16"/>
    </row>
    <row r="489" ht="15.75" customHeight="1">
      <c r="D489" s="16"/>
    </row>
    <row r="490" ht="15.75" customHeight="1">
      <c r="D490" s="16"/>
    </row>
    <row r="491" ht="15.75" customHeight="1">
      <c r="D491" s="16"/>
    </row>
    <row r="492" ht="15.75" customHeight="1">
      <c r="D492" s="16"/>
    </row>
    <row r="493" ht="15.75" customHeight="1">
      <c r="D493" s="16"/>
    </row>
    <row r="494" ht="15.75" customHeight="1">
      <c r="D494" s="16"/>
    </row>
    <row r="495" ht="15.75" customHeight="1">
      <c r="D495" s="16"/>
    </row>
    <row r="496" ht="15.75" customHeight="1">
      <c r="D496" s="16"/>
    </row>
    <row r="497" ht="15.75" customHeight="1">
      <c r="D497" s="16"/>
    </row>
    <row r="498" ht="15.75" customHeight="1">
      <c r="D498" s="16"/>
    </row>
    <row r="499" ht="15.75" customHeight="1">
      <c r="D499" s="16"/>
    </row>
    <row r="500" ht="15.75" customHeight="1">
      <c r="D500" s="16"/>
    </row>
    <row r="501" ht="15.75" customHeight="1">
      <c r="D501" s="16"/>
    </row>
    <row r="502" ht="15.75" customHeight="1">
      <c r="D502" s="16"/>
    </row>
    <row r="503" ht="15.75" customHeight="1">
      <c r="D503" s="16"/>
    </row>
    <row r="504" ht="15.75" customHeight="1">
      <c r="D504" s="16"/>
    </row>
    <row r="505" ht="15.75" customHeight="1">
      <c r="D505" s="16"/>
    </row>
    <row r="506" ht="15.75" customHeight="1">
      <c r="D506" s="16"/>
    </row>
    <row r="507" ht="15.75" customHeight="1">
      <c r="D507" s="16"/>
    </row>
    <row r="508" ht="15.75" customHeight="1">
      <c r="D508" s="16"/>
    </row>
    <row r="509" ht="15.75" customHeight="1">
      <c r="D509" s="16"/>
    </row>
    <row r="510" ht="15.75" customHeight="1">
      <c r="D510" s="16"/>
    </row>
    <row r="511" ht="15.75" customHeight="1">
      <c r="D511" s="16"/>
    </row>
    <row r="512" ht="15.75" customHeight="1">
      <c r="D512" s="16"/>
    </row>
    <row r="513" ht="15.75" customHeight="1">
      <c r="D513" s="16"/>
    </row>
    <row r="514" ht="15.75" customHeight="1">
      <c r="D514" s="16"/>
    </row>
    <row r="515" ht="15.75" customHeight="1">
      <c r="D515" s="16"/>
    </row>
    <row r="516" ht="15.75" customHeight="1">
      <c r="D516" s="16"/>
    </row>
    <row r="517" ht="15.75" customHeight="1">
      <c r="D517" s="16"/>
    </row>
    <row r="518" ht="15.75" customHeight="1">
      <c r="D518" s="16"/>
    </row>
    <row r="519" ht="15.75" customHeight="1">
      <c r="D519" s="16"/>
    </row>
    <row r="520" ht="15.75" customHeight="1">
      <c r="D520" s="16"/>
    </row>
    <row r="521" ht="15.75" customHeight="1">
      <c r="D521" s="16"/>
    </row>
    <row r="522" ht="15.75" customHeight="1">
      <c r="D522" s="16"/>
    </row>
    <row r="523" ht="15.75" customHeight="1">
      <c r="D523" s="16"/>
    </row>
    <row r="524" ht="15.75" customHeight="1">
      <c r="D524" s="16"/>
    </row>
    <row r="525" ht="15.75" customHeight="1">
      <c r="D525" s="16"/>
    </row>
    <row r="526" ht="15.75" customHeight="1">
      <c r="D526" s="16"/>
    </row>
    <row r="527" ht="15.75" customHeight="1">
      <c r="D527" s="16"/>
    </row>
    <row r="528" ht="15.75" customHeight="1">
      <c r="D528" s="16"/>
    </row>
    <row r="529" ht="15.75" customHeight="1">
      <c r="D529" s="16"/>
    </row>
    <row r="530" ht="15.75" customHeight="1">
      <c r="D530" s="16"/>
    </row>
    <row r="531" ht="15.75" customHeight="1">
      <c r="D531" s="16"/>
    </row>
    <row r="532" ht="15.75" customHeight="1">
      <c r="D532" s="16"/>
    </row>
    <row r="533" ht="15.75" customHeight="1">
      <c r="D533" s="16"/>
    </row>
    <row r="534" ht="15.75" customHeight="1">
      <c r="D534" s="16"/>
    </row>
    <row r="535" ht="15.75" customHeight="1">
      <c r="D535" s="16"/>
    </row>
    <row r="536" ht="15.75" customHeight="1">
      <c r="D536" s="16"/>
    </row>
    <row r="537" ht="15.75" customHeight="1">
      <c r="D537" s="16"/>
    </row>
    <row r="538" ht="15.75" customHeight="1">
      <c r="D538" s="16"/>
    </row>
    <row r="539" ht="15.75" customHeight="1">
      <c r="D539" s="16"/>
    </row>
    <row r="540" ht="15.75" customHeight="1">
      <c r="D540" s="16"/>
    </row>
    <row r="541" ht="15.75" customHeight="1">
      <c r="D541" s="16"/>
    </row>
    <row r="542" ht="15.75" customHeight="1">
      <c r="D542" s="16"/>
    </row>
    <row r="543" ht="15.75" customHeight="1">
      <c r="D543" s="16"/>
    </row>
    <row r="544" ht="15.75" customHeight="1">
      <c r="D544" s="16"/>
    </row>
    <row r="545" ht="15.75" customHeight="1">
      <c r="D545" s="16"/>
    </row>
    <row r="546" ht="15.75" customHeight="1">
      <c r="D546" s="16"/>
    </row>
    <row r="547" ht="15.75" customHeight="1">
      <c r="D547" s="16"/>
    </row>
    <row r="548" ht="15.75" customHeight="1">
      <c r="D548" s="16"/>
    </row>
    <row r="549" ht="15.75" customHeight="1">
      <c r="D549" s="16"/>
    </row>
    <row r="550" ht="15.75" customHeight="1">
      <c r="D550" s="16"/>
    </row>
    <row r="551" ht="15.75" customHeight="1">
      <c r="D551" s="16"/>
    </row>
    <row r="552" ht="15.75" customHeight="1">
      <c r="D552" s="16"/>
    </row>
    <row r="553" ht="15.75" customHeight="1">
      <c r="D553" s="16"/>
    </row>
    <row r="554" ht="15.75" customHeight="1">
      <c r="D554" s="16"/>
    </row>
    <row r="555" ht="15.75" customHeight="1">
      <c r="D555" s="16"/>
    </row>
    <row r="556" ht="15.75" customHeight="1">
      <c r="D556" s="16"/>
    </row>
    <row r="557" ht="15.75" customHeight="1">
      <c r="D557" s="16"/>
    </row>
    <row r="558" ht="15.75" customHeight="1">
      <c r="D558" s="16"/>
    </row>
    <row r="559" ht="15.75" customHeight="1">
      <c r="D559" s="16"/>
    </row>
    <row r="560" ht="15.75" customHeight="1">
      <c r="D560" s="16"/>
    </row>
    <row r="561" ht="15.75" customHeight="1">
      <c r="D561" s="16"/>
    </row>
    <row r="562" ht="15.75" customHeight="1">
      <c r="D562" s="16"/>
    </row>
    <row r="563" ht="15.75" customHeight="1">
      <c r="D563" s="16"/>
    </row>
    <row r="564" ht="15.75" customHeight="1">
      <c r="D564" s="16"/>
    </row>
    <row r="565" ht="15.75" customHeight="1">
      <c r="D565" s="16"/>
    </row>
    <row r="566" ht="15.75" customHeight="1">
      <c r="D566" s="16"/>
    </row>
    <row r="567" ht="15.75" customHeight="1">
      <c r="D567" s="16"/>
    </row>
    <row r="568" ht="15.75" customHeight="1">
      <c r="D568" s="16"/>
    </row>
    <row r="569" ht="15.75" customHeight="1">
      <c r="D569" s="16"/>
    </row>
    <row r="570" ht="15.75" customHeight="1">
      <c r="D570" s="16"/>
    </row>
    <row r="571" ht="15.75" customHeight="1">
      <c r="D571" s="16"/>
    </row>
    <row r="572" ht="15.75" customHeight="1">
      <c r="D572" s="16"/>
    </row>
    <row r="573" ht="15.75" customHeight="1">
      <c r="D573" s="16"/>
    </row>
    <row r="574" ht="15.75" customHeight="1">
      <c r="D574" s="16"/>
    </row>
    <row r="575" ht="15.75" customHeight="1">
      <c r="D575" s="16"/>
    </row>
    <row r="576" ht="15.75" customHeight="1">
      <c r="D576" s="16"/>
    </row>
    <row r="577" ht="15.75" customHeight="1">
      <c r="D577" s="16"/>
    </row>
    <row r="578" ht="15.75" customHeight="1">
      <c r="D578" s="16"/>
    </row>
    <row r="579" ht="15.75" customHeight="1">
      <c r="D579" s="16"/>
    </row>
    <row r="580" ht="15.75" customHeight="1">
      <c r="D580" s="16"/>
    </row>
    <row r="581" ht="15.75" customHeight="1">
      <c r="D581" s="16"/>
    </row>
    <row r="582" ht="15.75" customHeight="1">
      <c r="D582" s="16"/>
    </row>
    <row r="583" ht="15.75" customHeight="1">
      <c r="D583" s="16"/>
    </row>
    <row r="584" ht="15.75" customHeight="1">
      <c r="D584" s="16"/>
    </row>
    <row r="585" ht="15.75" customHeight="1">
      <c r="D585" s="16"/>
    </row>
    <row r="586" ht="15.75" customHeight="1">
      <c r="D586" s="16"/>
    </row>
    <row r="587" ht="15.75" customHeight="1">
      <c r="D587" s="16"/>
    </row>
    <row r="588" ht="15.75" customHeight="1">
      <c r="D588" s="16"/>
    </row>
    <row r="589" ht="15.75" customHeight="1">
      <c r="D589" s="16"/>
    </row>
    <row r="590" ht="15.75" customHeight="1">
      <c r="D590" s="16"/>
    </row>
    <row r="591" ht="15.75" customHeight="1">
      <c r="D591" s="16"/>
    </row>
    <row r="592" ht="15.75" customHeight="1">
      <c r="D592" s="16"/>
    </row>
    <row r="593" ht="15.75" customHeight="1">
      <c r="D593" s="16"/>
    </row>
    <row r="594" ht="15.75" customHeight="1">
      <c r="D594" s="16"/>
    </row>
    <row r="595" ht="15.75" customHeight="1">
      <c r="D595" s="16"/>
    </row>
    <row r="596" ht="15.75" customHeight="1">
      <c r="D596" s="16"/>
    </row>
    <row r="597" ht="15.75" customHeight="1">
      <c r="D597" s="16"/>
    </row>
    <row r="598" ht="15.75" customHeight="1">
      <c r="D598" s="16"/>
    </row>
    <row r="599" ht="15.75" customHeight="1">
      <c r="D599" s="16"/>
    </row>
    <row r="600" ht="15.75" customHeight="1">
      <c r="D600" s="16"/>
    </row>
    <row r="601" ht="15.75" customHeight="1">
      <c r="D601" s="16"/>
    </row>
    <row r="602" ht="15.75" customHeight="1">
      <c r="D602" s="16"/>
    </row>
    <row r="603" ht="15.75" customHeight="1">
      <c r="D603" s="16"/>
    </row>
    <row r="604" ht="15.75" customHeight="1">
      <c r="D604" s="16"/>
    </row>
    <row r="605" ht="15.75" customHeight="1">
      <c r="D605" s="16"/>
    </row>
    <row r="606" ht="15.75" customHeight="1">
      <c r="D606" s="16"/>
    </row>
    <row r="607" ht="15.75" customHeight="1">
      <c r="D607" s="16"/>
    </row>
    <row r="608" ht="15.75" customHeight="1">
      <c r="D608" s="16"/>
    </row>
    <row r="609" ht="15.75" customHeight="1">
      <c r="D609" s="16"/>
    </row>
    <row r="610" ht="15.75" customHeight="1">
      <c r="D610" s="16"/>
    </row>
    <row r="611" ht="15.75" customHeight="1">
      <c r="D611" s="16"/>
    </row>
    <row r="612" ht="15.75" customHeight="1">
      <c r="D612" s="16"/>
    </row>
    <row r="613" ht="15.75" customHeight="1">
      <c r="D613" s="16"/>
    </row>
    <row r="614" ht="15.75" customHeight="1">
      <c r="D614" s="16"/>
    </row>
    <row r="615" ht="15.75" customHeight="1">
      <c r="D615" s="16"/>
    </row>
    <row r="616" ht="15.75" customHeight="1">
      <c r="D616" s="16"/>
    </row>
    <row r="617" ht="15.75" customHeight="1">
      <c r="D617" s="16"/>
    </row>
    <row r="618" ht="15.75" customHeight="1">
      <c r="D618" s="16"/>
    </row>
    <row r="619" ht="15.75" customHeight="1">
      <c r="D619" s="16"/>
    </row>
    <row r="620" ht="15.75" customHeight="1">
      <c r="D620" s="16"/>
    </row>
    <row r="621" ht="15.75" customHeight="1">
      <c r="D621" s="16"/>
    </row>
    <row r="622" ht="15.75" customHeight="1">
      <c r="D622" s="16"/>
    </row>
    <row r="623" ht="15.75" customHeight="1">
      <c r="D623" s="16"/>
    </row>
    <row r="624" ht="15.75" customHeight="1">
      <c r="D624" s="16"/>
    </row>
    <row r="625" ht="15.75" customHeight="1">
      <c r="D625" s="16"/>
    </row>
    <row r="626" ht="15.75" customHeight="1">
      <c r="D626" s="16"/>
    </row>
    <row r="627" ht="15.75" customHeight="1">
      <c r="D627" s="16"/>
    </row>
    <row r="628" ht="15.75" customHeight="1">
      <c r="D628" s="16"/>
    </row>
    <row r="629" ht="15.75" customHeight="1">
      <c r="D629" s="16"/>
    </row>
    <row r="630" ht="15.75" customHeight="1">
      <c r="D630" s="16"/>
    </row>
    <row r="631" ht="15.75" customHeight="1">
      <c r="D631" s="16"/>
    </row>
    <row r="632" ht="15.75" customHeight="1">
      <c r="D632" s="16"/>
    </row>
    <row r="633" ht="15.75" customHeight="1">
      <c r="D633" s="16"/>
    </row>
    <row r="634" ht="15.75" customHeight="1">
      <c r="D634" s="16"/>
    </row>
    <row r="635" ht="15.75" customHeight="1">
      <c r="D635" s="16"/>
    </row>
    <row r="636" ht="15.75" customHeight="1">
      <c r="D636" s="16"/>
    </row>
    <row r="637" ht="15.75" customHeight="1">
      <c r="D637" s="16"/>
    </row>
    <row r="638" ht="15.75" customHeight="1">
      <c r="D638" s="16"/>
    </row>
    <row r="639" ht="15.75" customHeight="1">
      <c r="D639" s="16"/>
    </row>
    <row r="640" ht="15.75" customHeight="1">
      <c r="D640" s="16"/>
    </row>
    <row r="641" ht="15.75" customHeight="1">
      <c r="D641" s="16"/>
    </row>
    <row r="642" ht="15.75" customHeight="1">
      <c r="D642" s="16"/>
    </row>
    <row r="643" ht="15.75" customHeight="1">
      <c r="D643" s="16"/>
    </row>
    <row r="644" ht="15.75" customHeight="1">
      <c r="D644" s="16"/>
    </row>
    <row r="645" ht="15.75" customHeight="1">
      <c r="D645" s="16"/>
    </row>
    <row r="646" ht="15.75" customHeight="1">
      <c r="D646" s="16"/>
    </row>
    <row r="647" ht="15.75" customHeight="1">
      <c r="D647" s="16"/>
    </row>
    <row r="648" ht="15.75" customHeight="1">
      <c r="D648" s="16"/>
    </row>
    <row r="649" ht="15.75" customHeight="1">
      <c r="D649" s="16"/>
    </row>
    <row r="650" ht="15.75" customHeight="1">
      <c r="D650" s="16"/>
    </row>
    <row r="651" ht="15.75" customHeight="1">
      <c r="D651" s="16"/>
    </row>
    <row r="652" ht="15.75" customHeight="1">
      <c r="D652" s="16"/>
    </row>
    <row r="653" ht="15.75" customHeight="1">
      <c r="D653" s="16"/>
    </row>
    <row r="654" ht="15.75" customHeight="1">
      <c r="D654" s="16"/>
    </row>
    <row r="655" ht="15.75" customHeight="1">
      <c r="D655" s="16"/>
    </row>
    <row r="656" ht="15.75" customHeight="1">
      <c r="D656" s="16"/>
    </row>
    <row r="657" ht="15.75" customHeight="1">
      <c r="D657" s="16"/>
    </row>
    <row r="658" ht="15.75" customHeight="1">
      <c r="D658" s="16"/>
    </row>
    <row r="659" ht="15.75" customHeight="1">
      <c r="D659" s="16"/>
    </row>
    <row r="660" ht="15.75" customHeight="1">
      <c r="D660" s="16"/>
    </row>
    <row r="661" ht="15.75" customHeight="1">
      <c r="D661" s="16"/>
    </row>
    <row r="662" ht="15.75" customHeight="1">
      <c r="D662" s="16"/>
    </row>
    <row r="663" ht="15.75" customHeight="1">
      <c r="D663" s="16"/>
    </row>
    <row r="664" ht="15.75" customHeight="1">
      <c r="D664" s="16"/>
    </row>
    <row r="665" ht="15.75" customHeight="1">
      <c r="D665" s="16"/>
    </row>
    <row r="666" ht="15.75" customHeight="1">
      <c r="D666" s="16"/>
    </row>
    <row r="667" ht="15.75" customHeight="1">
      <c r="D667" s="16"/>
    </row>
    <row r="668" ht="15.75" customHeight="1">
      <c r="D668" s="16"/>
    </row>
    <row r="669" ht="15.75" customHeight="1">
      <c r="D669" s="16"/>
    </row>
    <row r="670" ht="15.75" customHeight="1">
      <c r="D670" s="16"/>
    </row>
    <row r="671" ht="15.75" customHeight="1">
      <c r="D671" s="16"/>
    </row>
    <row r="672" ht="15.75" customHeight="1">
      <c r="D672" s="16"/>
    </row>
    <row r="673" ht="15.75" customHeight="1">
      <c r="D673" s="16"/>
    </row>
    <row r="674" ht="15.75" customHeight="1">
      <c r="D674" s="16"/>
    </row>
    <row r="675" ht="15.75" customHeight="1">
      <c r="D675" s="16"/>
    </row>
    <row r="676" ht="15.75" customHeight="1">
      <c r="D676" s="16"/>
    </row>
    <row r="677" ht="15.75" customHeight="1">
      <c r="D677" s="16"/>
    </row>
    <row r="678" ht="15.75" customHeight="1">
      <c r="D678" s="16"/>
    </row>
    <row r="679" ht="15.75" customHeight="1">
      <c r="D679" s="16"/>
    </row>
    <row r="680" ht="15.75" customHeight="1">
      <c r="D680" s="16"/>
    </row>
    <row r="681" ht="15.75" customHeight="1">
      <c r="D681" s="16"/>
    </row>
    <row r="682" ht="15.75" customHeight="1">
      <c r="D682" s="16"/>
    </row>
    <row r="683" ht="15.75" customHeight="1">
      <c r="D683" s="16"/>
    </row>
    <row r="684" ht="15.75" customHeight="1">
      <c r="D684" s="16"/>
    </row>
    <row r="685" ht="15.75" customHeight="1">
      <c r="D685" s="16"/>
    </row>
    <row r="686" ht="15.75" customHeight="1">
      <c r="D686" s="16"/>
    </row>
    <row r="687" ht="15.75" customHeight="1">
      <c r="D687" s="16"/>
    </row>
    <row r="688" ht="15.75" customHeight="1">
      <c r="D688" s="16"/>
    </row>
    <row r="689" ht="15.75" customHeight="1">
      <c r="D689" s="16"/>
    </row>
    <row r="690" ht="15.75" customHeight="1">
      <c r="D690" s="16"/>
    </row>
    <row r="691" ht="15.75" customHeight="1">
      <c r="D691" s="16"/>
    </row>
    <row r="692" ht="15.75" customHeight="1">
      <c r="D692" s="16"/>
    </row>
    <row r="693" ht="15.75" customHeight="1">
      <c r="D693" s="16"/>
    </row>
    <row r="694" ht="15.75" customHeight="1">
      <c r="D694" s="16"/>
    </row>
    <row r="695" ht="15.75" customHeight="1">
      <c r="D695" s="16"/>
    </row>
    <row r="696" ht="15.75" customHeight="1">
      <c r="D696" s="16"/>
    </row>
    <row r="697" ht="15.75" customHeight="1">
      <c r="D697" s="16"/>
    </row>
    <row r="698" ht="15.75" customHeight="1">
      <c r="D698" s="16"/>
    </row>
    <row r="699" ht="15.75" customHeight="1">
      <c r="D699" s="16"/>
    </row>
    <row r="700" ht="15.75" customHeight="1">
      <c r="D700" s="16"/>
    </row>
    <row r="701" ht="15.75" customHeight="1">
      <c r="D701" s="16"/>
    </row>
    <row r="702" ht="15.75" customHeight="1">
      <c r="D702" s="16"/>
    </row>
    <row r="703" ht="15.75" customHeight="1">
      <c r="D703" s="16"/>
    </row>
    <row r="704" ht="15.75" customHeight="1">
      <c r="D704" s="16"/>
    </row>
    <row r="705" ht="15.75" customHeight="1">
      <c r="D705" s="16"/>
    </row>
    <row r="706" ht="15.75" customHeight="1">
      <c r="D706" s="16"/>
    </row>
    <row r="707" ht="15.75" customHeight="1">
      <c r="D707" s="16"/>
    </row>
    <row r="708" ht="15.75" customHeight="1">
      <c r="D708" s="16"/>
    </row>
    <row r="709" ht="15.75" customHeight="1">
      <c r="D709" s="16"/>
    </row>
    <row r="710" ht="15.75" customHeight="1">
      <c r="D710" s="16"/>
    </row>
    <row r="711" ht="15.75" customHeight="1">
      <c r="D711" s="16"/>
    </row>
    <row r="712" ht="15.75" customHeight="1">
      <c r="D712" s="16"/>
    </row>
    <row r="713" ht="15.75" customHeight="1">
      <c r="D713" s="16"/>
    </row>
    <row r="714" ht="15.75" customHeight="1">
      <c r="D714" s="16"/>
    </row>
    <row r="715" ht="15.75" customHeight="1">
      <c r="D715" s="16"/>
    </row>
    <row r="716" ht="15.75" customHeight="1">
      <c r="D716" s="16"/>
    </row>
    <row r="717" ht="15.75" customHeight="1">
      <c r="D717" s="16"/>
    </row>
    <row r="718" ht="15.75" customHeight="1">
      <c r="D718" s="16"/>
    </row>
    <row r="719" ht="15.75" customHeight="1">
      <c r="D719" s="16"/>
    </row>
    <row r="720" ht="15.75" customHeight="1">
      <c r="D720" s="16"/>
    </row>
    <row r="721" ht="15.75" customHeight="1">
      <c r="D721" s="16"/>
    </row>
    <row r="722" ht="15.75" customHeight="1">
      <c r="D722" s="16"/>
    </row>
    <row r="723" ht="15.75" customHeight="1">
      <c r="D723" s="16"/>
    </row>
    <row r="724" ht="15.75" customHeight="1">
      <c r="D724" s="16"/>
    </row>
    <row r="725" ht="15.75" customHeight="1">
      <c r="D725" s="16"/>
    </row>
    <row r="726" ht="15.75" customHeight="1">
      <c r="D726" s="16"/>
    </row>
    <row r="727" ht="15.75" customHeight="1">
      <c r="D727" s="16"/>
    </row>
    <row r="728" ht="15.75" customHeight="1">
      <c r="D728" s="16"/>
    </row>
    <row r="729" ht="15.75" customHeight="1">
      <c r="D729" s="16"/>
    </row>
    <row r="730" ht="15.75" customHeight="1">
      <c r="D730" s="16"/>
    </row>
    <row r="731" ht="15.75" customHeight="1">
      <c r="D731" s="16"/>
    </row>
    <row r="732" ht="15.75" customHeight="1">
      <c r="D732" s="16"/>
    </row>
    <row r="733" ht="15.75" customHeight="1">
      <c r="D733" s="16"/>
    </row>
    <row r="734" ht="15.75" customHeight="1">
      <c r="D734" s="16"/>
    </row>
    <row r="735" ht="15.75" customHeight="1">
      <c r="D735" s="16"/>
    </row>
    <row r="736" ht="15.75" customHeight="1">
      <c r="D736" s="16"/>
    </row>
    <row r="737" ht="15.75" customHeight="1">
      <c r="D737" s="16"/>
    </row>
    <row r="738" ht="15.75" customHeight="1">
      <c r="D738" s="16"/>
    </row>
    <row r="739" ht="15.75" customHeight="1">
      <c r="D739" s="16"/>
    </row>
    <row r="740" ht="15.75" customHeight="1">
      <c r="D740" s="16"/>
    </row>
    <row r="741" ht="15.75" customHeight="1">
      <c r="D741" s="16"/>
    </row>
    <row r="742" ht="15.75" customHeight="1">
      <c r="D742" s="16"/>
    </row>
    <row r="743" ht="15.75" customHeight="1">
      <c r="D743" s="16"/>
    </row>
    <row r="744" ht="15.75" customHeight="1">
      <c r="D744" s="16"/>
    </row>
    <row r="745" ht="15.75" customHeight="1">
      <c r="D745" s="16"/>
    </row>
    <row r="746" ht="15.75" customHeight="1">
      <c r="D746" s="16"/>
    </row>
    <row r="747" ht="15.75" customHeight="1">
      <c r="D747" s="16"/>
    </row>
    <row r="748" ht="15.75" customHeight="1">
      <c r="D748" s="16"/>
    </row>
    <row r="749" ht="15.75" customHeight="1">
      <c r="D749" s="16"/>
    </row>
    <row r="750" ht="15.75" customHeight="1">
      <c r="D750" s="16"/>
    </row>
    <row r="751" ht="15.75" customHeight="1">
      <c r="D751" s="16"/>
    </row>
    <row r="752" ht="15.75" customHeight="1">
      <c r="D752" s="16"/>
    </row>
    <row r="753" ht="15.75" customHeight="1">
      <c r="D753" s="16"/>
    </row>
    <row r="754" ht="15.75" customHeight="1">
      <c r="D754" s="16"/>
    </row>
    <row r="755" ht="15.75" customHeight="1">
      <c r="D755" s="16"/>
    </row>
    <row r="756" ht="15.75" customHeight="1">
      <c r="D756" s="16"/>
    </row>
    <row r="757" ht="15.75" customHeight="1">
      <c r="D757" s="16"/>
    </row>
    <row r="758" ht="15.75" customHeight="1">
      <c r="D758" s="16"/>
    </row>
    <row r="759" ht="15.75" customHeight="1">
      <c r="D759" s="16"/>
    </row>
    <row r="760" ht="15.75" customHeight="1">
      <c r="D760" s="16"/>
    </row>
    <row r="761" ht="15.75" customHeight="1">
      <c r="D761" s="16"/>
    </row>
    <row r="762" ht="15.75" customHeight="1">
      <c r="D762" s="16"/>
    </row>
    <row r="763" ht="15.75" customHeight="1">
      <c r="D763" s="16"/>
    </row>
    <row r="764" ht="15.75" customHeight="1">
      <c r="D764" s="16"/>
    </row>
    <row r="765" ht="15.75" customHeight="1">
      <c r="D765" s="16"/>
    </row>
    <row r="766" ht="15.75" customHeight="1">
      <c r="D766" s="16"/>
    </row>
    <row r="767" ht="15.75" customHeight="1">
      <c r="D767" s="16"/>
    </row>
    <row r="768" ht="15.75" customHeight="1">
      <c r="D768" s="16"/>
    </row>
    <row r="769" ht="15.75" customHeight="1">
      <c r="D769" s="16"/>
    </row>
    <row r="770" ht="15.75" customHeight="1">
      <c r="D770" s="16"/>
    </row>
    <row r="771" ht="15.75" customHeight="1">
      <c r="D771" s="16"/>
    </row>
    <row r="772" ht="15.75" customHeight="1">
      <c r="D772" s="16"/>
    </row>
    <row r="773" ht="15.75" customHeight="1">
      <c r="D773" s="16"/>
    </row>
    <row r="774" ht="15.75" customHeight="1">
      <c r="D774" s="16"/>
    </row>
    <row r="775" ht="15.75" customHeight="1">
      <c r="D775" s="16"/>
    </row>
    <row r="776" ht="15.75" customHeight="1">
      <c r="D776" s="16"/>
    </row>
    <row r="777" ht="15.75" customHeight="1">
      <c r="D777" s="16"/>
    </row>
    <row r="778" ht="15.75" customHeight="1">
      <c r="D778" s="16"/>
    </row>
    <row r="779" ht="15.75" customHeight="1">
      <c r="D779" s="16"/>
    </row>
    <row r="780" ht="15.75" customHeight="1">
      <c r="D780" s="16"/>
    </row>
    <row r="781" ht="15.75" customHeight="1">
      <c r="D781" s="16"/>
    </row>
    <row r="782" ht="15.75" customHeight="1">
      <c r="D782" s="16"/>
    </row>
    <row r="783" ht="15.75" customHeight="1">
      <c r="D783" s="16"/>
    </row>
    <row r="784" ht="15.75" customHeight="1">
      <c r="D784" s="16"/>
    </row>
    <row r="785" ht="15.75" customHeight="1">
      <c r="D785" s="16"/>
    </row>
    <row r="786" ht="15.75" customHeight="1">
      <c r="D786" s="16"/>
    </row>
    <row r="787" ht="15.75" customHeight="1">
      <c r="D787" s="16"/>
    </row>
    <row r="788" ht="15.75" customHeight="1">
      <c r="D788" s="16"/>
    </row>
    <row r="789" ht="15.75" customHeight="1">
      <c r="D789" s="16"/>
    </row>
    <row r="790" ht="15.75" customHeight="1">
      <c r="D790" s="16"/>
    </row>
    <row r="791" ht="15.75" customHeight="1">
      <c r="D791" s="16"/>
    </row>
    <row r="792" ht="15.75" customHeight="1">
      <c r="D792" s="16"/>
    </row>
    <row r="793" ht="15.75" customHeight="1">
      <c r="D793" s="16"/>
    </row>
    <row r="794" ht="15.75" customHeight="1">
      <c r="D794" s="16"/>
    </row>
    <row r="795" ht="15.75" customHeight="1">
      <c r="D795" s="16"/>
    </row>
    <row r="796" ht="15.75" customHeight="1">
      <c r="D796" s="16"/>
    </row>
    <row r="797" ht="15.75" customHeight="1">
      <c r="D797" s="16"/>
    </row>
    <row r="798" ht="15.75" customHeight="1">
      <c r="D798" s="16"/>
    </row>
    <row r="799" ht="15.75" customHeight="1">
      <c r="D799" s="16"/>
    </row>
    <row r="800" ht="15.75" customHeight="1">
      <c r="D800" s="16"/>
    </row>
    <row r="801" ht="15.75" customHeight="1">
      <c r="D801" s="16"/>
    </row>
    <row r="802" ht="15.75" customHeight="1">
      <c r="D802" s="16"/>
    </row>
    <row r="803" ht="15.75" customHeight="1">
      <c r="D803" s="16"/>
    </row>
    <row r="804" ht="15.75" customHeight="1">
      <c r="D804" s="16"/>
    </row>
    <row r="805" ht="15.75" customHeight="1">
      <c r="D805" s="16"/>
    </row>
    <row r="806" ht="15.75" customHeight="1">
      <c r="D806" s="16"/>
    </row>
    <row r="807" ht="15.75" customHeight="1">
      <c r="D807" s="16"/>
    </row>
    <row r="808" ht="15.75" customHeight="1">
      <c r="D808" s="16"/>
    </row>
    <row r="809" ht="15.75" customHeight="1">
      <c r="D809" s="16"/>
    </row>
    <row r="810" ht="15.75" customHeight="1">
      <c r="D810" s="16"/>
    </row>
    <row r="811" ht="15.75" customHeight="1">
      <c r="D811" s="16"/>
    </row>
    <row r="812" ht="15.75" customHeight="1">
      <c r="D812" s="16"/>
    </row>
    <row r="813" ht="15.75" customHeight="1">
      <c r="D813" s="16"/>
    </row>
    <row r="814" ht="15.75" customHeight="1">
      <c r="D814" s="16"/>
    </row>
    <row r="815" ht="15.75" customHeight="1">
      <c r="D815" s="16"/>
    </row>
    <row r="816" ht="15.75" customHeight="1">
      <c r="D816" s="16"/>
    </row>
    <row r="817" ht="15.75" customHeight="1">
      <c r="D817" s="16"/>
    </row>
    <row r="818" ht="15.75" customHeight="1">
      <c r="D818" s="16"/>
    </row>
    <row r="819" ht="15.75" customHeight="1">
      <c r="D819" s="16"/>
    </row>
    <row r="820" ht="15.75" customHeight="1">
      <c r="D820" s="16"/>
    </row>
    <row r="821" ht="15.75" customHeight="1">
      <c r="D821" s="16"/>
    </row>
    <row r="822" ht="15.75" customHeight="1">
      <c r="D822" s="16"/>
    </row>
    <row r="823" ht="15.75" customHeight="1">
      <c r="D823" s="16"/>
    </row>
    <row r="824" ht="15.75" customHeight="1">
      <c r="D824" s="16"/>
    </row>
    <row r="825" ht="15.75" customHeight="1">
      <c r="D825" s="16"/>
    </row>
    <row r="826" ht="15.75" customHeight="1">
      <c r="D826" s="16"/>
    </row>
    <row r="827" ht="15.75" customHeight="1">
      <c r="D827" s="16"/>
    </row>
    <row r="828" ht="15.75" customHeight="1">
      <c r="D828" s="16"/>
    </row>
    <row r="829" ht="15.75" customHeight="1">
      <c r="D829" s="16"/>
    </row>
    <row r="830" ht="15.75" customHeight="1">
      <c r="D830" s="16"/>
    </row>
    <row r="831" ht="15.75" customHeight="1">
      <c r="D831" s="16"/>
    </row>
    <row r="832" ht="15.75" customHeight="1">
      <c r="D832" s="16"/>
    </row>
    <row r="833" ht="15.75" customHeight="1">
      <c r="D833" s="16"/>
    </row>
    <row r="834" ht="15.75" customHeight="1">
      <c r="D834" s="16"/>
    </row>
    <row r="835" ht="15.75" customHeight="1">
      <c r="D835" s="16"/>
    </row>
    <row r="836" ht="15.75" customHeight="1">
      <c r="D836" s="16"/>
    </row>
    <row r="837" ht="15.75" customHeight="1">
      <c r="D837" s="16"/>
    </row>
    <row r="838" ht="15.75" customHeight="1">
      <c r="D838" s="16"/>
    </row>
    <row r="839" ht="15.75" customHeight="1">
      <c r="D839" s="16"/>
    </row>
    <row r="840" ht="15.75" customHeight="1">
      <c r="D840" s="16"/>
    </row>
    <row r="841" ht="15.75" customHeight="1">
      <c r="D841" s="16"/>
    </row>
    <row r="842" ht="15.75" customHeight="1">
      <c r="D842" s="16"/>
    </row>
    <row r="843" ht="15.75" customHeight="1">
      <c r="D843" s="16"/>
    </row>
    <row r="844" ht="15.75" customHeight="1">
      <c r="D844" s="16"/>
    </row>
    <row r="845" ht="15.75" customHeight="1">
      <c r="D845" s="16"/>
    </row>
    <row r="846" ht="15.75" customHeight="1">
      <c r="D846" s="16"/>
    </row>
    <row r="847" ht="15.75" customHeight="1">
      <c r="D847" s="16"/>
    </row>
    <row r="848" ht="15.75" customHeight="1">
      <c r="D848" s="16"/>
    </row>
    <row r="849" ht="15.75" customHeight="1">
      <c r="D849" s="16"/>
    </row>
    <row r="850" ht="15.75" customHeight="1">
      <c r="D850" s="16"/>
    </row>
    <row r="851" ht="15.75" customHeight="1">
      <c r="D851" s="16"/>
    </row>
    <row r="852" ht="15.75" customHeight="1">
      <c r="D852" s="16"/>
    </row>
    <row r="853" ht="15.75" customHeight="1">
      <c r="D853" s="16"/>
    </row>
    <row r="854" ht="15.75" customHeight="1">
      <c r="D854" s="16"/>
    </row>
    <row r="855" ht="15.75" customHeight="1">
      <c r="D855" s="16"/>
    </row>
    <row r="856" ht="15.75" customHeight="1">
      <c r="D856" s="16"/>
    </row>
    <row r="857" ht="15.75" customHeight="1">
      <c r="D857" s="16"/>
    </row>
    <row r="858" ht="15.75" customHeight="1">
      <c r="D858" s="16"/>
    </row>
    <row r="859" ht="15.75" customHeight="1">
      <c r="D859" s="16"/>
    </row>
    <row r="860" ht="15.75" customHeight="1">
      <c r="D860" s="16"/>
    </row>
    <row r="861" ht="15.75" customHeight="1">
      <c r="D861" s="16"/>
    </row>
    <row r="862" ht="15.75" customHeight="1">
      <c r="D862" s="16"/>
    </row>
    <row r="863" ht="15.75" customHeight="1">
      <c r="D863" s="16"/>
    </row>
    <row r="864" ht="15.75" customHeight="1">
      <c r="D864" s="16"/>
    </row>
    <row r="865" ht="15.75" customHeight="1">
      <c r="D865" s="16"/>
    </row>
    <row r="866" ht="15.75" customHeight="1">
      <c r="D866" s="16"/>
    </row>
    <row r="867" ht="15.75" customHeight="1">
      <c r="D867" s="16"/>
    </row>
    <row r="868" ht="15.75" customHeight="1">
      <c r="D868" s="16"/>
    </row>
    <row r="869" ht="15.75" customHeight="1">
      <c r="D869" s="16"/>
    </row>
    <row r="870" ht="15.75" customHeight="1">
      <c r="D870" s="16"/>
    </row>
    <row r="871" ht="15.75" customHeight="1">
      <c r="D871" s="16"/>
    </row>
    <row r="872" ht="15.75" customHeight="1">
      <c r="D872" s="16"/>
    </row>
    <row r="873" ht="15.75" customHeight="1">
      <c r="D873" s="16"/>
    </row>
    <row r="874" ht="15.75" customHeight="1">
      <c r="D874" s="16"/>
    </row>
    <row r="875" ht="15.75" customHeight="1">
      <c r="D875" s="16"/>
    </row>
    <row r="876" ht="15.75" customHeight="1">
      <c r="D876" s="16"/>
    </row>
    <row r="877" ht="15.75" customHeight="1">
      <c r="D877" s="16"/>
    </row>
    <row r="878" ht="15.75" customHeight="1">
      <c r="D878" s="16"/>
    </row>
    <row r="879" ht="15.75" customHeight="1">
      <c r="D879" s="16"/>
    </row>
    <row r="880" ht="15.75" customHeight="1">
      <c r="D880" s="16"/>
    </row>
    <row r="881" ht="15.75" customHeight="1">
      <c r="D881" s="16"/>
    </row>
    <row r="882" ht="15.75" customHeight="1">
      <c r="D882" s="16"/>
    </row>
    <row r="883" ht="15.75" customHeight="1">
      <c r="D883" s="16"/>
    </row>
    <row r="884" ht="15.75" customHeight="1">
      <c r="D884" s="16"/>
    </row>
    <row r="885" ht="15.75" customHeight="1">
      <c r="D885" s="16"/>
    </row>
    <row r="886" ht="15.75" customHeight="1">
      <c r="D886" s="16"/>
    </row>
    <row r="887" ht="15.75" customHeight="1">
      <c r="D887" s="16"/>
    </row>
    <row r="888" ht="15.75" customHeight="1">
      <c r="D888" s="16"/>
    </row>
    <row r="889" ht="15.75" customHeight="1">
      <c r="D889" s="16"/>
    </row>
    <row r="890" ht="15.75" customHeight="1">
      <c r="D890" s="16"/>
    </row>
    <row r="891" ht="15.75" customHeight="1">
      <c r="D891" s="16"/>
    </row>
    <row r="892" ht="15.75" customHeight="1">
      <c r="D892" s="16"/>
    </row>
    <row r="893" ht="15.75" customHeight="1">
      <c r="D893" s="16"/>
    </row>
    <row r="894" ht="15.75" customHeight="1">
      <c r="D894" s="16"/>
    </row>
    <row r="895" ht="15.75" customHeight="1">
      <c r="D895" s="16"/>
    </row>
    <row r="896" ht="15.75" customHeight="1">
      <c r="D896" s="16"/>
    </row>
    <row r="897" ht="15.75" customHeight="1">
      <c r="D897" s="16"/>
    </row>
    <row r="898" ht="15.75" customHeight="1">
      <c r="D898" s="16"/>
    </row>
    <row r="899" ht="15.75" customHeight="1">
      <c r="D899" s="16"/>
    </row>
    <row r="900" ht="15.75" customHeight="1">
      <c r="D900" s="16"/>
    </row>
    <row r="901" ht="15.75" customHeight="1">
      <c r="D901" s="16"/>
    </row>
    <row r="902" ht="15.75" customHeight="1">
      <c r="D902" s="16"/>
    </row>
    <row r="903" ht="15.75" customHeight="1">
      <c r="D903" s="16"/>
    </row>
    <row r="904" ht="15.75" customHeight="1">
      <c r="D904" s="16"/>
    </row>
    <row r="905" ht="15.75" customHeight="1">
      <c r="D905" s="16"/>
    </row>
    <row r="906" ht="15.75" customHeight="1">
      <c r="D906" s="16"/>
    </row>
    <row r="907" ht="15.75" customHeight="1">
      <c r="D907" s="16"/>
    </row>
    <row r="908" ht="15.75" customHeight="1">
      <c r="D908" s="16"/>
    </row>
    <row r="909" ht="15.75" customHeight="1">
      <c r="D909" s="16"/>
    </row>
    <row r="910" ht="15.75" customHeight="1">
      <c r="D910" s="16"/>
    </row>
    <row r="911" ht="15.75" customHeight="1">
      <c r="D911" s="16"/>
    </row>
    <row r="912" ht="15.75" customHeight="1">
      <c r="D912" s="16"/>
    </row>
    <row r="913" ht="15.75" customHeight="1">
      <c r="D913" s="16"/>
    </row>
    <row r="914" ht="15.75" customHeight="1">
      <c r="D914" s="16"/>
    </row>
    <row r="915" ht="15.75" customHeight="1">
      <c r="D915" s="16"/>
    </row>
    <row r="916" ht="15.75" customHeight="1">
      <c r="D916" s="16"/>
    </row>
    <row r="917" ht="15.75" customHeight="1">
      <c r="D917" s="16"/>
    </row>
    <row r="918" ht="15.75" customHeight="1">
      <c r="D918" s="16"/>
    </row>
    <row r="919" ht="15.75" customHeight="1">
      <c r="D919" s="16"/>
    </row>
    <row r="920" ht="15.75" customHeight="1">
      <c r="D920" s="16"/>
    </row>
    <row r="921" ht="15.75" customHeight="1">
      <c r="D921" s="16"/>
    </row>
    <row r="922" ht="15.75" customHeight="1">
      <c r="D922" s="16"/>
    </row>
    <row r="923" ht="15.75" customHeight="1">
      <c r="D923" s="16"/>
    </row>
    <row r="924" ht="15.75" customHeight="1">
      <c r="D924" s="16"/>
    </row>
    <row r="925" ht="15.75" customHeight="1">
      <c r="D925" s="16"/>
    </row>
    <row r="926" ht="15.75" customHeight="1">
      <c r="D926" s="16"/>
    </row>
    <row r="927" ht="15.75" customHeight="1">
      <c r="D927" s="16"/>
    </row>
    <row r="928" ht="15.75" customHeight="1">
      <c r="D928" s="16"/>
    </row>
    <row r="929" ht="15.75" customHeight="1">
      <c r="D929" s="16"/>
    </row>
    <row r="930" ht="15.75" customHeight="1">
      <c r="D930" s="16"/>
    </row>
    <row r="931" ht="15.75" customHeight="1">
      <c r="D931" s="16"/>
    </row>
    <row r="932" ht="15.75" customHeight="1">
      <c r="D932" s="16"/>
    </row>
    <row r="933" ht="15.75" customHeight="1">
      <c r="D933" s="16"/>
    </row>
    <row r="934" ht="15.75" customHeight="1">
      <c r="D934" s="16"/>
    </row>
    <row r="935" ht="15.75" customHeight="1">
      <c r="D935" s="16"/>
    </row>
    <row r="936" ht="15.75" customHeight="1">
      <c r="D936" s="16"/>
    </row>
    <row r="937" ht="15.75" customHeight="1">
      <c r="D937" s="16"/>
    </row>
    <row r="938" ht="15.75" customHeight="1">
      <c r="D938" s="16"/>
    </row>
    <row r="939" ht="15.75" customHeight="1">
      <c r="D939" s="16"/>
    </row>
    <row r="940" ht="15.75" customHeight="1">
      <c r="D940" s="16"/>
    </row>
    <row r="941" ht="15.75" customHeight="1">
      <c r="D941" s="16"/>
    </row>
    <row r="942" ht="15.75" customHeight="1">
      <c r="D942" s="16"/>
    </row>
    <row r="943" ht="15.75" customHeight="1">
      <c r="D943" s="16"/>
    </row>
    <row r="944" ht="15.75" customHeight="1">
      <c r="D944" s="16"/>
    </row>
    <row r="945" ht="15.75" customHeight="1">
      <c r="D945" s="16"/>
    </row>
    <row r="946" ht="15.75" customHeight="1">
      <c r="D946" s="16"/>
    </row>
    <row r="947" ht="15.75" customHeight="1">
      <c r="D947" s="16"/>
    </row>
    <row r="948" ht="15.75" customHeight="1">
      <c r="D948" s="16"/>
    </row>
    <row r="949" ht="15.75" customHeight="1">
      <c r="D949" s="16"/>
    </row>
    <row r="950" ht="15.75" customHeight="1">
      <c r="D950" s="16"/>
    </row>
    <row r="951" ht="15.75" customHeight="1">
      <c r="D951" s="16"/>
    </row>
    <row r="952" ht="15.75" customHeight="1">
      <c r="D952" s="16"/>
    </row>
    <row r="953" ht="15.75" customHeight="1">
      <c r="D953" s="16"/>
    </row>
    <row r="954" ht="15.75" customHeight="1">
      <c r="D954" s="16"/>
    </row>
    <row r="955" ht="15.75" customHeight="1">
      <c r="D955" s="16"/>
    </row>
    <row r="956" ht="15.75" customHeight="1">
      <c r="D956" s="16"/>
    </row>
    <row r="957" ht="15.75" customHeight="1">
      <c r="D957" s="16"/>
    </row>
    <row r="958" ht="15.75" customHeight="1">
      <c r="D958" s="16"/>
    </row>
    <row r="959" ht="15.75" customHeight="1">
      <c r="D959" s="16"/>
    </row>
    <row r="960" ht="15.75" customHeight="1">
      <c r="D960" s="16"/>
    </row>
    <row r="961" ht="15.75" customHeight="1">
      <c r="D961" s="16"/>
    </row>
    <row r="962" ht="15.75" customHeight="1">
      <c r="D962" s="16"/>
    </row>
    <row r="963" ht="15.75" customHeight="1">
      <c r="D963" s="16"/>
    </row>
    <row r="964" ht="15.75" customHeight="1">
      <c r="D964" s="16"/>
    </row>
    <row r="965" ht="15.75" customHeight="1">
      <c r="D965" s="16"/>
    </row>
    <row r="966" ht="15.75" customHeight="1">
      <c r="D966" s="16"/>
    </row>
    <row r="967" ht="15.75" customHeight="1">
      <c r="D967" s="16"/>
    </row>
    <row r="968" ht="15.75" customHeight="1">
      <c r="D968" s="16"/>
    </row>
    <row r="969" ht="15.75" customHeight="1">
      <c r="D969" s="16"/>
    </row>
    <row r="970" ht="15.75" customHeight="1">
      <c r="D970" s="16"/>
    </row>
    <row r="971" ht="15.75" customHeight="1">
      <c r="D971" s="16"/>
    </row>
    <row r="972" ht="15.75" customHeight="1">
      <c r="D972" s="16"/>
    </row>
    <row r="973" ht="15.75" customHeight="1">
      <c r="D973" s="16"/>
    </row>
    <row r="974" ht="15.75" customHeight="1">
      <c r="D974" s="16"/>
    </row>
    <row r="975" ht="15.75" customHeight="1">
      <c r="D975" s="16"/>
    </row>
    <row r="976" ht="15.75" customHeight="1">
      <c r="D976" s="16"/>
    </row>
    <row r="977" ht="15.75" customHeight="1">
      <c r="D977" s="16"/>
    </row>
    <row r="978" ht="15.75" customHeight="1">
      <c r="D978" s="16"/>
    </row>
    <row r="979" ht="15.75" customHeight="1">
      <c r="D979" s="16"/>
    </row>
    <row r="980" ht="15.75" customHeight="1">
      <c r="D980" s="16"/>
    </row>
    <row r="981" ht="15.75" customHeight="1">
      <c r="D981" s="16"/>
    </row>
    <row r="982" ht="15.75" customHeight="1">
      <c r="D982" s="16"/>
    </row>
    <row r="983" ht="15.75" customHeight="1">
      <c r="D983" s="16"/>
    </row>
    <row r="984" ht="15.75" customHeight="1">
      <c r="D984" s="16"/>
    </row>
    <row r="985" ht="15.75" customHeight="1">
      <c r="D985" s="16"/>
    </row>
    <row r="986" ht="15.75" customHeight="1">
      <c r="D986" s="16"/>
    </row>
    <row r="987" ht="15.75" customHeight="1">
      <c r="D987" s="16"/>
    </row>
    <row r="988" ht="15.75" customHeight="1">
      <c r="D988" s="16"/>
    </row>
    <row r="989" ht="15.75" customHeight="1">
      <c r="D989" s="16"/>
    </row>
    <row r="990" ht="15.75" customHeight="1">
      <c r="D990" s="16"/>
    </row>
    <row r="991" ht="15.75" customHeight="1">
      <c r="D991" s="16"/>
    </row>
    <row r="992" ht="15.75" customHeight="1">
      <c r="D992" s="16"/>
    </row>
    <row r="993" ht="15.75" customHeight="1">
      <c r="D993" s="16"/>
    </row>
    <row r="994" ht="15.75" customHeight="1">
      <c r="D994" s="16"/>
    </row>
    <row r="995" ht="15.75" customHeight="1">
      <c r="D995" s="16"/>
    </row>
    <row r="996" ht="15.75" customHeight="1">
      <c r="D996" s="16"/>
    </row>
    <row r="997" ht="15.75" customHeight="1">
      <c r="D997" s="16"/>
    </row>
    <row r="998" ht="15.75" customHeight="1">
      <c r="D998" s="16"/>
    </row>
    <row r="999" ht="15.75" customHeight="1">
      <c r="D999" s="16"/>
    </row>
    <row r="1000" ht="15.75" customHeight="1">
      <c r="D1000" s="16"/>
    </row>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34.0"/>
    <col customWidth="1" min="3" max="4" width="56.0"/>
    <col customWidth="1" min="5" max="5" width="14.13"/>
    <col customWidth="1" min="6" max="26" width="8.63"/>
  </cols>
  <sheetData>
    <row r="1">
      <c r="A1" s="6" t="s">
        <v>562</v>
      </c>
      <c r="B1" s="6" t="s">
        <v>563</v>
      </c>
      <c r="C1" s="6" t="s">
        <v>564</v>
      </c>
      <c r="D1" s="6" t="s">
        <v>565</v>
      </c>
      <c r="E1" s="6" t="s">
        <v>566</v>
      </c>
    </row>
    <row r="2">
      <c r="A2" s="7" t="s">
        <v>567</v>
      </c>
      <c r="B2" s="7" t="s">
        <v>568</v>
      </c>
      <c r="C2" s="7" t="s">
        <v>569</v>
      </c>
      <c r="D2" s="7" t="s">
        <v>570</v>
      </c>
      <c r="E2" s="7" t="s">
        <v>91</v>
      </c>
    </row>
    <row r="3">
      <c r="A3" s="7" t="s">
        <v>571</v>
      </c>
      <c r="B3" s="7" t="s">
        <v>572</v>
      </c>
      <c r="C3" s="7" t="s">
        <v>573</v>
      </c>
      <c r="D3" s="7" t="s">
        <v>574</v>
      </c>
      <c r="E3" s="7" t="s">
        <v>575</v>
      </c>
    </row>
    <row r="4">
      <c r="A4" s="7" t="s">
        <v>576</v>
      </c>
      <c r="B4" s="7" t="s">
        <v>577</v>
      </c>
      <c r="C4" s="7" t="s">
        <v>578</v>
      </c>
      <c r="D4" s="7" t="s">
        <v>579</v>
      </c>
      <c r="E4" s="7" t="s">
        <v>580</v>
      </c>
    </row>
    <row r="5">
      <c r="A5" s="7" t="s">
        <v>581</v>
      </c>
      <c r="B5" s="7" t="s">
        <v>582</v>
      </c>
      <c r="C5" s="7" t="s">
        <v>583</v>
      </c>
      <c r="D5" s="7" t="s">
        <v>584</v>
      </c>
      <c r="E5" s="7" t="s">
        <v>575</v>
      </c>
    </row>
    <row r="6">
      <c r="A6" s="7" t="s">
        <v>585</v>
      </c>
      <c r="B6" s="7" t="s">
        <v>586</v>
      </c>
      <c r="C6" s="7" t="s">
        <v>587</v>
      </c>
      <c r="D6" s="7" t="s">
        <v>588</v>
      </c>
      <c r="E6" s="7" t="s">
        <v>575</v>
      </c>
    </row>
    <row r="7">
      <c r="A7" s="7" t="s">
        <v>589</v>
      </c>
      <c r="B7" s="7" t="s">
        <v>590</v>
      </c>
      <c r="C7" s="7" t="s">
        <v>591</v>
      </c>
      <c r="D7" s="7" t="s">
        <v>592</v>
      </c>
      <c r="E7" s="7" t="s">
        <v>77</v>
      </c>
    </row>
    <row r="8">
      <c r="A8" s="7" t="s">
        <v>593</v>
      </c>
      <c r="B8" s="7" t="s">
        <v>594</v>
      </c>
      <c r="C8" s="7" t="s">
        <v>595</v>
      </c>
      <c r="D8" s="7" t="s">
        <v>596</v>
      </c>
      <c r="E8" s="7" t="s">
        <v>580</v>
      </c>
    </row>
    <row r="9">
      <c r="A9" s="7" t="s">
        <v>597</v>
      </c>
      <c r="B9" s="7" t="s">
        <v>598</v>
      </c>
      <c r="C9" s="7" t="s">
        <v>599</v>
      </c>
      <c r="D9" s="7" t="s">
        <v>600</v>
      </c>
      <c r="E9" s="7" t="s">
        <v>104</v>
      </c>
    </row>
    <row r="10">
      <c r="A10" s="7" t="s">
        <v>601</v>
      </c>
      <c r="B10" s="7" t="s">
        <v>602</v>
      </c>
      <c r="C10" s="7" t="s">
        <v>603</v>
      </c>
      <c r="D10" s="7" t="s">
        <v>604</v>
      </c>
      <c r="E10" s="7" t="s">
        <v>580</v>
      </c>
    </row>
    <row r="11">
      <c r="A11" s="7" t="s">
        <v>605</v>
      </c>
      <c r="B11" s="7" t="s">
        <v>606</v>
      </c>
      <c r="C11" s="7" t="s">
        <v>607</v>
      </c>
      <c r="D11" s="7" t="s">
        <v>608</v>
      </c>
      <c r="E11" s="7" t="s">
        <v>104</v>
      </c>
    </row>
    <row r="12">
      <c r="A12" s="7" t="s">
        <v>609</v>
      </c>
      <c r="B12" s="7" t="s">
        <v>610</v>
      </c>
      <c r="C12" s="7" t="s">
        <v>611</v>
      </c>
      <c r="D12" s="7" t="s">
        <v>612</v>
      </c>
      <c r="E12" s="7" t="s">
        <v>580</v>
      </c>
    </row>
    <row r="13">
      <c r="A13" s="7" t="s">
        <v>613</v>
      </c>
      <c r="B13" s="7" t="s">
        <v>614</v>
      </c>
      <c r="C13" s="7" t="s">
        <v>615</v>
      </c>
      <c r="D13" s="7" t="s">
        <v>616</v>
      </c>
      <c r="E13" s="7" t="s">
        <v>580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8.75"/>
    <col customWidth="1" min="3" max="3" width="10.88"/>
    <col customWidth="1" min="4" max="4" width="40.0"/>
    <col customWidth="1" min="5" max="5" width="11.63"/>
    <col customWidth="1" min="6" max="6" width="9.25"/>
    <col customWidth="1" min="7" max="7" width="31.63"/>
    <col customWidth="1" min="8" max="8" width="12.0"/>
    <col customWidth="1" min="9" max="10" width="35.0"/>
    <col customWidth="1" min="11" max="26" width="8.63"/>
  </cols>
  <sheetData>
    <row r="1">
      <c r="A1" s="6" t="s">
        <v>47</v>
      </c>
      <c r="B1" s="6" t="s">
        <v>617</v>
      </c>
      <c r="C1" s="6" t="s">
        <v>618</v>
      </c>
      <c r="D1" s="6" t="s">
        <v>619</v>
      </c>
      <c r="E1" s="6" t="s">
        <v>620</v>
      </c>
      <c r="F1" s="6" t="s">
        <v>621</v>
      </c>
      <c r="G1" s="6" t="s">
        <v>622</v>
      </c>
      <c r="H1" s="6" t="s">
        <v>526</v>
      </c>
      <c r="I1" s="6" t="s">
        <v>623</v>
      </c>
      <c r="J1" s="6" t="s">
        <v>624</v>
      </c>
    </row>
    <row r="2">
      <c r="A2" s="7" t="s">
        <v>77</v>
      </c>
      <c r="B2" s="7" t="s">
        <v>625</v>
      </c>
      <c r="C2" s="7" t="s">
        <v>626</v>
      </c>
      <c r="D2" s="7" t="s">
        <v>627</v>
      </c>
      <c r="E2" s="7" t="s">
        <v>89</v>
      </c>
      <c r="F2" s="7" t="s">
        <v>191</v>
      </c>
      <c r="G2" s="7" t="s">
        <v>628</v>
      </c>
      <c r="H2" s="7" t="s">
        <v>538</v>
      </c>
      <c r="I2" s="7" t="s">
        <v>629</v>
      </c>
      <c r="J2" s="7" t="s">
        <v>630</v>
      </c>
    </row>
    <row r="3">
      <c r="A3" s="7" t="s">
        <v>77</v>
      </c>
      <c r="B3" s="7" t="s">
        <v>631</v>
      </c>
      <c r="C3" s="7" t="s">
        <v>632</v>
      </c>
      <c r="D3" s="7" t="s">
        <v>633</v>
      </c>
      <c r="E3" s="7" t="s">
        <v>89</v>
      </c>
      <c r="F3" s="7" t="s">
        <v>89</v>
      </c>
      <c r="G3" s="7" t="s">
        <v>634</v>
      </c>
      <c r="H3" s="7" t="s">
        <v>635</v>
      </c>
      <c r="I3" s="7" t="s">
        <v>636</v>
      </c>
      <c r="J3" s="7" t="s">
        <v>637</v>
      </c>
    </row>
    <row r="4">
      <c r="A4" s="7" t="s">
        <v>91</v>
      </c>
      <c r="B4" s="7" t="s">
        <v>638</v>
      </c>
      <c r="C4" s="7" t="s">
        <v>351</v>
      </c>
      <c r="D4" s="7" t="s">
        <v>639</v>
      </c>
      <c r="E4" s="7" t="s">
        <v>102</v>
      </c>
      <c r="F4" s="7" t="s">
        <v>89</v>
      </c>
      <c r="G4" s="7" t="s">
        <v>640</v>
      </c>
      <c r="H4" s="7" t="s">
        <v>641</v>
      </c>
      <c r="I4" s="7" t="s">
        <v>642</v>
      </c>
      <c r="J4" s="7" t="s">
        <v>643</v>
      </c>
    </row>
    <row r="5">
      <c r="A5" s="7" t="s">
        <v>91</v>
      </c>
      <c r="B5" s="7" t="s">
        <v>644</v>
      </c>
      <c r="C5" s="7" t="s">
        <v>645</v>
      </c>
      <c r="D5" s="7" t="s">
        <v>646</v>
      </c>
      <c r="E5" s="7" t="s">
        <v>89</v>
      </c>
      <c r="F5" s="7" t="s">
        <v>89</v>
      </c>
      <c r="G5" s="7" t="s">
        <v>647</v>
      </c>
      <c r="H5" s="7" t="s">
        <v>538</v>
      </c>
      <c r="I5" s="7" t="s">
        <v>648</v>
      </c>
      <c r="J5" s="7" t="s">
        <v>649</v>
      </c>
    </row>
    <row r="6">
      <c r="A6" s="7" t="s">
        <v>104</v>
      </c>
      <c r="B6" s="7" t="s">
        <v>650</v>
      </c>
      <c r="C6" s="7" t="s">
        <v>651</v>
      </c>
      <c r="D6" s="7" t="s">
        <v>652</v>
      </c>
      <c r="E6" s="7" t="s">
        <v>89</v>
      </c>
      <c r="F6" s="7" t="s">
        <v>191</v>
      </c>
      <c r="G6" s="7" t="s">
        <v>653</v>
      </c>
      <c r="H6" s="7" t="s">
        <v>538</v>
      </c>
      <c r="I6" s="7" t="s">
        <v>654</v>
      </c>
      <c r="J6" s="7" t="s">
        <v>655</v>
      </c>
    </row>
    <row r="7">
      <c r="A7" s="7" t="s">
        <v>104</v>
      </c>
      <c r="B7" s="7" t="s">
        <v>656</v>
      </c>
      <c r="C7" s="7" t="s">
        <v>128</v>
      </c>
      <c r="D7" s="7" t="s">
        <v>657</v>
      </c>
      <c r="E7" s="7" t="s">
        <v>102</v>
      </c>
      <c r="F7" s="7" t="s">
        <v>191</v>
      </c>
      <c r="G7" s="7" t="s">
        <v>658</v>
      </c>
      <c r="H7" s="7" t="s">
        <v>538</v>
      </c>
      <c r="I7" s="7" t="s">
        <v>659</v>
      </c>
      <c r="J7" s="7" t="s">
        <v>660</v>
      </c>
    </row>
    <row r="8">
      <c r="A8" s="7" t="s">
        <v>104</v>
      </c>
      <c r="B8" s="7" t="s">
        <v>661</v>
      </c>
      <c r="C8" s="7" t="s">
        <v>351</v>
      </c>
      <c r="D8" s="7" t="s">
        <v>662</v>
      </c>
      <c r="E8" s="7" t="s">
        <v>89</v>
      </c>
      <c r="F8" s="7" t="s">
        <v>191</v>
      </c>
      <c r="G8" s="7" t="s">
        <v>663</v>
      </c>
      <c r="H8" s="7" t="s">
        <v>664</v>
      </c>
      <c r="I8" s="7" t="s">
        <v>665</v>
      </c>
      <c r="J8" s="7" t="s">
        <v>666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9.63"/>
    <col customWidth="1" min="2" max="2" width="47.13"/>
    <col customWidth="1" min="3" max="3" width="37.5"/>
    <col customWidth="1" min="4" max="4" width="17.5"/>
    <col customWidth="1" min="5" max="5" width="6.63"/>
    <col customWidth="1" min="6" max="6" width="96.63"/>
    <col customWidth="1" min="7" max="7" width="13.38"/>
    <col customWidth="1" min="8" max="26" width="8.63"/>
  </cols>
  <sheetData>
    <row r="1">
      <c r="A1" s="19" t="s">
        <v>667</v>
      </c>
    </row>
    <row r="3">
      <c r="A3" s="20" t="s">
        <v>668</v>
      </c>
      <c r="B3" s="20" t="s">
        <v>669</v>
      </c>
      <c r="C3" s="20" t="s">
        <v>670</v>
      </c>
    </row>
    <row r="4">
      <c r="A4" s="21" t="s">
        <v>671</v>
      </c>
      <c r="B4" s="21">
        <f>COUNTA(Dynamic_Cases!A2:A4)</f>
        <v>3</v>
      </c>
      <c r="C4" s="21" t="s">
        <v>672</v>
      </c>
    </row>
    <row r="5">
      <c r="A5" s="21" t="s">
        <v>673</v>
      </c>
      <c r="B5" s="21">
        <f>COUNTIF(Dynamic_Cases!AB2:AB4,"Resolved")</f>
        <v>3</v>
      </c>
      <c r="C5" s="21" t="s">
        <v>674</v>
      </c>
    </row>
    <row r="6">
      <c r="A6" s="21" t="s">
        <v>675</v>
      </c>
      <c r="B6" s="22">
        <f>COUNTIF(Dynamic_Cases!V2:V4,"On-time")/COUNTA(Dynamic_Cases!A2:A4)</f>
        <v>0.6666666667</v>
      </c>
      <c r="C6" s="21" t="s">
        <v>676</v>
      </c>
    </row>
    <row r="7">
      <c r="A7" s="21" t="s">
        <v>677</v>
      </c>
      <c r="B7" s="21">
        <f>AVERAGE(Dynamic_Cases!T2:T4)</f>
        <v>48.33333333</v>
      </c>
      <c r="C7" s="21" t="s">
        <v>678</v>
      </c>
    </row>
    <row r="8">
      <c r="A8" s="21" t="s">
        <v>679</v>
      </c>
      <c r="B8" s="21">
        <f>AVERAGE(Dynamic_Cases!U2:U4)</f>
        <v>55</v>
      </c>
      <c r="C8" s="21" t="s">
        <v>680</v>
      </c>
    </row>
    <row r="9">
      <c r="A9" s="21" t="s">
        <v>681</v>
      </c>
      <c r="B9" s="23">
        <f>SUM(Dynamic_Cases!X2:X4)</f>
        <v>2280000</v>
      </c>
      <c r="C9" s="21" t="s">
        <v>682</v>
      </c>
    </row>
    <row r="10">
      <c r="A10" s="21" t="s">
        <v>683</v>
      </c>
      <c r="B10" s="23">
        <f>SUM(Dynamic_Cases!Y2:Y4)</f>
        <v>125</v>
      </c>
      <c r="C10" s="21" t="s">
        <v>684</v>
      </c>
    </row>
    <row r="11">
      <c r="A11" s="21" t="s">
        <v>685</v>
      </c>
      <c r="B11" s="23">
        <f>SUM(Dynamic_Cases!AA2:AA4)</f>
        <v>14895000</v>
      </c>
      <c r="C11" s="21" t="s">
        <v>686</v>
      </c>
    </row>
    <row r="14">
      <c r="A14" s="6" t="s">
        <v>47</v>
      </c>
      <c r="B14" s="6" t="s">
        <v>687</v>
      </c>
      <c r="C14" s="6" t="s">
        <v>688</v>
      </c>
      <c r="D14" s="6" t="s">
        <v>689</v>
      </c>
      <c r="E14" s="6" t="s">
        <v>626</v>
      </c>
      <c r="F14" s="6" t="s">
        <v>690</v>
      </c>
      <c r="G14" s="6" t="s">
        <v>691</v>
      </c>
    </row>
    <row r="15">
      <c r="A15" s="7" t="str">
        <f>Dynamic_Cases!A2</f>
        <v>DYN01</v>
      </c>
      <c r="B15" s="7" t="str">
        <f>Dynamic_Cases!B2</f>
        <v>Xe hỏng giữa đường - buộc điều xe gần nhất</v>
      </c>
      <c r="C15" s="7">
        <f>Dynamic_Cases!T2</f>
        <v>40</v>
      </c>
      <c r="D15" s="7">
        <f>Dynamic_Cases!U2</f>
        <v>0</v>
      </c>
      <c r="E15" s="7" t="str">
        <f>Dynamic_Cases!V2</f>
        <v>On-time</v>
      </c>
      <c r="F15" s="7" t="str">
        <f>Dynamic_Cases!S2</f>
        <v>Điều xe rỗng gần nhất trong bán kính 2-30km, chuyển tải tại điểm an toàn, gửi lệnh mới cho tài xế và yêu cầu confirm</v>
      </c>
      <c r="G15" s="7" t="str">
        <f>Dynamic_Cases!AC2</f>
        <v>Medium</v>
      </c>
    </row>
    <row r="16">
      <c r="A16" s="7" t="str">
        <f>Dynamic_Cases!A3</f>
        <v>DYN02</v>
      </c>
      <c r="B16" s="7" t="str">
        <f>Dynamic_Cases!B3</f>
        <v>Khách đổi giờ giao + kho đóng hàng muộn</v>
      </c>
      <c r="C16" s="7">
        <f>Dynamic_Cases!T3</f>
        <v>35</v>
      </c>
      <c r="D16" s="7">
        <f>Dynamic_Cases!U3</f>
        <v>165</v>
      </c>
      <c r="E16" s="7" t="str">
        <f>Dynamic_Cases!V3</f>
        <v>Late</v>
      </c>
      <c r="F16" s="7" t="str">
        <f>Dynamic_Cases!S3</f>
        <v>Đổi thứ tự giao: giao ORD-023 trước, giữ xe trên tuyến, cập nhật TW mềm và lưu xác nhận khách hàng</v>
      </c>
      <c r="G16" s="7" t="str">
        <f>Dynamic_Cases!AC3</f>
        <v>Low</v>
      </c>
    </row>
    <row r="17">
      <c r="A17" s="7" t="str">
        <f>Dynamic_Cases!A4</f>
        <v>DYN03</v>
      </c>
      <c r="B17" s="7" t="str">
        <f>Dynamic_Cases!B4</f>
        <v>Tắc đường (phổ biến) + xe bị kiểm tra (optional)</v>
      </c>
      <c r="C17" s="7">
        <f>Dynamic_Cases!T4</f>
        <v>70</v>
      </c>
      <c r="D17" s="7">
        <f>Dynamic_Cases!U4</f>
        <v>0</v>
      </c>
      <c r="E17" s="7" t="str">
        <f>Dynamic_Cases!V4</f>
        <v>On-time</v>
      </c>
      <c r="F17" s="7" t="str">
        <f>Dynamic_Cases!S4</f>
        <v>Tách 2 điểm nội thành sang xe 1.25T gần nhất, xe lớn dừng tại điểm trung chuyển ngoài vành đai, cập nhật ETA cho khách</v>
      </c>
      <c r="G17" s="7" t="str">
        <f>Dynamic_Cases!AC4</f>
        <v>Medium-High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conditionalFormatting sqref="E15:E17">
    <cfRule type="expression" dxfId="4" priority="1">
      <formula>E15="On-time"</formula>
    </cfRule>
  </conditionalFormatting>
  <conditionalFormatting sqref="E15:E17">
    <cfRule type="expression" dxfId="5" priority="2">
      <formula>E15="Minor late"</formula>
    </cfRule>
  </conditionalFormatting>
  <conditionalFormatting sqref="E15:E17">
    <cfRule type="expression" dxfId="6" priority="3">
      <formula>E15="Late"</formula>
    </cfRule>
  </conditionalFormatting>
  <printOptions/>
  <pageMargins bottom="0.75" footer="0.0" header="0.0" left="0.7" right="0.7" top="0.75"/>
  <pageSetup orientation="landscape"/>
  <drawing r:id="rId1"/>
  <tableParts count="1">
    <tablePart r:id="rId3"/>
  </tableParts>
</worksheet>
</file>