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00_README_Dashboard" sheetId="1" state="visible" r:id="rId1"/>
    <sheet name="01_Data_Dictionary" sheetId="2" state="visible" r:id="rId2"/>
    <sheet name="02_Depots_Zones" sheetId="3" state="visible" r:id="rId3"/>
    <sheet name="03_Cost_Constraints" sheetId="4" state="visible" r:id="rId4"/>
    <sheet name="04_Fleet_40" sheetId="5" state="visible" r:id="rId5"/>
    <sheet name="S1_Thua_NangLuc" sheetId="6" state="visible" r:id="rId6"/>
    <sheet name="S2_DapUng_Du" sheetId="7" state="visible" r:id="rId7"/>
    <sheet name="S3_Thieu_NangLuc" sheetId="8" state="visible" r:id="rId8"/>
    <sheet name="08_Algorithm_Nodes" sheetId="9" state="visible" r:id="rId9"/>
    <sheet name="09_Scenario_Solutions" sheetId="10" state="visible" r:id="rId10"/>
    <sheet name="10_Solver_Settings" sheetId="11" state="visible" r:id="rId11"/>
  </sheets>
  <definedNames>
    <definedName name="_xlnm.Print_Titles" localSheetId="0">'00_README_Dashboard'!$13:$13</definedName>
    <definedName name="_xlnm.Print_Titles" localSheetId="1">'01_Data_Dictionary'!$1:$1</definedName>
    <definedName name="_xlnm.Print_Titles" localSheetId="2">'02_Depots_Zones'!$1:$1</definedName>
    <definedName name="_xlnm.Print_Titles" localSheetId="3">'03_Cost_Constraints'!$1:$1</definedName>
    <definedName name="_xlnm.Print_Titles" localSheetId="4">'04_Fleet_40'!$1:$1</definedName>
    <definedName name="_xlnm.Print_Titles" localSheetId="5">'S1_Thua_NangLuc'!$1:$1</definedName>
    <definedName name="_xlnm.Print_Titles" localSheetId="6">'S2_DapUng_Du'!$1:$1</definedName>
    <definedName name="_xlnm.Print_Titles" localSheetId="7">'S3_Thieu_NangLuc'!$1:$1</definedName>
    <definedName name="_xlnm.Print_Titles" localSheetId="8">'08_Algorithm_Nodes'!$1:$1</definedName>
    <definedName name="_xlnm.Print_Titles" localSheetId="9">'09_Scenario_Solutions'!$1:$1</definedName>
    <definedName name="_xlnm.Print_Titles" localSheetId="10">'10_Solver_Settings'!$1:$1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đ"/>
    <numFmt numFmtId="165" formatCode="0.0"/>
    <numFmt numFmtId="166" formatCode="0.000000"/>
    <numFmt numFmtId="167" formatCode="#,##0.0"/>
    <numFmt numFmtId="168" formatCode="#,##0&quot; đ&quot;;[Red]\-#,##0&quot; đ&quot;"/>
  </numFmts>
  <fonts count="9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1F2937"/>
      <sz val="10.5"/>
    </font>
    <font>
      <name val="Calibri"/>
      <b val="1"/>
      <color rgb="00FFFFFF"/>
      <sz val="10.5"/>
    </font>
  </fonts>
  <fills count="9">
    <fill>
      <patternFill/>
    </fill>
    <fill>
      <patternFill patternType="lightGray"/>
    </fill>
    <fill>
      <patternFill patternType="solid">
        <fgColor rgb="FF0B1120"/>
        <bgColor rgb="FF0B1120"/>
      </patternFill>
    </fill>
    <fill>
      <patternFill patternType="solid">
        <fgColor rgb="FF0F766E"/>
        <bgColor rgb="FF0F766E"/>
      </patternFill>
    </fill>
    <fill>
      <patternFill patternType="solid">
        <fgColor rgb="FF1E293B"/>
        <bgColor rgb="FF1E293B"/>
      </patternFill>
    </fill>
    <fill>
      <patternFill patternType="solid">
        <fgColor rgb="0013315C"/>
      </patternFill>
    </fill>
    <fill>
      <patternFill patternType="solid">
        <fgColor rgb="00EEF3F9"/>
      </patternFill>
    </fill>
    <fill>
      <patternFill patternType="solid">
        <fgColor rgb="00FFFFFF"/>
      </patternFill>
    </fill>
    <fill>
      <patternFill patternType="solid">
        <fgColor rgb="001D5B97"/>
      </patternFill>
    </fill>
  </fills>
  <borders count="4">
    <border/>
    <border>
      <bottom style="medium">
        <color rgb="001D5B97"/>
      </bottom>
    </border>
    <border>
      <bottom style="thin">
        <color rgb="00D8E0EA"/>
      </bottom>
    </border>
    <border>
      <top style="medium">
        <color rgb="0013315C"/>
      </top>
      <bottom style="thin">
        <color rgb="00D8E0EA"/>
      </bottom>
    </border>
  </borders>
  <cellStyleXfs count="1">
    <xf numFmtId="0" fontId="0" fillId="0" borderId="0"/>
  </cellStyleXfs>
  <cellXfs count="40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4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3" borderId="0" applyAlignment="1" pivotButton="0" quotePrefix="0" xfId="0">
      <alignment horizontal="center" wrapText="1"/>
    </xf>
    <xf numFmtId="164" fontId="4" fillId="0" borderId="0" pivotButton="0" quotePrefix="0" xfId="0"/>
    <xf numFmtId="165" fontId="4" fillId="0" borderId="0" pivotButton="0" quotePrefix="0" xfId="0"/>
    <xf numFmtId="0" fontId="2" fillId="3" borderId="0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vertical="top" wrapText="1"/>
    </xf>
    <xf numFmtId="165" fontId="4" fillId="0" borderId="0" applyAlignment="1" pivotButton="0" quotePrefix="0" xfId="0">
      <alignment vertical="top" wrapText="1"/>
    </xf>
    <xf numFmtId="4" fontId="4" fillId="0" borderId="0" applyAlignment="1" pivotButton="0" quotePrefix="0" xfId="0">
      <alignment vertical="top" wrapText="1"/>
    </xf>
    <xf numFmtId="166" fontId="4" fillId="0" borderId="0" applyAlignment="1" pivotButton="0" quotePrefix="0" xfId="0">
      <alignment vertical="top" wrapText="1"/>
    </xf>
    <xf numFmtId="1" fontId="4" fillId="0" borderId="0" applyAlignment="1" pivotButton="0" quotePrefix="0" xfId="0">
      <alignment vertical="top" wrapText="1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right" vertical="center"/>
    </xf>
    <xf numFmtId="0" fontId="7" fillId="7" borderId="2" applyAlignment="1" pivotButton="0" quotePrefix="0" xfId="0">
      <alignment horizontal="left" vertical="center"/>
    </xf>
    <xf numFmtId="0" fontId="7" fillId="7" borderId="2" applyAlignment="1" pivotButton="0" quotePrefix="0" xfId="0">
      <alignment horizontal="right" vertical="center"/>
    </xf>
    <xf numFmtId="0" fontId="8" fillId="8" borderId="3" applyAlignment="1" pivotButton="0" quotePrefix="0" xfId="0">
      <alignment horizontal="left" vertical="center"/>
    </xf>
    <xf numFmtId="164" fontId="8" fillId="8" borderId="3" applyAlignment="1" pivotButton="0" quotePrefix="0" xfId="0">
      <alignment horizontal="left" vertical="center"/>
    </xf>
    <xf numFmtId="165" fontId="7" fillId="6" borderId="2" applyAlignment="1" pivotButton="0" quotePrefix="0" xfId="0">
      <alignment horizontal="left" vertical="center"/>
    </xf>
    <xf numFmtId="3" fontId="7" fillId="6" borderId="2" applyAlignment="1" pivotButton="0" quotePrefix="0" xfId="0">
      <alignment horizontal="right" vertical="center"/>
    </xf>
    <xf numFmtId="167" fontId="7" fillId="6" borderId="2" applyAlignment="1" pivotButton="0" quotePrefix="0" xfId="0">
      <alignment horizontal="right" vertical="center"/>
    </xf>
    <xf numFmtId="3" fontId="7" fillId="6" borderId="2" applyAlignment="1" pivotButton="0" quotePrefix="0" xfId="0">
      <alignment horizontal="left" vertical="center"/>
    </xf>
    <xf numFmtId="168" fontId="7" fillId="6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right" vertical="center"/>
    </xf>
    <xf numFmtId="167" fontId="7" fillId="7" borderId="2" applyAlignment="1" pivotButton="0" quotePrefix="0" xfId="0">
      <alignment horizontal="right" vertical="center"/>
    </xf>
    <xf numFmtId="3" fontId="7" fillId="7" borderId="2" applyAlignment="1" pivotButton="0" quotePrefix="0" xfId="0">
      <alignment horizontal="left" vertical="center"/>
    </xf>
    <xf numFmtId="168" fontId="7" fillId="7" borderId="2" applyAlignment="1" pivotButton="0" quotePrefix="0" xfId="0">
      <alignment horizontal="right" vertical="center"/>
    </xf>
    <xf numFmtId="166" fontId="7" fillId="6" borderId="2" applyAlignment="1" pivotButton="0" quotePrefix="0" xfId="0">
      <alignment horizontal="right" vertical="center"/>
    </xf>
    <xf numFmtId="1" fontId="7" fillId="6" borderId="2" applyAlignment="1" pivotButton="0" quotePrefix="0" xfId="0">
      <alignment horizontal="right" vertical="center"/>
    </xf>
    <xf numFmtId="166" fontId="7" fillId="7" borderId="2" applyAlignment="1" pivotButton="0" quotePrefix="0" xfId="0">
      <alignment horizontal="right" vertical="center"/>
    </xf>
    <xf numFmtId="1" fontId="7" fillId="7" borderId="2" applyAlignment="1" pivotButton="0" quotePrefix="0" xfId="0">
      <alignment horizontal="right" vertical="center"/>
    </xf>
  </cellXfs>
  <cellStyles count="1">
    <cellStyle name="Normal" xfId="0" builtinId="0"/>
  </cellStyles>
  <dxfs count="6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FEE2E2"/>
          <bgColor rgb="FFFEE2E2"/>
        </patternFill>
      </fill>
      <border/>
    </dxf>
    <dxf>
      <font/>
      <fill>
        <patternFill patternType="solid">
          <fgColor rgb="FFFEF3C7"/>
          <bgColor rgb="FFFEF3C7"/>
        </patternFill>
      </fill>
      <border/>
    </dxf>
  </dxfs>
  <tableStyles count="11" defaultTableStyle="TableStyleMedium9" defaultPivotStyle="PivotStyleLight16">
    <tableStyle name="00_README_Dashboard-style" pivot="0" count="3">
      <tableStyleElement type="headerRow" dxfId="1"/>
      <tableStyleElement type="firstRowStripe" dxfId="2"/>
      <tableStyleElement type="secondRowStripe" dxfId="3"/>
    </tableStyle>
    <tableStyle name="01_Data_Dictionary-style" pivot="0" count="3">
      <tableStyleElement type="headerRow" dxfId="1"/>
      <tableStyleElement type="firstRowStripe" dxfId="2"/>
      <tableStyleElement type="secondRowStripe" dxfId="3"/>
    </tableStyle>
    <tableStyle name="02_Depots_Zones-style" pivot="0" count="3">
      <tableStyleElement type="headerRow" dxfId="1"/>
      <tableStyleElement type="firstRowStripe" dxfId="2"/>
      <tableStyleElement type="secondRowStripe" dxfId="3"/>
    </tableStyle>
    <tableStyle name="03_Cost_Constraints-style" pivot="0" count="3">
      <tableStyleElement type="headerRow" dxfId="1"/>
      <tableStyleElement type="firstRowStripe" dxfId="2"/>
      <tableStyleElement type="secondRowStripe" dxfId="3"/>
    </tableStyle>
    <tableStyle name="04_Fleet_40-style" pivot="0" count="3">
      <tableStyleElement type="headerRow" dxfId="1"/>
      <tableStyleElement type="firstRowStripe" dxfId="2"/>
      <tableStyleElement type="secondRowStripe" dxfId="3"/>
    </tableStyle>
    <tableStyle name="S1_Thua_NangLuc-style" pivot="0" count="3">
      <tableStyleElement type="headerRow" dxfId="1"/>
      <tableStyleElement type="firstRowStripe" dxfId="2"/>
      <tableStyleElement type="secondRowStripe" dxfId="3"/>
    </tableStyle>
    <tableStyle name="S2_DapUng_Du-style" pivot="0" count="3">
      <tableStyleElement type="headerRow" dxfId="1"/>
      <tableStyleElement type="firstRowStripe" dxfId="2"/>
      <tableStyleElement type="secondRowStripe" dxfId="3"/>
    </tableStyle>
    <tableStyle name="S3_Thieu_NangLuc-style" pivot="0" count="3">
      <tableStyleElement type="headerRow" dxfId="1"/>
      <tableStyleElement type="firstRowStripe" dxfId="2"/>
      <tableStyleElement type="secondRowStripe" dxfId="3"/>
    </tableStyle>
    <tableStyle name="08_Algorithm_Nodes-style" pivot="0" count="3">
      <tableStyleElement type="headerRow" dxfId="1"/>
      <tableStyleElement type="firstRowStripe" dxfId="2"/>
      <tableStyleElement type="secondRowStripe" dxfId="3"/>
    </tableStyle>
    <tableStyle name="09_Scenario_Solutions-style" pivot="0" count="3">
      <tableStyleElement type="headerRow" dxfId="1"/>
      <tableStyleElement type="firstRowStripe" dxfId="2"/>
      <tableStyleElement type="secondRowStripe" dxfId="3"/>
    </tableStyle>
    <tableStyle name="10_Solver_Settings-style" pivot="0" count="3">
      <tableStyleElement type="headerRow" dxfId="1"/>
      <tableStyleElement type="firstRowStripe" dxfId="2"/>
      <tableStyleElement type="second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ables/table1.xml><?xml version="1.0" encoding="utf-8"?>
<table xmlns="http://schemas.openxmlformats.org/spreadsheetml/2006/main" id="1" name="Table_1" displayName="Table_1" ref="A13:J16" headerRowCount="1">
  <tableColumns count="10">
    <tableColumn id="1" name="Scenario_ID"/>
    <tableColumn id="2" name="Case"/>
    <tableColumn id="3" name="Orders"/>
    <tableColumn id="4" name="Internal_Vehicles_Available"/>
    <tableColumn id="5" name="Estimated_Route/Vehicle_Need"/>
    <tableColumn id="6" name="Capacity_Gap"/>
    <tableColumn id="7" name="Planning_Meaning"/>
    <tableColumn id="8" name="Proposed_Operational_Response"/>
    <tableColumn id="9" name="Algorithm_Settings"/>
    <tableColumn id="10" name="Presentation_Note"/>
  </tableColumns>
  <tableStyleInfo name="TableStyleLight1" showFirstColumn="0" showLastColumn="0" showRowStripes="0" showColumnStripes="0"/>
</table>
</file>

<file path=xl/tables/table2.xml><?xml version="1.0" encoding="utf-8"?>
<table xmlns="http://schemas.openxmlformats.org/spreadsheetml/2006/main" id="2" name="Table_2" displayName="Table_2" ref="A1:C120" headerRowCount="1">
  <tableColumns count="3">
    <tableColumn id="1" name="Sheet"/>
    <tableColumn id="2" name="Field"/>
    <tableColumn id="3" name="Definition / Use in Algorithm"/>
  </tableColumns>
  <tableStyleInfo name="TableStyleLight1" showFirstColumn="0" showLastColumn="0" showRowStripes="0" showColumnStripes="0"/>
</table>
</file>

<file path=xl/tables/table3.xml><?xml version="1.0" encoding="utf-8"?>
<table xmlns="http://schemas.openxmlformats.org/spreadsheetml/2006/main" id="3" name="Table_3" displayName="Table_3" ref="A1:K9" headerRowCount="1">
  <tableColumns count="11">
    <tableColumn id="1" name="Location_ID"/>
    <tableColumn id="2" name="Location_Name"/>
    <tableColumn id="3" name="Type"/>
    <tableColumn id="4" name="Province"/>
    <tableColumn id="5" name="District"/>
    <tableColumn id="6" name="Latitude"/>
    <tableColumn id="7" name="Longitude"/>
    <tableColumn id="8" name="Allowed_Vehicle_Types"/>
    <tableColumn id="9" name="Operating_Start"/>
    <tableColumn id="10" name="Operating_End"/>
    <tableColumn id="11" name="Notes"/>
  </tableColumns>
  <tableStyleInfo name="TableStyleLight1" showFirstColumn="0" showLastColumn="0" showRowStripes="0" showColumnStripes="0"/>
</table>
</file>

<file path=xl/tables/table4.xml><?xml version="1.0" encoding="utf-8"?>
<table xmlns="http://schemas.openxmlformats.org/spreadsheetml/2006/main" id="4" name="Table_4" displayName="Table_4" ref="A1:D20" headerRowCount="1">
  <tableColumns count="4">
    <tableColumn id="1" name="Parameter"/>
    <tableColumn id="2" name="Value"/>
    <tableColumn id="3" name="Unit"/>
    <tableColumn id="4" name="Business Meaning / Source in user-provided logic"/>
  </tableColumns>
  <tableStyleInfo name="TableStyleLight1" showFirstColumn="0" showLastColumn="0" showRowStripes="0" showColumnStripes="0"/>
</table>
</file>

<file path=xl/tables/table5.xml><?xml version="1.0" encoding="utf-8"?>
<table xmlns="http://schemas.openxmlformats.org/spreadsheetml/2006/main" id="5" name="Table_5" displayName="Table_5" ref="A1:AD41" headerRowCount="1">
  <tableColumns count="30">
    <tableColumn id="1" name="Vehicle_ID"/>
    <tableColumn id="2" name="Plate_No"/>
    <tableColumn id="3" name="Vehicle_Type"/>
    <tableColumn id="4" name="Vehicle_Class"/>
    <tableColumn id="5" name="Max_Weight_kg"/>
    <tableColumn id="6" name="Max_Volume_m3"/>
    <tableColumn id="7" name="Refrigerated"/>
    <tableColumn id="8" name="Driver_ID"/>
    <tableColumn id="9" name="Driver_Name"/>
    <tableColumn id="10" name="Depot_ID"/>
    <tableColumn id="11" name="Depot_Name"/>
    <tableColumn id="12" name="Preferred_Corridor"/>
    <tableColumn id="13" name="Shift_Start"/>
    <tableColumn id="14" name="Shift_End"/>
    <tableColumn id="15" name="Max_Driving_Hours_per_Day"/>
    <tableColumn id="16" name="Max_Stops"/>
    <tableColumn id="17" name="Fuel_L_per_km"/>
    <tableColumn id="18" name="Fuel_Cost_per_km"/>
    <tableColumn id="19" name="EmptyRun_Cost_per_km"/>
    <tableColumn id="20" name="Fixed_Cost_per_Day"/>
    <tableColumn id="21" name="Driver_Cost_per_Trip"/>
    <tableColumn id="22" name="Avg_Speed_kmph"/>
    <tableColumn id="23" name="HN_Inner_Allowed"/>
    <tableColumn id="24" name="Road_Access_Class"/>
    <tableColumn id="25" name="Status"/>
    <tableColumn id="26" name="Available_Date"/>
    <tableColumn id="27" name="Current_Lat"/>
    <tableColumn id="28" name="Current_Lon"/>
    <tableColumn id="29" name="GPS_Status"/>
    <tableColumn id="30" name="Notes"/>
  </tableColumns>
  <tableStyleInfo name="TableStyleLight1" showFirstColumn="0" showLastColumn="0" showRowStripes="0" showColumnStripes="0"/>
</table>
</file>

<file path=xl/tables/table6.xml><?xml version="1.0" encoding="utf-8"?>
<table xmlns="http://schemas.openxmlformats.org/spreadsheetml/2006/main" id="6" name="Table_6" displayName="Table_6" ref="A1:BG31" headerRowCount="1">
  <tableColumns count="59">
    <tableColumn id="1" name="Scenario_ID"/>
    <tableColumn id="2" name="Planning_Date"/>
    <tableColumn id="3" name="Order_ID"/>
    <tableColumn id="4" name="Customer_Group"/>
    <tableColumn id="5" name="Customer_Name"/>
    <tableColumn id="6" name="Channel"/>
    <tableColumn id="7" name="SKU_Code"/>
    <tableColumn id="8" name="Product_Group"/>
    <tableColumn id="9" name="Pickup_ID"/>
    <tableColumn id="10" name="Pickup_Name"/>
    <tableColumn id="11" name="Pickup_Province"/>
    <tableColumn id="12" name="Pickup_District"/>
    <tableColumn id="13" name="Pickup_Lat"/>
    <tableColumn id="14" name="Pickup_Lon"/>
    <tableColumn id="15" name="Delivery_ID"/>
    <tableColumn id="16" name="Delivery_Name"/>
    <tableColumn id="17" name="Delivery_Province"/>
    <tableColumn id="18" name="Delivery_District"/>
    <tableColumn id="19" name="Delivery_Lat"/>
    <tableColumn id="20" name="Delivery_Lon"/>
    <tableColumn id="21" name="Corridor"/>
    <tableColumn id="22" name="Route_Axis"/>
    <tableColumn id="23" name="Direct_Distance_km"/>
    <tableColumn id="24" name="Weight_kg"/>
    <tableColumn id="25" name="Volume_m3"/>
    <tableColumn id="26" name="Pallet_Qty"/>
    <tableColumn id="27" name="Min_Vehicle_Type"/>
    <tableColumn id="28" name="Max_Vehicle_Type_Allowed"/>
    <tableColumn id="29" name="Required_Refrigeration"/>
    <tableColumn id="30" name="Can_Consolidate"/>
    <tableColumn id="31" name="Dedicated_Vehicle"/>
    <tableColumn id="32" name="Inner_City_Restriction"/>
    <tableColumn id="33" name="Access_Note"/>
    <tableColumn id="34" name="Pickup_TW_Start"/>
    <tableColumn id="35" name="Pickup_TW_End"/>
    <tableColumn id="36" name="Drop_TW_Start"/>
    <tableColumn id="37" name="Drop_TW_End"/>
    <tableColumn id="38" name="TW_Flex_Min"/>
    <tableColumn id="39" name="Pickup_Service_Min"/>
    <tableColumn id="40" name="Drop_Service_Min"/>
    <tableColumn id="41" name="Lead_Time_Min"/>
    <tableColumn id="42" name="Freight_Revenue_VND"/>
    <tableColumn id="43" name="Extra_Stop_Fee_VND"/>
    <tableColumn id="44" name="Waiting_Fee_Chargeable_VND"/>
    <tableColumn id="45" name="Late_Penalty_VND_per_30m"/>
    <tableColumn id="46" name="Customer_Priority"/>
    <tableColumn id="47" name="Contract_Route_ID"/>
    <tableColumn id="48" name="Source_System"/>
    <tableColumn id="49" name="Seed_Cluster_ID"/>
    <tableColumn id="50" name="Suggested_Vehicle_Type"/>
    <tableColumn id="51" name="Suggested_Action"/>
    <tableColumn id="52" name="Validation_Status"/>
    <tableColumn id="53" name="Risk_Flag"/>
    <tableColumn id="54" name="Total_Service_Min"/>
    <tableColumn id="55" name="Direct_Drive_Min"/>
    <tableColumn id="56" name="Load_Class_kg"/>
    <tableColumn id="57" name="LeadTime_Check"/>
    <tableColumn id="58" name="Algorithm_Ready_Flag"/>
    <tableColumn id="59" name="Notes"/>
  </tableColumns>
  <tableStyleInfo name="TableStyleLight1" showFirstColumn="0" showLastColumn="0" showRowStripes="0" showColumnStripes="0"/>
</table>
</file>

<file path=xl/tables/table7.xml><?xml version="1.0" encoding="utf-8"?>
<table xmlns="http://schemas.openxmlformats.org/spreadsheetml/2006/main" id="7" name="Table_7" displayName="Table_7" ref="A1:BG45" headerRowCount="1">
  <tableColumns count="59">
    <tableColumn id="1" name="Scenario_ID"/>
    <tableColumn id="2" name="Planning_Date"/>
    <tableColumn id="3" name="Order_ID"/>
    <tableColumn id="4" name="Customer_Group"/>
    <tableColumn id="5" name="Customer_Name"/>
    <tableColumn id="6" name="Channel"/>
    <tableColumn id="7" name="SKU_Code"/>
    <tableColumn id="8" name="Product_Group"/>
    <tableColumn id="9" name="Pickup_ID"/>
    <tableColumn id="10" name="Pickup_Name"/>
    <tableColumn id="11" name="Pickup_Province"/>
    <tableColumn id="12" name="Pickup_District"/>
    <tableColumn id="13" name="Pickup_Lat"/>
    <tableColumn id="14" name="Pickup_Lon"/>
    <tableColumn id="15" name="Delivery_ID"/>
    <tableColumn id="16" name="Delivery_Name"/>
    <tableColumn id="17" name="Delivery_Province"/>
    <tableColumn id="18" name="Delivery_District"/>
    <tableColumn id="19" name="Delivery_Lat"/>
    <tableColumn id="20" name="Delivery_Lon"/>
    <tableColumn id="21" name="Corridor"/>
    <tableColumn id="22" name="Route_Axis"/>
    <tableColumn id="23" name="Direct_Distance_km"/>
    <tableColumn id="24" name="Weight_kg"/>
    <tableColumn id="25" name="Volume_m3"/>
    <tableColumn id="26" name="Pallet_Qty"/>
    <tableColumn id="27" name="Min_Vehicle_Type"/>
    <tableColumn id="28" name="Max_Vehicle_Type_Allowed"/>
    <tableColumn id="29" name="Required_Refrigeration"/>
    <tableColumn id="30" name="Can_Consolidate"/>
    <tableColumn id="31" name="Dedicated_Vehicle"/>
    <tableColumn id="32" name="Inner_City_Restriction"/>
    <tableColumn id="33" name="Access_Note"/>
    <tableColumn id="34" name="Pickup_TW_Start"/>
    <tableColumn id="35" name="Pickup_TW_End"/>
    <tableColumn id="36" name="Drop_TW_Start"/>
    <tableColumn id="37" name="Drop_TW_End"/>
    <tableColumn id="38" name="TW_Flex_Min"/>
    <tableColumn id="39" name="Pickup_Service_Min"/>
    <tableColumn id="40" name="Drop_Service_Min"/>
    <tableColumn id="41" name="Lead_Time_Min"/>
    <tableColumn id="42" name="Freight_Revenue_VND"/>
    <tableColumn id="43" name="Extra_Stop_Fee_VND"/>
    <tableColumn id="44" name="Waiting_Fee_Chargeable_VND"/>
    <tableColumn id="45" name="Late_Penalty_VND_per_30m"/>
    <tableColumn id="46" name="Customer_Priority"/>
    <tableColumn id="47" name="Contract_Route_ID"/>
    <tableColumn id="48" name="Source_System"/>
    <tableColumn id="49" name="Seed_Cluster_ID"/>
    <tableColumn id="50" name="Suggested_Vehicle_Type"/>
    <tableColumn id="51" name="Suggested_Action"/>
    <tableColumn id="52" name="Validation_Status"/>
    <tableColumn id="53" name="Risk_Flag"/>
    <tableColumn id="54" name="Total_Service_Min"/>
    <tableColumn id="55" name="Direct_Drive_Min"/>
    <tableColumn id="56" name="Load_Class_kg"/>
    <tableColumn id="57" name="LeadTime_Check"/>
    <tableColumn id="58" name="Algorithm_Ready_Flag"/>
    <tableColumn id="59" name="Notes"/>
  </tableColumns>
  <tableStyleInfo name="TableStyleLight1" showFirstColumn="0" showLastColumn="0" showRowStripes="0" showColumnStripes="0"/>
</table>
</file>

<file path=xl/tables/table8.xml><?xml version="1.0" encoding="utf-8"?>
<table xmlns="http://schemas.openxmlformats.org/spreadsheetml/2006/main" id="8" name="Table_8" displayName="Table_8" ref="A1:BG61" headerRowCount="1">
  <tableColumns count="59">
    <tableColumn id="1" name="Scenario_ID"/>
    <tableColumn id="2" name="Planning_Date"/>
    <tableColumn id="3" name="Order_ID"/>
    <tableColumn id="4" name="Customer_Group"/>
    <tableColumn id="5" name="Customer_Name"/>
    <tableColumn id="6" name="Channel"/>
    <tableColumn id="7" name="SKU_Code"/>
    <tableColumn id="8" name="Product_Group"/>
    <tableColumn id="9" name="Pickup_ID"/>
    <tableColumn id="10" name="Pickup_Name"/>
    <tableColumn id="11" name="Pickup_Province"/>
    <tableColumn id="12" name="Pickup_District"/>
    <tableColumn id="13" name="Pickup_Lat"/>
    <tableColumn id="14" name="Pickup_Lon"/>
    <tableColumn id="15" name="Delivery_ID"/>
    <tableColumn id="16" name="Delivery_Name"/>
    <tableColumn id="17" name="Delivery_Province"/>
    <tableColumn id="18" name="Delivery_District"/>
    <tableColumn id="19" name="Delivery_Lat"/>
    <tableColumn id="20" name="Delivery_Lon"/>
    <tableColumn id="21" name="Corridor"/>
    <tableColumn id="22" name="Route_Axis"/>
    <tableColumn id="23" name="Direct_Distance_km"/>
    <tableColumn id="24" name="Weight_kg"/>
    <tableColumn id="25" name="Volume_m3"/>
    <tableColumn id="26" name="Pallet_Qty"/>
    <tableColumn id="27" name="Min_Vehicle_Type"/>
    <tableColumn id="28" name="Max_Vehicle_Type_Allowed"/>
    <tableColumn id="29" name="Required_Refrigeration"/>
    <tableColumn id="30" name="Can_Consolidate"/>
    <tableColumn id="31" name="Dedicated_Vehicle"/>
    <tableColumn id="32" name="Inner_City_Restriction"/>
    <tableColumn id="33" name="Access_Note"/>
    <tableColumn id="34" name="Pickup_TW_Start"/>
    <tableColumn id="35" name="Pickup_TW_End"/>
    <tableColumn id="36" name="Drop_TW_Start"/>
    <tableColumn id="37" name="Drop_TW_End"/>
    <tableColumn id="38" name="TW_Flex_Min"/>
    <tableColumn id="39" name="Pickup_Service_Min"/>
    <tableColumn id="40" name="Drop_Service_Min"/>
    <tableColumn id="41" name="Lead_Time_Min"/>
    <tableColumn id="42" name="Freight_Revenue_VND"/>
    <tableColumn id="43" name="Extra_Stop_Fee_VND"/>
    <tableColumn id="44" name="Waiting_Fee_Chargeable_VND"/>
    <tableColumn id="45" name="Late_Penalty_VND_per_30m"/>
    <tableColumn id="46" name="Customer_Priority"/>
    <tableColumn id="47" name="Contract_Route_ID"/>
    <tableColumn id="48" name="Source_System"/>
    <tableColumn id="49" name="Seed_Cluster_ID"/>
    <tableColumn id="50" name="Suggested_Vehicle_Type"/>
    <tableColumn id="51" name="Suggested_Action"/>
    <tableColumn id="52" name="Validation_Status"/>
    <tableColumn id="53" name="Risk_Flag"/>
    <tableColumn id="54" name="Total_Service_Min"/>
    <tableColumn id="55" name="Direct_Drive_Min"/>
    <tableColumn id="56" name="Load_Class_kg"/>
    <tableColumn id="57" name="LeadTime_Check"/>
    <tableColumn id="58" name="Algorithm_Ready_Flag"/>
    <tableColumn id="59" name="Notes"/>
  </tableColumns>
  <tableStyleInfo name="TableStyleLight1" showFirstColumn="0" showLastColumn="0" showRowStripes="0" showColumnStripes="0"/>
</table>
</file>

<file path=xl/tables/table9.xml><?xml version="1.0" encoding="utf-8"?>
<table xmlns="http://schemas.openxmlformats.org/spreadsheetml/2006/main" id="9" name="Table_9" displayName="Table_9" ref="A1:AD269" headerRowCount="1">
  <tableColumns count="30">
    <tableColumn id="1" name="Scenario_ID"/>
    <tableColumn id="2" name="Order_ID"/>
    <tableColumn id="3" name="Node_ID"/>
    <tableColumn id="4" name="Node_Type"/>
    <tableColumn id="5" name="Pair_Node_ID"/>
    <tableColumn id="6" name="Precedence_Group"/>
    <tableColumn id="7" name="Location_ID"/>
    <tableColumn id="8" name="Location_Name"/>
    <tableColumn id="9" name="Province"/>
    <tableColumn id="10" name="District"/>
    <tableColumn id="11" name="Latitude"/>
    <tableColumn id="12" name="Longitude"/>
    <tableColumn id="13" name="Time_Window_Start_Min"/>
    <tableColumn id="14" name="Time_Window_End_Min"/>
    <tableColumn id="15" name="Time_Window_Start_Text"/>
    <tableColumn id="16" name="Time_Window_End_Text"/>
    <tableColumn id="17" name="Service_Time_Min"/>
    <tableColumn id="18" name="Demand_Weight_kg"/>
    <tableColumn id="19" name="Demand_Volume_m3"/>
    <tableColumn id="20" name="Compatible_Min_Vehicle"/>
    <tableColumn id="21" name="Max_Vehicle_Allowed"/>
    <tableColumn id="22" name="Corridor"/>
    <tableColumn id="23" name="Contract_Route_ID"/>
    <tableColumn id="24" name="Priority"/>
    <tableColumn id="25" name="Revenue_If_Served_VND"/>
    <tableColumn id="26" name="Late_Penalty_VND_per_30m"/>
    <tableColumn id="27" name="Hard_Time_Window"/>
    <tableColumn id="28" name="Planning_Date"/>
    <tableColumn id="29" name="Ready_Flag"/>
    <tableColumn id="30" name="Notes"/>
  </tableColumns>
  <tableStyleInfo name="TableStyleLight1" showFirstColumn="0" showLastColumn="0" showRowStripes="0" showColumnStripes="0"/>
</table>
</file>

<file path=xl/tables/table10.xml><?xml version="1.0" encoding="utf-8"?>
<table xmlns="http://schemas.openxmlformats.org/spreadsheetml/2006/main" id="10" name="Table_10" displayName="Table_10" ref="A1:J4" headerRowCount="1">
  <tableColumns count="10">
    <tableColumn id="1" name="Scenario_ID"/>
    <tableColumn id="2" name="Case"/>
    <tableColumn id="3" name="Orders"/>
    <tableColumn id="4" name="Internal_Vehicles_Available"/>
    <tableColumn id="5" name="Estimated_Route/Vehicle_Need"/>
    <tableColumn id="6" name="Capacity_Gap"/>
    <tableColumn id="7" name="Planning_Meaning"/>
    <tableColumn id="8" name="Proposed_Operational_Response"/>
    <tableColumn id="9" name="Algorithm_Settings"/>
    <tableColumn id="10" name="Presentation_Note"/>
  </tableColumns>
  <tableStyleInfo name="TableStyleLight1" showFirstColumn="0" showLastColumn="0" showRowStripes="0" showColumnStripes="0"/>
</table>
</file>

<file path=xl/tables/table11.xml><?xml version="1.0" encoding="utf-8"?>
<table xmlns="http://schemas.openxmlformats.org/spreadsheetml/2006/main" id="11" name="Table_11" displayName="Table_11" ref="A1:E16" headerRowCount="1">
  <tableColumns count="5">
    <tableColumn id="1" name="Category"/>
    <tableColumn id="2" name="Notation/Field"/>
    <tableColumn id="3" name="Description"/>
    <tableColumn id="4" name="Sheet/Column Used"/>
    <tableColumn id="5" name="Required for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ColWidth="12.63" defaultRowHeight="15" customHeight="1"/>
  <cols>
    <col width="22" customWidth="1" style="17" min="1" max="1"/>
    <col width="44.25" customWidth="1" style="17" min="2" max="2"/>
    <col width="8" customWidth="1" style="17" min="3" max="3"/>
    <col width="29" customWidth="1" style="17" min="4" max="4"/>
    <col width="30" customWidth="1" style="17" min="5" max="5"/>
    <col width="16" customWidth="1" style="17" min="6" max="6"/>
    <col width="44" customWidth="1" style="17" min="7" max="7"/>
    <col width="44" customWidth="1" style="17" min="8" max="8"/>
    <col width="44" customWidth="1" style="17" min="9" max="9"/>
    <col width="63" customWidth="1" style="17" min="10" max="10"/>
    <col width="8.630000000000001" customWidth="1" style="17" min="11" max="26"/>
  </cols>
  <sheetData>
    <row r="1" ht="24" customHeight="1" s="17">
      <c r="A1" s="18" t="inlineStr">
        <is>
          <t>HPL AI Dispatching &amp; Routing Engine - Simulated Data for Clustering &amp; VRPTW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19" t="n"/>
    </row>
    <row r="2"/>
    <row r="3" ht="24" customHeight="1" s="17">
      <c r="A3" s="18" t="inlineStr">
        <is>
          <t>Item</t>
        </is>
      </c>
      <c r="B3" s="18" t="inlineStr">
        <is>
          <t>Content</t>
        </is>
      </c>
      <c r="C3" s="18" t="inlineStr">
        <is>
          <t>Note</t>
        </is>
      </c>
      <c r="D3" s="19" t="n"/>
      <c r="E3" s="19" t="n"/>
      <c r="F3" s="19" t="n"/>
      <c r="G3" s="19" t="n"/>
      <c r="H3" s="19" t="n"/>
      <c r="I3" s="19" t="n"/>
      <c r="J3" s="19" t="n"/>
    </row>
    <row r="4" ht="24" customHeight="1" s="17">
      <c r="A4" s="19" t="inlineStr">
        <is>
          <t>Workbook</t>
        </is>
      </c>
      <c r="B4" s="19" t="inlineStr">
        <is>
          <t>HPL AI Dispatching &amp; Routing Engine - Simulated Dataset for Clustering &amp; VRPTW</t>
        </is>
      </c>
      <c r="C4" s="19" t="n"/>
      <c r="D4" s="19" t="n"/>
      <c r="E4" s="19" t="n"/>
      <c r="F4" s="19" t="n"/>
      <c r="G4" s="19" t="n"/>
      <c r="H4" s="19" t="n"/>
      <c r="I4" s="19" t="n"/>
      <c r="J4" s="19" t="n"/>
    </row>
    <row r="5" ht="24" customHeight="1" s="17">
      <c r="A5" s="19" t="inlineStr">
        <is>
          <t>Purpose</t>
        </is>
      </c>
      <c r="B5" s="19" t="inlineStr">
        <is>
          <t>Bộ dữ liệu mô phỏng cho hàng phân phối, lập kế hoạch cuối ngày cho ngày hôm sau, chưa kích hoạt dynamic re-routing</t>
        </is>
      </c>
      <c r="C5" s="19" t="n"/>
      <c r="D5" s="19" t="n"/>
      <c r="E5" s="19" t="n"/>
      <c r="F5" s="19" t="n"/>
      <c r="G5" s="19" t="n"/>
      <c r="H5" s="19" t="n"/>
      <c r="I5" s="19" t="n"/>
      <c r="J5" s="19" t="n"/>
    </row>
    <row r="6" ht="24" customHeight="1" s="17">
      <c r="A6" s="19" t="inlineStr">
        <is>
          <t>Scope</t>
        </is>
      </c>
      <c r="B6" s="19" t="inlineStr">
        <is>
          <t>40 xe nội bộ, 3 kịch bản năng lực: thừa, đủ, thiếu; dữ liệu order có pickup/drop, time window, tải trọng, dung tích, cước, ràng buộc xe và rủi ro</t>
        </is>
      </c>
      <c r="C6" s="19" t="n"/>
      <c r="D6" s="19" t="n"/>
      <c r="E6" s="19" t="n"/>
      <c r="F6" s="19" t="n"/>
      <c r="G6" s="19" t="n"/>
      <c r="H6" s="19" t="n"/>
      <c r="I6" s="19" t="n"/>
      <c r="J6" s="19" t="n"/>
    </row>
    <row r="7" ht="24" customHeight="1" s="17">
      <c r="A7" s="19" t="inlineStr">
        <is>
          <t>Algorithm-ready</t>
        </is>
      </c>
      <c r="B7" s="19" t="inlineStr">
        <is>
          <t>Sử dụng được cho phân cụm trước và VRPTW/PDPTW sau: tọa độ, time window dạng text và minute, demand pickup/delivery, service time, vehicle compatibility, revenue/penalty</t>
        </is>
      </c>
      <c r="C7" s="19" t="n"/>
      <c r="D7" s="19" t="n"/>
      <c r="E7" s="19" t="n"/>
      <c r="F7" s="19" t="n"/>
      <c r="G7" s="19" t="n"/>
      <c r="H7" s="19" t="n"/>
      <c r="I7" s="19" t="n"/>
      <c r="J7" s="19" t="n"/>
    </row>
    <row r="8" ht="24" customHeight="1" s="17">
      <c r="A8" s="19" t="inlineStr">
        <is>
          <t>Key Logic</t>
        </is>
      </c>
      <c r="B8" s="19" t="inlineStr">
        <is>
          <t>Bám theo flow: Order Management → Validation → Clustering → VRPTW → Dispatch Board → Control Tower; tập trung pre-day planning</t>
        </is>
      </c>
      <c r="C8" s="19" t="n"/>
      <c r="D8" s="19" t="n"/>
      <c r="E8" s="19" t="n"/>
      <c r="F8" s="19" t="n"/>
      <c r="G8" s="19" t="n"/>
      <c r="H8" s="19" t="n"/>
      <c r="I8" s="19" t="n"/>
      <c r="J8" s="19" t="n"/>
    </row>
    <row r="9" ht="24" customHeight="1" s="17">
      <c r="A9" s="19" t="inlineStr">
        <is>
          <t>Scenario S1</t>
        </is>
      </c>
      <c r="B9" s="19" t="inlineStr">
        <is>
          <t>Năng lực công ty còn thừa so với order; giữ xe dự phòng và tối ưu chi phí/km rỗng</t>
        </is>
      </c>
      <c r="C9" s="19" t="n"/>
      <c r="D9" s="19" t="n"/>
      <c r="E9" s="19" t="n"/>
      <c r="F9" s="19" t="n"/>
      <c r="G9" s="19" t="n"/>
      <c r="H9" s="19" t="n"/>
      <c r="I9" s="19" t="n"/>
      <c r="J9" s="19" t="n"/>
    </row>
    <row r="10" ht="24" customHeight="1" s="17">
      <c r="A10" s="19" t="inlineStr">
        <is>
          <t>Scenario S2</t>
        </is>
      </c>
      <c r="B10" s="19" t="inlineStr">
        <is>
          <t>Năng lực công ty đáp ứng đủ; ưu tiên khóa kế hoạch và đảm bảo SLA</t>
        </is>
      </c>
      <c r="C10" s="19" t="n"/>
      <c r="D10" s="19" t="n"/>
      <c r="E10" s="19" t="n"/>
      <c r="F10" s="19" t="n"/>
      <c r="G10" s="19" t="n"/>
      <c r="H10" s="19" t="n"/>
      <c r="I10" s="19" t="n"/>
      <c r="J10" s="19" t="n"/>
    </row>
    <row r="11" ht="24" customHeight="1" s="17">
      <c r="A11" s="19" t="inlineStr">
        <is>
          <t>Scenario S3</t>
        </is>
      </c>
      <c r="B11" s="19" t="inlineStr">
        <is>
          <t>Năng lực công ty thiếu; kích hoạt thuê ngoài/chuyển tải/đàm phán khung giờ</t>
        </is>
      </c>
      <c r="C11" s="19" t="n"/>
      <c r="D11" s="19" t="n"/>
      <c r="E11" s="19" t="n"/>
      <c r="F11" s="19" t="n"/>
      <c r="G11" s="19" t="n"/>
      <c r="H11" s="19" t="n"/>
      <c r="I11" s="19" t="n"/>
      <c r="J11" s="19" t="n"/>
    </row>
    <row r="12" ht="24" customHeight="1" s="17">
      <c r="A12" s="19" t="inlineStr">
        <is>
          <t>Scenario Capacity Summary</t>
        </is>
      </c>
      <c r="B12" s="19" t="n"/>
      <c r="C12" s="19" t="n"/>
      <c r="D12" s="19" t="n"/>
      <c r="E12" s="19" t="n"/>
      <c r="F12" s="19" t="n"/>
      <c r="G12" s="19" t="n"/>
      <c r="H12" s="19" t="n"/>
      <c r="I12" s="19" t="n"/>
      <c r="J12" s="19" t="n"/>
    </row>
    <row r="13" ht="26" customHeight="1" s="17">
      <c r="A13" s="20" t="inlineStr">
        <is>
          <t>Scenario_ID</t>
        </is>
      </c>
      <c r="B13" s="20" t="inlineStr">
        <is>
          <t>Case</t>
        </is>
      </c>
      <c r="C13" s="20" t="inlineStr">
        <is>
          <t>Orders</t>
        </is>
      </c>
      <c r="D13" s="20" t="inlineStr">
        <is>
          <t>Internal_Vehicles_Available</t>
        </is>
      </c>
      <c r="E13" s="20" t="inlineStr">
        <is>
          <t>Estimated_Route/Vehicle_Need</t>
        </is>
      </c>
      <c r="F13" s="20" t="inlineStr">
        <is>
          <t>Capacity_Gap</t>
        </is>
      </c>
      <c r="G13" s="20" t="inlineStr">
        <is>
          <t>Planning_Meaning</t>
        </is>
      </c>
      <c r="H13" s="20" t="inlineStr">
        <is>
          <t>Proposed_Operational_Response</t>
        </is>
      </c>
      <c r="I13" s="20" t="inlineStr">
        <is>
          <t>Algorithm_Settings</t>
        </is>
      </c>
      <c r="J13" s="20" t="inlineStr">
        <is>
          <t>Presentation_Note</t>
        </is>
      </c>
    </row>
    <row r="14" ht="18" customHeight="1" s="17">
      <c r="A14" s="21" t="inlineStr">
        <is>
          <t>S1</t>
        </is>
      </c>
      <c r="B14" s="21" t="inlineStr">
        <is>
          <t>Năng lực công ty còn thừa so với order khách hàng</t>
        </is>
      </c>
      <c r="C14" s="22" t="n">
        <v>30</v>
      </c>
      <c r="D14" s="22" t="n">
        <v>40</v>
      </c>
      <c r="E14" s="22" t="n">
        <v>28</v>
      </c>
      <c r="F14" s="22" t="n">
        <v>12</v>
      </c>
      <c r="G14" s="21" t="inlineStr">
        <is>
          <t>Có xe dự phòng, không cần thuê ngoài</t>
        </is>
      </c>
      <c r="H14" s="21" t="inlineStr">
        <is>
          <t>Ưu tiên phương án giảm km, giảm chạy rỗng, giữ 3-5 xe dự phòng cho phát sinh; chọn xe nhỏ cho nội đô và xe 5T/8T cho tuyến dài</t>
        </is>
      </c>
      <c r="I14" s="21" t="inlineStr">
        <is>
          <t>Balanced Mode + Empty-run Reduction</t>
        </is>
      </c>
      <c r="J14" s="21" t="inlineStr">
        <is>
          <t>Dùng để chứng minh hệ thống không chỉ tìm đường mà còn tối ưu năng lực dư</t>
        </is>
      </c>
    </row>
    <row r="15" ht="18" customHeight="1" s="17">
      <c r="A15" s="23" t="inlineStr">
        <is>
          <t>S2</t>
        </is>
      </c>
      <c r="B15" s="23" t="inlineStr">
        <is>
          <t>Năng lực công ty đáp ứng đủ so với order khách hàng</t>
        </is>
      </c>
      <c r="C15" s="24" t="n">
        <v>44</v>
      </c>
      <c r="D15" s="24" t="n">
        <v>40</v>
      </c>
      <c r="E15" s="24" t="n">
        <v>40</v>
      </c>
      <c r="F15" s="24" t="n">
        <v>0</v>
      </c>
      <c r="G15" s="23" t="inlineStr">
        <is>
          <t>Không còn nhiều xe dự phòng, cần khóa kế hoạch chặt</t>
        </is>
      </c>
      <c r="H15" s="23" t="inlineStr">
        <is>
          <t>Ưu tiên SLA và feasibility; giữ 1 danh sách xe backup/3PL standby nhưng chưa kích hoạt; dispatcher cần duyệt sớm và gửi tài xế trước 19:00</t>
        </is>
      </c>
      <c r="I15" s="23" t="inlineStr">
        <is>
          <t>On-time Priority + Manual-assisted Mode</t>
        </is>
      </c>
      <c r="J15" s="23" t="inlineStr">
        <is>
          <t>Phù hợp case lập kế hoạch ngày hôm sau khi order vừa khớp năng lực</t>
        </is>
      </c>
    </row>
    <row r="16" ht="18" customHeight="1" s="17">
      <c r="A16" s="21" t="inlineStr">
        <is>
          <t>S3</t>
        </is>
      </c>
      <c r="B16" s="21" t="inlineStr">
        <is>
          <t>Năng lực công ty thiếu so với order khách hàng</t>
        </is>
      </c>
      <c r="C16" s="22" t="n">
        <v>60</v>
      </c>
      <c r="D16" s="22" t="n">
        <v>40</v>
      </c>
      <c r="E16" s="22" t="n">
        <v>52</v>
      </c>
      <c r="F16" s="22" t="n">
        <v>-12</v>
      </c>
      <c r="G16" s="21" t="inlineStr">
        <is>
          <t>Thiếu xe nội bộ, phải thuê ngoài/chuyển tải/đàm phán giờ</t>
        </is>
      </c>
      <c r="H16" s="21" t="inlineStr">
        <is>
          <t>Kích hoạt 3PL/thuê ngoài cho tuyến dài và cụm low-margin; tách đơn quá tải nội đô; xin khách nới time window với đơn ưu tiên C; ưu tiên đơn SLA A và tuyến có lợi nhuận tốt</t>
        </is>
      </c>
      <c r="I16" s="21" t="inlineStr">
        <is>
          <t>Profit Maximization + On-time Priority + Split/Transshipment Enabled</t>
        </is>
      </c>
      <c r="J16" s="21" t="inlineStr">
        <is>
          <t>Dùng để trình bày năng lực xử lý thiếu xe và trade-off lead time/profit</t>
        </is>
      </c>
    </row>
    <row r="17" ht="18" customHeight="1" s="17">
      <c r="A17" s="23" t="n"/>
      <c r="B17" s="23" t="n"/>
      <c r="C17" s="23" t="n"/>
      <c r="D17" s="23" t="n"/>
      <c r="E17" s="23" t="n"/>
      <c r="F17" s="23" t="n"/>
      <c r="G17" s="23" t="n"/>
      <c r="H17" s="23" t="n"/>
      <c r="I17" s="23" t="n"/>
      <c r="J17" s="23" t="n"/>
    </row>
    <row r="18" ht="18" customHeight="1" s="17">
      <c r="A18" s="21" t="inlineStr">
        <is>
          <t>Quick Formula Checks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</row>
    <row r="19" ht="18" customHeight="1" s="17">
      <c r="A19" s="23" t="inlineStr">
        <is>
          <t>Metric</t>
        </is>
      </c>
      <c r="B19" s="23" t="inlineStr">
        <is>
          <t>S1</t>
        </is>
      </c>
      <c r="C19" s="23" t="inlineStr">
        <is>
          <t>S2</t>
        </is>
      </c>
      <c r="D19" s="23" t="inlineStr">
        <is>
          <t>S3</t>
        </is>
      </c>
      <c r="E19" s="23" t="n"/>
      <c r="F19" s="23" t="n"/>
      <c r="G19" s="23" t="n"/>
      <c r="H19" s="23" t="n"/>
      <c r="I19" s="23" t="n"/>
      <c r="J19" s="23" t="n"/>
    </row>
    <row r="20" ht="18" customHeight="1" s="17">
      <c r="A20" s="21" t="inlineStr">
        <is>
          <t>Orders count</t>
        </is>
      </c>
      <c r="B20" s="21">
        <f>COUNTA(S1_Thua_NangLuc!$C$2:$C$31)</f>
        <v/>
      </c>
      <c r="C20" s="21">
        <f>COUNTA(S2_DapUng_Du!$C$2:$C$45)</f>
        <v/>
      </c>
      <c r="D20" s="21">
        <f>COUNTA(S3_Thieu_NangLuc!$C$2:$C$61)</f>
        <v/>
      </c>
      <c r="E20" s="21" t="n"/>
      <c r="F20" s="21" t="inlineStr">
        <is>
          <t>Scenario check</t>
        </is>
      </c>
      <c r="G20" s="21" t="inlineStr">
        <is>
          <t>Meaning</t>
        </is>
      </c>
      <c r="H20" s="21" t="inlineStr">
        <is>
          <t>Action priority</t>
        </is>
      </c>
      <c r="I20" s="21" t="inlineStr">
        <is>
          <t>Use in deck</t>
        </is>
      </c>
      <c r="J20" s="21" t="n"/>
    </row>
    <row r="21" ht="18" customHeight="1" s="17">
      <c r="A21" s="23" t="inlineStr">
        <is>
          <t>Orders Ready</t>
        </is>
      </c>
      <c r="B21" s="23">
        <f>COUNTIF(S1_Thua_NangLuc!$BF$2:$BF$31,"Ready")</f>
        <v/>
      </c>
      <c r="C21" s="23">
        <f>COUNTIF(S2_DapUng_Du!$BF$2:$BF$45,"Ready")</f>
        <v/>
      </c>
      <c r="D21" s="23">
        <f>COUNTIF(S3_Thieu_NangLuc!$BF$2:$BF$61,"Ready")</f>
        <v/>
      </c>
      <c r="E21" s="23" t="n"/>
      <c r="F21" s="23" t="inlineStr">
        <is>
          <t>S1</t>
        </is>
      </c>
      <c r="G21" s="23" t="inlineStr">
        <is>
          <t>Capacity surplus</t>
        </is>
      </c>
      <c r="H21" s="23" t="inlineStr">
        <is>
          <t>Cost/empty-run optimization</t>
        </is>
      </c>
      <c r="I21" s="23" t="inlineStr">
        <is>
          <t>Shows reserve capacity</t>
        </is>
      </c>
      <c r="J21" s="23" t="n"/>
    </row>
    <row r="22" ht="18" customHeight="1" s="17">
      <c r="A22" s="21" t="inlineStr">
        <is>
          <t>Orders Review</t>
        </is>
      </c>
      <c r="B22" s="21">
        <f>COUNTIF(S1_Thua_NangLuc!$BF$2:$BF$31,"Review")</f>
        <v/>
      </c>
      <c r="C22" s="21">
        <f>COUNTIF(S2_DapUng_Du!$BF$2:$BF$45,"Review")</f>
        <v/>
      </c>
      <c r="D22" s="21">
        <f>COUNTIF(S3_Thieu_NangLuc!$BF$2:$BF$61,"Review")</f>
        <v/>
      </c>
      <c r="E22" s="21" t="n"/>
      <c r="F22" s="21" t="inlineStr">
        <is>
          <t>S2</t>
        </is>
      </c>
      <c r="G22" s="21" t="inlineStr">
        <is>
          <t>Capacity exact</t>
        </is>
      </c>
      <c r="H22" s="21" t="inlineStr">
        <is>
          <t>SLA lock + backup list</t>
        </is>
      </c>
      <c r="I22" s="21" t="inlineStr">
        <is>
          <t>Shows tight plan</t>
        </is>
      </c>
      <c r="J22" s="21" t="n"/>
    </row>
    <row r="23" ht="18" customHeight="1" s="17">
      <c r="A23" s="25" t="inlineStr">
        <is>
          <t>Total Revenue</t>
        </is>
      </c>
      <c r="B23" s="26">
        <f>SUM(S1_Thua_NangLuc!$AP$2:$AP$31)</f>
        <v/>
      </c>
      <c r="C23" s="26">
        <f>SUM(S2_DapUng_Du!$AP$2:$AP$45)</f>
        <v/>
      </c>
      <c r="D23" s="26">
        <f>SUM(S3_Thieu_NangLuc!$AP$2:$AP$61)</f>
        <v/>
      </c>
      <c r="E23" s="25" t="n"/>
      <c r="F23" s="25" t="inlineStr">
        <is>
          <t>S3</t>
        </is>
      </c>
      <c r="G23" s="25" t="inlineStr">
        <is>
          <t>Capacity shortage</t>
        </is>
      </c>
      <c r="H23" s="25" t="inlineStr">
        <is>
          <t>3PL/transshipment/reschedule</t>
        </is>
      </c>
      <c r="I23" s="25" t="inlineStr">
        <is>
          <t>Shows decision support</t>
        </is>
      </c>
      <c r="J23" s="25" t="n"/>
    </row>
    <row r="24" ht="18" customHeight="1" s="17">
      <c r="A24" s="21" t="inlineStr">
        <is>
          <t>Average Distance km</t>
        </is>
      </c>
      <c r="B24" s="27">
        <f>AVERAGE(S1_Thua_NangLuc!$W$2:$W$31)</f>
        <v/>
      </c>
      <c r="C24" s="27">
        <f>AVERAGE(S2_DapUng_Du!$W$2:$W$45)</f>
        <v/>
      </c>
      <c r="D24" s="27">
        <f>AVERAGE(S3_Thieu_NangLuc!$W$2:$W$61)</f>
        <v/>
      </c>
      <c r="E24" s="21" t="n"/>
      <c r="F24" s="21" t="inlineStr">
        <is>
          <t>All</t>
        </is>
      </c>
      <c r="G24" s="21" t="inlineStr">
        <is>
          <t>Pre-day planning only</t>
        </is>
      </c>
      <c r="H24" s="21" t="inlineStr">
        <is>
          <t>Dynamic event fields excluded from solver run</t>
        </is>
      </c>
      <c r="I24" s="21" t="inlineStr">
        <is>
          <t>Use nodes sheet for OR-Tools/VRPTW</t>
        </is>
      </c>
      <c r="J24" s="21" t="n"/>
    </row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mergeCells count="3">
    <mergeCell ref="A1:J1"/>
    <mergeCell ref="A18:J18"/>
    <mergeCell ref="A12:J12"/>
  </mergeCells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7" customWidth="1" style="17" min="1" max="2"/>
    <col width="28" customWidth="1" style="17" min="2" max="2"/>
    <col width="77" customWidth="1" style="17" min="3" max="3"/>
    <col width="8.630000000000001" customWidth="1" style="17" min="4" max="26"/>
  </cols>
  <sheetData>
    <row r="1" ht="26" customHeight="1" s="17">
      <c r="A1" s="20" t="inlineStr">
        <is>
          <t>Sheet</t>
        </is>
      </c>
      <c r="B1" s="20" t="inlineStr">
        <is>
          <t>Field</t>
        </is>
      </c>
      <c r="C1" s="20" t="inlineStr">
        <is>
          <t>Definition / Use in Algorithm</t>
        </is>
      </c>
    </row>
    <row r="2" ht="18" customHeight="1" s="17">
      <c r="A2" s="21" t="inlineStr">
        <is>
          <t>S1/S2/S3 Orders</t>
        </is>
      </c>
      <c r="B2" s="21" t="inlineStr">
        <is>
          <t>Scenario_ID</t>
        </is>
      </c>
      <c r="C2" s="21" t="inlineStr">
        <is>
          <t>Trường đơn hàng dùng cho validation, phân cụm và VRPTW</t>
        </is>
      </c>
    </row>
    <row r="3" ht="18" customHeight="1" s="17">
      <c r="A3" s="23" t="inlineStr">
        <is>
          <t>S1/S2/S3 Orders</t>
        </is>
      </c>
      <c r="B3" s="23" t="inlineStr">
        <is>
          <t>Planning_Date</t>
        </is>
      </c>
      <c r="C3" s="23" t="inlineStr">
        <is>
          <t>Trường đơn hàng dùng cho validation, phân cụm và VRPTW</t>
        </is>
      </c>
    </row>
    <row r="4" ht="18" customHeight="1" s="17">
      <c r="A4" s="21" t="inlineStr">
        <is>
          <t>S1/S2/S3 Orders</t>
        </is>
      </c>
      <c r="B4" s="21" t="inlineStr">
        <is>
          <t>Order_ID</t>
        </is>
      </c>
      <c r="C4" s="21" t="inlineStr">
        <is>
          <t>Trường đơn hàng dùng cho validation, phân cụm và VRPTW</t>
        </is>
      </c>
    </row>
    <row r="5" ht="18" customHeight="1" s="17">
      <c r="A5" s="23" t="inlineStr">
        <is>
          <t>S1/S2/S3 Orders</t>
        </is>
      </c>
      <c r="B5" s="23" t="inlineStr">
        <is>
          <t>Customer_Group</t>
        </is>
      </c>
      <c r="C5" s="23" t="inlineStr">
        <is>
          <t>Trường đơn hàng dùng cho validation, phân cụm và VRPTW</t>
        </is>
      </c>
    </row>
    <row r="6" ht="18" customHeight="1" s="17">
      <c r="A6" s="21" t="inlineStr">
        <is>
          <t>S1/S2/S3 Orders</t>
        </is>
      </c>
      <c r="B6" s="21" t="inlineStr">
        <is>
          <t>Customer_Name</t>
        </is>
      </c>
      <c r="C6" s="21" t="inlineStr">
        <is>
          <t>Trường đơn hàng dùng cho validation, phân cụm và VRPTW</t>
        </is>
      </c>
    </row>
    <row r="7" ht="18" customHeight="1" s="17">
      <c r="A7" s="23" t="inlineStr">
        <is>
          <t>S1/S2/S3 Orders</t>
        </is>
      </c>
      <c r="B7" s="23" t="inlineStr">
        <is>
          <t>Channel</t>
        </is>
      </c>
      <c r="C7" s="23" t="inlineStr">
        <is>
          <t>Trường đơn hàng dùng cho validation, phân cụm và VRPTW</t>
        </is>
      </c>
    </row>
    <row r="8" ht="18" customHeight="1" s="17">
      <c r="A8" s="21" t="inlineStr">
        <is>
          <t>S1/S2/S3 Orders</t>
        </is>
      </c>
      <c r="B8" s="21" t="inlineStr">
        <is>
          <t>SKU_Code</t>
        </is>
      </c>
      <c r="C8" s="21" t="inlineStr">
        <is>
          <t>Trường đơn hàng dùng cho validation, phân cụm và VRPTW</t>
        </is>
      </c>
    </row>
    <row r="9" ht="18" customHeight="1" s="17">
      <c r="A9" s="23" t="inlineStr">
        <is>
          <t>S1/S2/S3 Orders</t>
        </is>
      </c>
      <c r="B9" s="23" t="inlineStr">
        <is>
          <t>Product_Group</t>
        </is>
      </c>
      <c r="C9" s="23" t="inlineStr">
        <is>
          <t>Trường đơn hàng dùng cho validation, phân cụm và VRPTW</t>
        </is>
      </c>
    </row>
    <row r="10" ht="18" customHeight="1" s="17">
      <c r="A10" s="21" t="inlineStr">
        <is>
          <t>S1/S2/S3 Orders</t>
        </is>
      </c>
      <c r="B10" s="21" t="inlineStr">
        <is>
          <t>Pickup_ID</t>
        </is>
      </c>
      <c r="C10" s="21" t="inlineStr">
        <is>
          <t>Trường đơn hàng dùng cho validation, phân cụm và VRPTW</t>
        </is>
      </c>
    </row>
    <row r="11" ht="18" customHeight="1" s="17">
      <c r="A11" s="23" t="inlineStr">
        <is>
          <t>S1/S2/S3 Orders</t>
        </is>
      </c>
      <c r="B11" s="23" t="inlineStr">
        <is>
          <t>Pickup_Name</t>
        </is>
      </c>
      <c r="C11" s="23" t="inlineStr">
        <is>
          <t>Trường đơn hàng dùng cho validation, phân cụm và VRPTW</t>
        </is>
      </c>
    </row>
    <row r="12" ht="18" customHeight="1" s="17">
      <c r="A12" s="21" t="inlineStr">
        <is>
          <t>S1/S2/S3 Orders</t>
        </is>
      </c>
      <c r="B12" s="21" t="inlineStr">
        <is>
          <t>Pickup_Province</t>
        </is>
      </c>
      <c r="C12" s="21" t="inlineStr">
        <is>
          <t>Trường đơn hàng dùng cho validation, phân cụm và VRPTW</t>
        </is>
      </c>
    </row>
    <row r="13" ht="18" customHeight="1" s="17">
      <c r="A13" s="23" t="inlineStr">
        <is>
          <t>S1/S2/S3 Orders</t>
        </is>
      </c>
      <c r="B13" s="23" t="inlineStr">
        <is>
          <t>Pickup_District</t>
        </is>
      </c>
      <c r="C13" s="23" t="inlineStr">
        <is>
          <t>Trường đơn hàng dùng cho validation, phân cụm và VRPTW</t>
        </is>
      </c>
    </row>
    <row r="14" ht="18" customHeight="1" s="17">
      <c r="A14" s="21" t="inlineStr">
        <is>
          <t>S1/S2/S3 Orders</t>
        </is>
      </c>
      <c r="B14" s="21" t="inlineStr">
        <is>
          <t>Pickup_Lat</t>
        </is>
      </c>
      <c r="C14" s="21" t="inlineStr">
        <is>
          <t>Trường đơn hàng dùng cho validation, phân cụm và VRPTW</t>
        </is>
      </c>
    </row>
    <row r="15" ht="18" customHeight="1" s="17">
      <c r="A15" s="23" t="inlineStr">
        <is>
          <t>S1/S2/S3 Orders</t>
        </is>
      </c>
      <c r="B15" s="23" t="inlineStr">
        <is>
          <t>Pickup_Lon</t>
        </is>
      </c>
      <c r="C15" s="23" t="inlineStr">
        <is>
          <t>Trường đơn hàng dùng cho validation, phân cụm và VRPTW</t>
        </is>
      </c>
    </row>
    <row r="16" ht="18" customHeight="1" s="17">
      <c r="A16" s="21" t="inlineStr">
        <is>
          <t>S1/S2/S3 Orders</t>
        </is>
      </c>
      <c r="B16" s="21" t="inlineStr">
        <is>
          <t>Delivery_ID</t>
        </is>
      </c>
      <c r="C16" s="21" t="inlineStr">
        <is>
          <t>Trường đơn hàng dùng cho validation, phân cụm và VRPTW</t>
        </is>
      </c>
    </row>
    <row r="17" ht="18" customHeight="1" s="17">
      <c r="A17" s="23" t="inlineStr">
        <is>
          <t>S1/S2/S3 Orders</t>
        </is>
      </c>
      <c r="B17" s="23" t="inlineStr">
        <is>
          <t>Delivery_Name</t>
        </is>
      </c>
      <c r="C17" s="23" t="inlineStr">
        <is>
          <t>Trường đơn hàng dùng cho validation, phân cụm và VRPTW</t>
        </is>
      </c>
    </row>
    <row r="18" ht="18" customHeight="1" s="17">
      <c r="A18" s="21" t="inlineStr">
        <is>
          <t>S1/S2/S3 Orders</t>
        </is>
      </c>
      <c r="B18" s="21" t="inlineStr">
        <is>
          <t>Delivery_Province</t>
        </is>
      </c>
      <c r="C18" s="21" t="inlineStr">
        <is>
          <t>Trường đơn hàng dùng cho validation, phân cụm và VRPTW</t>
        </is>
      </c>
    </row>
    <row r="19" ht="18" customHeight="1" s="17">
      <c r="A19" s="23" t="inlineStr">
        <is>
          <t>S1/S2/S3 Orders</t>
        </is>
      </c>
      <c r="B19" s="23" t="inlineStr">
        <is>
          <t>Delivery_District</t>
        </is>
      </c>
      <c r="C19" s="23" t="inlineStr">
        <is>
          <t>Trường đơn hàng dùng cho validation, phân cụm và VRPTW</t>
        </is>
      </c>
    </row>
    <row r="20" ht="18" customHeight="1" s="17">
      <c r="A20" s="21" t="inlineStr">
        <is>
          <t>S1/S2/S3 Orders</t>
        </is>
      </c>
      <c r="B20" s="21" t="inlineStr">
        <is>
          <t>Delivery_Lat</t>
        </is>
      </c>
      <c r="C20" s="21" t="inlineStr">
        <is>
          <t>Trường đơn hàng dùng cho validation, phân cụm và VRPTW</t>
        </is>
      </c>
    </row>
    <row r="21" ht="18" customHeight="1" s="17">
      <c r="A21" s="23" t="inlineStr">
        <is>
          <t>S1/S2/S3 Orders</t>
        </is>
      </c>
      <c r="B21" s="23" t="inlineStr">
        <is>
          <t>Delivery_Lon</t>
        </is>
      </c>
      <c r="C21" s="23" t="inlineStr">
        <is>
          <t>Trường đơn hàng dùng cho validation, phân cụm và VRPTW</t>
        </is>
      </c>
    </row>
    <row r="22" ht="18" customHeight="1" s="17">
      <c r="A22" s="21" t="inlineStr">
        <is>
          <t>S1/S2/S3 Orders</t>
        </is>
      </c>
      <c r="B22" s="21" t="inlineStr">
        <is>
          <t>Corridor</t>
        </is>
      </c>
      <c r="C22" s="21" t="inlineStr">
        <is>
          <t>Trường đơn hàng dùng cho validation, phân cụm và VRPTW</t>
        </is>
      </c>
    </row>
    <row r="23" ht="18" customHeight="1" s="17">
      <c r="A23" s="23" t="inlineStr">
        <is>
          <t>S1/S2/S3 Orders</t>
        </is>
      </c>
      <c r="B23" s="23" t="inlineStr">
        <is>
          <t>Route_Axis</t>
        </is>
      </c>
      <c r="C23" s="23" t="inlineStr">
        <is>
          <t>Trường đơn hàng dùng cho validation, phân cụm và VRPTW</t>
        </is>
      </c>
    </row>
    <row r="24" ht="18" customHeight="1" s="17">
      <c r="A24" s="21" t="inlineStr">
        <is>
          <t>S1/S2/S3 Orders</t>
        </is>
      </c>
      <c r="B24" s="21" t="inlineStr">
        <is>
          <t>Direct_Distance_km</t>
        </is>
      </c>
      <c r="C24" s="21" t="inlineStr">
        <is>
          <t>Trường đơn hàng dùng cho validation, phân cụm và VRPTW</t>
        </is>
      </c>
    </row>
    <row r="25" ht="18" customHeight="1" s="17">
      <c r="A25" s="23" t="inlineStr">
        <is>
          <t>S1/S2/S3 Orders</t>
        </is>
      </c>
      <c r="B25" s="23" t="inlineStr">
        <is>
          <t>Weight_kg</t>
        </is>
      </c>
      <c r="C25" s="23" t="inlineStr">
        <is>
          <t>Trường đơn hàng dùng cho validation, phân cụm và VRPTW</t>
        </is>
      </c>
    </row>
    <row r="26" ht="18" customHeight="1" s="17">
      <c r="A26" s="21" t="inlineStr">
        <is>
          <t>S1/S2/S3 Orders</t>
        </is>
      </c>
      <c r="B26" s="21" t="inlineStr">
        <is>
          <t>Volume_m3</t>
        </is>
      </c>
      <c r="C26" s="21" t="inlineStr">
        <is>
          <t>Trường đơn hàng dùng cho validation, phân cụm và VRPTW</t>
        </is>
      </c>
    </row>
    <row r="27" ht="18" customHeight="1" s="17">
      <c r="A27" s="23" t="inlineStr">
        <is>
          <t>S1/S2/S3 Orders</t>
        </is>
      </c>
      <c r="B27" s="23" t="inlineStr">
        <is>
          <t>Pallet_Qty</t>
        </is>
      </c>
      <c r="C27" s="23" t="inlineStr">
        <is>
          <t>Trường đơn hàng dùng cho validation, phân cụm và VRPTW</t>
        </is>
      </c>
    </row>
    <row r="28" ht="18" customHeight="1" s="17">
      <c r="A28" s="21" t="inlineStr">
        <is>
          <t>S1/S2/S3 Orders</t>
        </is>
      </c>
      <c r="B28" s="21" t="inlineStr">
        <is>
          <t>Min_Vehicle_Type</t>
        </is>
      </c>
      <c r="C28" s="21" t="inlineStr">
        <is>
          <t>Trường đơn hàng dùng cho validation, phân cụm và VRPTW</t>
        </is>
      </c>
    </row>
    <row r="29" ht="18" customHeight="1" s="17">
      <c r="A29" s="23" t="inlineStr">
        <is>
          <t>S1/S2/S3 Orders</t>
        </is>
      </c>
      <c r="B29" s="23" t="inlineStr">
        <is>
          <t>Max_Vehicle_Type_Allowed</t>
        </is>
      </c>
      <c r="C29" s="23" t="inlineStr">
        <is>
          <t>Trường đơn hàng dùng cho validation, phân cụm và VRPTW</t>
        </is>
      </c>
    </row>
    <row r="30" ht="18" customHeight="1" s="17">
      <c r="A30" s="21" t="inlineStr">
        <is>
          <t>S1/S2/S3 Orders</t>
        </is>
      </c>
      <c r="B30" s="21" t="inlineStr">
        <is>
          <t>Required_Refrigeration</t>
        </is>
      </c>
      <c r="C30" s="21" t="inlineStr">
        <is>
          <t>Trường đơn hàng dùng cho validation, phân cụm và VRPTW</t>
        </is>
      </c>
    </row>
    <row r="31" ht="18" customHeight="1" s="17">
      <c r="A31" s="23" t="inlineStr">
        <is>
          <t>S1/S2/S3 Orders</t>
        </is>
      </c>
      <c r="B31" s="23" t="inlineStr">
        <is>
          <t>Can_Consolidate</t>
        </is>
      </c>
      <c r="C31" s="23" t="inlineStr">
        <is>
          <t>Trường đơn hàng dùng cho validation, phân cụm và VRPTW</t>
        </is>
      </c>
    </row>
    <row r="32" ht="18" customHeight="1" s="17">
      <c r="A32" s="21" t="inlineStr">
        <is>
          <t>S1/S2/S3 Orders</t>
        </is>
      </c>
      <c r="B32" s="21" t="inlineStr">
        <is>
          <t>Dedicated_Vehicle</t>
        </is>
      </c>
      <c r="C32" s="21" t="inlineStr">
        <is>
          <t>Trường đơn hàng dùng cho validation, phân cụm và VRPTW</t>
        </is>
      </c>
    </row>
    <row r="33" ht="18" customHeight="1" s="17">
      <c r="A33" s="23" t="inlineStr">
        <is>
          <t>S1/S2/S3 Orders</t>
        </is>
      </c>
      <c r="B33" s="23" t="inlineStr">
        <is>
          <t>Inner_City_Restriction</t>
        </is>
      </c>
      <c r="C33" s="23" t="inlineStr">
        <is>
          <t>Trường đơn hàng dùng cho validation, phân cụm và VRPTW</t>
        </is>
      </c>
    </row>
    <row r="34" ht="18" customHeight="1" s="17">
      <c r="A34" s="21" t="inlineStr">
        <is>
          <t>S1/S2/S3 Orders</t>
        </is>
      </c>
      <c r="B34" s="21" t="inlineStr">
        <is>
          <t>Access_Note</t>
        </is>
      </c>
      <c r="C34" s="21" t="inlineStr">
        <is>
          <t>Trường đơn hàng dùng cho validation, phân cụm và VRPTW</t>
        </is>
      </c>
    </row>
    <row r="35" ht="18" customHeight="1" s="17">
      <c r="A35" s="23" t="inlineStr">
        <is>
          <t>S1/S2/S3 Orders</t>
        </is>
      </c>
      <c r="B35" s="23" t="inlineStr">
        <is>
          <t>Pickup_TW_Start</t>
        </is>
      </c>
      <c r="C35" s="23" t="inlineStr">
        <is>
          <t>Trường đơn hàng dùng cho validation, phân cụm và VRPTW</t>
        </is>
      </c>
    </row>
    <row r="36" ht="18" customHeight="1" s="17">
      <c r="A36" s="21" t="inlineStr">
        <is>
          <t>S1/S2/S3 Orders</t>
        </is>
      </c>
      <c r="B36" s="21" t="inlineStr">
        <is>
          <t>Pickup_TW_End</t>
        </is>
      </c>
      <c r="C36" s="21" t="inlineStr">
        <is>
          <t>Trường đơn hàng dùng cho validation, phân cụm và VRPTW</t>
        </is>
      </c>
    </row>
    <row r="37" ht="18" customHeight="1" s="17">
      <c r="A37" s="23" t="inlineStr">
        <is>
          <t>S1/S2/S3 Orders</t>
        </is>
      </c>
      <c r="B37" s="23" t="inlineStr">
        <is>
          <t>Drop_TW_Start</t>
        </is>
      </c>
      <c r="C37" s="23" t="inlineStr">
        <is>
          <t>Trường đơn hàng dùng cho validation, phân cụm và VRPTW</t>
        </is>
      </c>
    </row>
    <row r="38" ht="18" customHeight="1" s="17">
      <c r="A38" s="21" t="inlineStr">
        <is>
          <t>S1/S2/S3 Orders</t>
        </is>
      </c>
      <c r="B38" s="21" t="inlineStr">
        <is>
          <t>Drop_TW_End</t>
        </is>
      </c>
      <c r="C38" s="21" t="inlineStr">
        <is>
          <t>Trường đơn hàng dùng cho validation, phân cụm và VRPTW</t>
        </is>
      </c>
    </row>
    <row r="39" ht="18" customHeight="1" s="17">
      <c r="A39" s="23" t="inlineStr">
        <is>
          <t>S1/S2/S3 Orders</t>
        </is>
      </c>
      <c r="B39" s="23" t="inlineStr">
        <is>
          <t>TW_Flex_Min</t>
        </is>
      </c>
      <c r="C39" s="23" t="inlineStr">
        <is>
          <t>Trường đơn hàng dùng cho validation, phân cụm và VRPTW</t>
        </is>
      </c>
    </row>
    <row r="40" ht="18" customHeight="1" s="17">
      <c r="A40" s="21" t="inlineStr">
        <is>
          <t>S1/S2/S3 Orders</t>
        </is>
      </c>
      <c r="B40" s="21" t="inlineStr">
        <is>
          <t>Pickup_Service_Min</t>
        </is>
      </c>
      <c r="C40" s="21" t="inlineStr">
        <is>
          <t>Trường đơn hàng dùng cho validation, phân cụm và VRPTW</t>
        </is>
      </c>
    </row>
    <row r="41" ht="18" customHeight="1" s="17">
      <c r="A41" s="23" t="inlineStr">
        <is>
          <t>S1/S2/S3 Orders</t>
        </is>
      </c>
      <c r="B41" s="23" t="inlineStr">
        <is>
          <t>Drop_Service_Min</t>
        </is>
      </c>
      <c r="C41" s="23" t="inlineStr">
        <is>
          <t>Trường đơn hàng dùng cho validation, phân cụm và VRPTW</t>
        </is>
      </c>
    </row>
    <row r="42" ht="18" customHeight="1" s="17">
      <c r="A42" s="21" t="inlineStr">
        <is>
          <t>S1/S2/S3 Orders</t>
        </is>
      </c>
      <c r="B42" s="21" t="inlineStr">
        <is>
          <t>Lead_Time_Min</t>
        </is>
      </c>
      <c r="C42" s="21" t="inlineStr">
        <is>
          <t>Trường đơn hàng dùng cho validation, phân cụm và VRPTW</t>
        </is>
      </c>
    </row>
    <row r="43" ht="18" customHeight="1" s="17">
      <c r="A43" s="23" t="inlineStr">
        <is>
          <t>S1/S2/S3 Orders</t>
        </is>
      </c>
      <c r="B43" s="23" t="inlineStr">
        <is>
          <t>Freight_Revenue_VND</t>
        </is>
      </c>
      <c r="C43" s="23" t="inlineStr">
        <is>
          <t>Trường đơn hàng dùng cho validation, phân cụm và VRPTW</t>
        </is>
      </c>
    </row>
    <row r="44" ht="18" customHeight="1" s="17">
      <c r="A44" s="21" t="inlineStr">
        <is>
          <t>S1/S2/S3 Orders</t>
        </is>
      </c>
      <c r="B44" s="21" t="inlineStr">
        <is>
          <t>Extra_Stop_Fee_VND</t>
        </is>
      </c>
      <c r="C44" s="21" t="inlineStr">
        <is>
          <t>Trường đơn hàng dùng cho validation, phân cụm và VRPTW</t>
        </is>
      </c>
    </row>
    <row r="45" ht="18" customHeight="1" s="17">
      <c r="A45" s="23" t="inlineStr">
        <is>
          <t>S1/S2/S3 Orders</t>
        </is>
      </c>
      <c r="B45" s="23" t="inlineStr">
        <is>
          <t>Waiting_Fee_Chargeable_VND</t>
        </is>
      </c>
      <c r="C45" s="23" t="inlineStr">
        <is>
          <t>Trường đơn hàng dùng cho validation, phân cụm và VRPTW</t>
        </is>
      </c>
    </row>
    <row r="46" ht="18" customHeight="1" s="17">
      <c r="A46" s="21" t="inlineStr">
        <is>
          <t>S1/S2/S3 Orders</t>
        </is>
      </c>
      <c r="B46" s="21" t="inlineStr">
        <is>
          <t>Late_Penalty_VND_per_30m</t>
        </is>
      </c>
      <c r="C46" s="21" t="inlineStr">
        <is>
          <t>Trường đơn hàng dùng cho validation, phân cụm và VRPTW</t>
        </is>
      </c>
    </row>
    <row r="47" ht="18" customHeight="1" s="17">
      <c r="A47" s="23" t="inlineStr">
        <is>
          <t>S1/S2/S3 Orders</t>
        </is>
      </c>
      <c r="B47" s="23" t="inlineStr">
        <is>
          <t>Customer_Priority</t>
        </is>
      </c>
      <c r="C47" s="23" t="inlineStr">
        <is>
          <t>Trường đơn hàng dùng cho validation, phân cụm và VRPTW</t>
        </is>
      </c>
    </row>
    <row r="48" ht="18" customHeight="1" s="17">
      <c r="A48" s="21" t="inlineStr">
        <is>
          <t>S1/S2/S3 Orders</t>
        </is>
      </c>
      <c r="B48" s="21" t="inlineStr">
        <is>
          <t>Contract_Route_ID</t>
        </is>
      </c>
      <c r="C48" s="21" t="inlineStr">
        <is>
          <t>Trường đơn hàng dùng cho validation, phân cụm và VRPTW</t>
        </is>
      </c>
    </row>
    <row r="49" ht="18" customHeight="1" s="17">
      <c r="A49" s="23" t="inlineStr">
        <is>
          <t>S1/S2/S3 Orders</t>
        </is>
      </c>
      <c r="B49" s="23" t="inlineStr">
        <is>
          <t>Source_System</t>
        </is>
      </c>
      <c r="C49" s="23" t="inlineStr">
        <is>
          <t>Trường đơn hàng dùng cho validation, phân cụm và VRPTW</t>
        </is>
      </c>
    </row>
    <row r="50" ht="18" customHeight="1" s="17">
      <c r="A50" s="21" t="inlineStr">
        <is>
          <t>S1/S2/S3 Orders</t>
        </is>
      </c>
      <c r="B50" s="21" t="inlineStr">
        <is>
          <t>Seed_Cluster_ID</t>
        </is>
      </c>
      <c r="C50" s="21" t="inlineStr">
        <is>
          <t>Trường đơn hàng dùng cho validation, phân cụm và VRPTW</t>
        </is>
      </c>
    </row>
    <row r="51" ht="18" customHeight="1" s="17">
      <c r="A51" s="23" t="inlineStr">
        <is>
          <t>S1/S2/S3 Orders</t>
        </is>
      </c>
      <c r="B51" s="23" t="inlineStr">
        <is>
          <t>Suggested_Vehicle_Type</t>
        </is>
      </c>
      <c r="C51" s="23" t="inlineStr">
        <is>
          <t>Trường đơn hàng dùng cho validation, phân cụm và VRPTW</t>
        </is>
      </c>
    </row>
    <row r="52" ht="18" customHeight="1" s="17">
      <c r="A52" s="21" t="inlineStr">
        <is>
          <t>S1/S2/S3 Orders</t>
        </is>
      </c>
      <c r="B52" s="21" t="inlineStr">
        <is>
          <t>Suggested_Action</t>
        </is>
      </c>
      <c r="C52" s="21" t="inlineStr">
        <is>
          <t>Trường đơn hàng dùng cho validation, phân cụm và VRPTW</t>
        </is>
      </c>
    </row>
    <row r="53" ht="18" customHeight="1" s="17">
      <c r="A53" s="23" t="inlineStr">
        <is>
          <t>S1/S2/S3 Orders</t>
        </is>
      </c>
      <c r="B53" s="23" t="inlineStr">
        <is>
          <t>Validation_Status</t>
        </is>
      </c>
      <c r="C53" s="23" t="inlineStr">
        <is>
          <t>Trường đơn hàng dùng cho validation, phân cụm và VRPTW</t>
        </is>
      </c>
    </row>
    <row r="54" ht="18" customHeight="1" s="17">
      <c r="A54" s="21" t="inlineStr">
        <is>
          <t>S1/S2/S3 Orders</t>
        </is>
      </c>
      <c r="B54" s="21" t="inlineStr">
        <is>
          <t>Risk_Flag</t>
        </is>
      </c>
      <c r="C54" s="21" t="inlineStr">
        <is>
          <t>Trường đơn hàng dùng cho validation, phân cụm và VRPTW</t>
        </is>
      </c>
    </row>
    <row r="55" ht="18" customHeight="1" s="17">
      <c r="A55" s="23" t="inlineStr">
        <is>
          <t>S1/S2/S3 Orders</t>
        </is>
      </c>
      <c r="B55" s="23" t="inlineStr">
        <is>
          <t>Total_Service_Min</t>
        </is>
      </c>
      <c r="C55" s="23" t="inlineStr">
        <is>
          <t>Trường công thức kiểm tra nhanh tính khả thi trước khi đưa vào solver</t>
        </is>
      </c>
    </row>
    <row r="56" ht="18" customHeight="1" s="17">
      <c r="A56" s="21" t="inlineStr">
        <is>
          <t>S1/S2/S3 Orders</t>
        </is>
      </c>
      <c r="B56" s="21" t="inlineStr">
        <is>
          <t>Direct_Drive_Min</t>
        </is>
      </c>
      <c r="C56" s="21" t="inlineStr">
        <is>
          <t>Trường công thức kiểm tra nhanh tính khả thi trước khi đưa vào solver</t>
        </is>
      </c>
    </row>
    <row r="57" ht="18" customHeight="1" s="17">
      <c r="A57" s="23" t="inlineStr">
        <is>
          <t>S1/S2/S3 Orders</t>
        </is>
      </c>
      <c r="B57" s="23" t="inlineStr">
        <is>
          <t>Load_Class_kg</t>
        </is>
      </c>
      <c r="C57" s="23" t="inlineStr">
        <is>
          <t>Trường công thức kiểm tra nhanh tính khả thi trước khi đưa vào solver</t>
        </is>
      </c>
    </row>
    <row r="58" ht="18" customHeight="1" s="17">
      <c r="A58" s="21" t="inlineStr">
        <is>
          <t>S1/S2/S3 Orders</t>
        </is>
      </c>
      <c r="B58" s="21" t="inlineStr">
        <is>
          <t>LeadTime_Check</t>
        </is>
      </c>
      <c r="C58" s="21" t="inlineStr">
        <is>
          <t>Trường công thức kiểm tra nhanh tính khả thi trước khi đưa vào solver</t>
        </is>
      </c>
    </row>
    <row r="59" ht="18" customHeight="1" s="17">
      <c r="A59" s="23" t="inlineStr">
        <is>
          <t>S1/S2/S3 Orders</t>
        </is>
      </c>
      <c r="B59" s="23" t="inlineStr">
        <is>
          <t>Algorithm_Ready_Flag</t>
        </is>
      </c>
      <c r="C59" s="23" t="inlineStr">
        <is>
          <t>Trường công thức kiểm tra nhanh tính khả thi trước khi đưa vào solver</t>
        </is>
      </c>
    </row>
    <row r="60" ht="18" customHeight="1" s="17">
      <c r="A60" s="21" t="inlineStr">
        <is>
          <t>S1/S2/S3 Orders</t>
        </is>
      </c>
      <c r="B60" s="21" t="inlineStr">
        <is>
          <t>Notes</t>
        </is>
      </c>
      <c r="C60" s="21" t="inlineStr">
        <is>
          <t>Trường đơn hàng dùng cho validation, phân cụm và VRPTW</t>
        </is>
      </c>
    </row>
    <row r="61" ht="18" customHeight="1" s="17">
      <c r="A61" s="23" t="inlineStr">
        <is>
          <t>Fleet_40</t>
        </is>
      </c>
      <c r="B61" s="23" t="inlineStr">
        <is>
          <t>Vehicle_ID</t>
        </is>
      </c>
      <c r="C61" s="23" t="inlineStr">
        <is>
          <t>Thông tin xe/tài xế/năng lực/ràng buộc dùng để gán xe và kiểm tra compatibility</t>
        </is>
      </c>
    </row>
    <row r="62" ht="18" customHeight="1" s="17">
      <c r="A62" s="21" t="inlineStr">
        <is>
          <t>Fleet_40</t>
        </is>
      </c>
      <c r="B62" s="21" t="inlineStr">
        <is>
          <t>Plate_No</t>
        </is>
      </c>
      <c r="C62" s="21" t="inlineStr">
        <is>
          <t>Thông tin xe/tài xế/năng lực/ràng buộc dùng để gán xe và kiểm tra compatibility</t>
        </is>
      </c>
    </row>
    <row r="63" ht="18" customHeight="1" s="17">
      <c r="A63" s="23" t="inlineStr">
        <is>
          <t>Fleet_40</t>
        </is>
      </c>
      <c r="B63" s="23" t="inlineStr">
        <is>
          <t>Vehicle_Type</t>
        </is>
      </c>
      <c r="C63" s="23" t="inlineStr">
        <is>
          <t>Thông tin xe/tài xế/năng lực/ràng buộc dùng để gán xe và kiểm tra compatibility</t>
        </is>
      </c>
    </row>
    <row r="64" ht="18" customHeight="1" s="17">
      <c r="A64" s="21" t="inlineStr">
        <is>
          <t>Fleet_40</t>
        </is>
      </c>
      <c r="B64" s="21" t="inlineStr">
        <is>
          <t>Vehicle_Class</t>
        </is>
      </c>
      <c r="C64" s="21" t="inlineStr">
        <is>
          <t>Thông tin xe/tài xế/năng lực/ràng buộc dùng để gán xe và kiểm tra compatibility</t>
        </is>
      </c>
    </row>
    <row r="65" ht="18" customHeight="1" s="17">
      <c r="A65" s="23" t="inlineStr">
        <is>
          <t>Fleet_40</t>
        </is>
      </c>
      <c r="B65" s="23" t="inlineStr">
        <is>
          <t>Max_Weight_kg</t>
        </is>
      </c>
      <c r="C65" s="23" t="inlineStr">
        <is>
          <t>Thông tin xe/tài xế/năng lực/ràng buộc dùng để gán xe và kiểm tra compatibility</t>
        </is>
      </c>
    </row>
    <row r="66" ht="18" customHeight="1" s="17">
      <c r="A66" s="21" t="inlineStr">
        <is>
          <t>Fleet_40</t>
        </is>
      </c>
      <c r="B66" s="21" t="inlineStr">
        <is>
          <t>Max_Volume_m3</t>
        </is>
      </c>
      <c r="C66" s="21" t="inlineStr">
        <is>
          <t>Thông tin xe/tài xế/năng lực/ràng buộc dùng để gán xe và kiểm tra compatibility</t>
        </is>
      </c>
    </row>
    <row r="67" ht="18" customHeight="1" s="17">
      <c r="A67" s="23" t="inlineStr">
        <is>
          <t>Fleet_40</t>
        </is>
      </c>
      <c r="B67" s="23" t="inlineStr">
        <is>
          <t>Refrigerated</t>
        </is>
      </c>
      <c r="C67" s="23" t="inlineStr">
        <is>
          <t>Thông tin xe/tài xế/năng lực/ràng buộc dùng để gán xe và kiểm tra compatibility</t>
        </is>
      </c>
    </row>
    <row r="68" ht="18" customHeight="1" s="17">
      <c r="A68" s="21" t="inlineStr">
        <is>
          <t>Fleet_40</t>
        </is>
      </c>
      <c r="B68" s="21" t="inlineStr">
        <is>
          <t>Driver_ID</t>
        </is>
      </c>
      <c r="C68" s="21" t="inlineStr">
        <is>
          <t>Thông tin xe/tài xế/năng lực/ràng buộc dùng để gán xe và kiểm tra compatibility</t>
        </is>
      </c>
    </row>
    <row r="69" ht="18" customHeight="1" s="17">
      <c r="A69" s="23" t="inlineStr">
        <is>
          <t>Fleet_40</t>
        </is>
      </c>
      <c r="B69" s="23" t="inlineStr">
        <is>
          <t>Driver_Name</t>
        </is>
      </c>
      <c r="C69" s="23" t="inlineStr">
        <is>
          <t>Thông tin xe/tài xế/năng lực/ràng buộc dùng để gán xe và kiểm tra compatibility</t>
        </is>
      </c>
    </row>
    <row r="70" ht="18" customHeight="1" s="17">
      <c r="A70" s="21" t="inlineStr">
        <is>
          <t>Fleet_40</t>
        </is>
      </c>
      <c r="B70" s="21" t="inlineStr">
        <is>
          <t>Depot_ID</t>
        </is>
      </c>
      <c r="C70" s="21" t="inlineStr">
        <is>
          <t>Thông tin xe/tài xế/năng lực/ràng buộc dùng để gán xe và kiểm tra compatibility</t>
        </is>
      </c>
    </row>
    <row r="71" ht="18" customHeight="1" s="17">
      <c r="A71" s="23" t="inlineStr">
        <is>
          <t>Fleet_40</t>
        </is>
      </c>
      <c r="B71" s="23" t="inlineStr">
        <is>
          <t>Depot_Name</t>
        </is>
      </c>
      <c r="C71" s="23" t="inlineStr">
        <is>
          <t>Thông tin xe/tài xế/năng lực/ràng buộc dùng để gán xe và kiểm tra compatibility</t>
        </is>
      </c>
    </row>
    <row r="72" ht="18" customHeight="1" s="17">
      <c r="A72" s="21" t="inlineStr">
        <is>
          <t>Fleet_40</t>
        </is>
      </c>
      <c r="B72" s="21" t="inlineStr">
        <is>
          <t>Preferred_Corridor</t>
        </is>
      </c>
      <c r="C72" s="21" t="inlineStr">
        <is>
          <t>Thông tin xe/tài xế/năng lực/ràng buộc dùng để gán xe và kiểm tra compatibility</t>
        </is>
      </c>
    </row>
    <row r="73" ht="18" customHeight="1" s="17">
      <c r="A73" s="23" t="inlineStr">
        <is>
          <t>Fleet_40</t>
        </is>
      </c>
      <c r="B73" s="23" t="inlineStr">
        <is>
          <t>Shift_Start</t>
        </is>
      </c>
      <c r="C73" s="23" t="inlineStr">
        <is>
          <t>Thông tin xe/tài xế/năng lực/ràng buộc dùng để gán xe và kiểm tra compatibility</t>
        </is>
      </c>
    </row>
    <row r="74" ht="18" customHeight="1" s="17">
      <c r="A74" s="21" t="inlineStr">
        <is>
          <t>Fleet_40</t>
        </is>
      </c>
      <c r="B74" s="21" t="inlineStr">
        <is>
          <t>Shift_End</t>
        </is>
      </c>
      <c r="C74" s="21" t="inlineStr">
        <is>
          <t>Thông tin xe/tài xế/năng lực/ràng buộc dùng để gán xe và kiểm tra compatibility</t>
        </is>
      </c>
    </row>
    <row r="75" ht="18" customHeight="1" s="17">
      <c r="A75" s="23" t="inlineStr">
        <is>
          <t>Fleet_40</t>
        </is>
      </c>
      <c r="B75" s="23" t="inlineStr">
        <is>
          <t>Max_Driving_Hours_per_Day</t>
        </is>
      </c>
      <c r="C75" s="23" t="inlineStr">
        <is>
          <t>Thông tin xe/tài xế/năng lực/ràng buộc dùng để gán xe và kiểm tra compatibility</t>
        </is>
      </c>
    </row>
    <row r="76" ht="18" customHeight="1" s="17">
      <c r="A76" s="21" t="inlineStr">
        <is>
          <t>Fleet_40</t>
        </is>
      </c>
      <c r="B76" s="21" t="inlineStr">
        <is>
          <t>Max_Stops</t>
        </is>
      </c>
      <c r="C76" s="21" t="inlineStr">
        <is>
          <t>Thông tin xe/tài xế/năng lực/ràng buộc dùng để gán xe và kiểm tra compatibility</t>
        </is>
      </c>
    </row>
    <row r="77" ht="18" customHeight="1" s="17">
      <c r="A77" s="23" t="inlineStr">
        <is>
          <t>Fleet_40</t>
        </is>
      </c>
      <c r="B77" s="23" t="inlineStr">
        <is>
          <t>Fuel_L_per_km</t>
        </is>
      </c>
      <c r="C77" s="23" t="inlineStr">
        <is>
          <t>Thông tin xe/tài xế/năng lực/ràng buộc dùng để gán xe và kiểm tra compatibility</t>
        </is>
      </c>
    </row>
    <row r="78" ht="18" customHeight="1" s="17">
      <c r="A78" s="21" t="inlineStr">
        <is>
          <t>Fleet_40</t>
        </is>
      </c>
      <c r="B78" s="21" t="inlineStr">
        <is>
          <t>Fuel_Cost_per_km</t>
        </is>
      </c>
      <c r="C78" s="21" t="inlineStr">
        <is>
          <t>Thông tin xe/tài xế/năng lực/ràng buộc dùng để gán xe và kiểm tra compatibility</t>
        </is>
      </c>
    </row>
    <row r="79" ht="18" customHeight="1" s="17">
      <c r="A79" s="23" t="inlineStr">
        <is>
          <t>Fleet_40</t>
        </is>
      </c>
      <c r="B79" s="23" t="inlineStr">
        <is>
          <t>EmptyRun_Cost_per_km</t>
        </is>
      </c>
      <c r="C79" s="23" t="inlineStr">
        <is>
          <t>Thông tin xe/tài xế/năng lực/ràng buộc dùng để gán xe và kiểm tra compatibility</t>
        </is>
      </c>
    </row>
    <row r="80" ht="18" customHeight="1" s="17">
      <c r="A80" s="21" t="inlineStr">
        <is>
          <t>Fleet_40</t>
        </is>
      </c>
      <c r="B80" s="21" t="inlineStr">
        <is>
          <t>Fixed_Cost_per_Day</t>
        </is>
      </c>
      <c r="C80" s="21" t="inlineStr">
        <is>
          <t>Thông tin xe/tài xế/năng lực/ràng buộc dùng để gán xe và kiểm tra compatibility</t>
        </is>
      </c>
    </row>
    <row r="81" ht="18" customHeight="1" s="17">
      <c r="A81" s="23" t="inlineStr">
        <is>
          <t>Fleet_40</t>
        </is>
      </c>
      <c r="B81" s="23" t="inlineStr">
        <is>
          <t>Driver_Cost_per_Trip</t>
        </is>
      </c>
      <c r="C81" s="23" t="inlineStr">
        <is>
          <t>Thông tin xe/tài xế/năng lực/ràng buộc dùng để gán xe và kiểm tra compatibility</t>
        </is>
      </c>
    </row>
    <row r="82" ht="18" customHeight="1" s="17">
      <c r="A82" s="21" t="inlineStr">
        <is>
          <t>Fleet_40</t>
        </is>
      </c>
      <c r="B82" s="21" t="inlineStr">
        <is>
          <t>Avg_Speed_kmph</t>
        </is>
      </c>
      <c r="C82" s="21" t="inlineStr">
        <is>
          <t>Thông tin xe/tài xế/năng lực/ràng buộc dùng để gán xe và kiểm tra compatibility</t>
        </is>
      </c>
    </row>
    <row r="83" ht="18" customHeight="1" s="17">
      <c r="A83" s="23" t="inlineStr">
        <is>
          <t>Fleet_40</t>
        </is>
      </c>
      <c r="B83" s="23" t="inlineStr">
        <is>
          <t>HN_Inner_Allowed</t>
        </is>
      </c>
      <c r="C83" s="23" t="inlineStr">
        <is>
          <t>Thông tin xe/tài xế/năng lực/ràng buộc dùng để gán xe và kiểm tra compatibility</t>
        </is>
      </c>
    </row>
    <row r="84" ht="18" customHeight="1" s="17">
      <c r="A84" s="21" t="inlineStr">
        <is>
          <t>Fleet_40</t>
        </is>
      </c>
      <c r="B84" s="21" t="inlineStr">
        <is>
          <t>Road_Access_Class</t>
        </is>
      </c>
      <c r="C84" s="21" t="inlineStr">
        <is>
          <t>Thông tin xe/tài xế/năng lực/ràng buộc dùng để gán xe và kiểm tra compatibility</t>
        </is>
      </c>
    </row>
    <row r="85" ht="18" customHeight="1" s="17">
      <c r="A85" s="23" t="inlineStr">
        <is>
          <t>Fleet_40</t>
        </is>
      </c>
      <c r="B85" s="23" t="inlineStr">
        <is>
          <t>Status</t>
        </is>
      </c>
      <c r="C85" s="23" t="inlineStr">
        <is>
          <t>Thông tin xe/tài xế/năng lực/ràng buộc dùng để gán xe và kiểm tra compatibility</t>
        </is>
      </c>
    </row>
    <row r="86" ht="18" customHeight="1" s="17">
      <c r="A86" s="21" t="inlineStr">
        <is>
          <t>Fleet_40</t>
        </is>
      </c>
      <c r="B86" s="21" t="inlineStr">
        <is>
          <t>Available_Date</t>
        </is>
      </c>
      <c r="C86" s="21" t="inlineStr">
        <is>
          <t>Thông tin xe/tài xế/năng lực/ràng buộc dùng để gán xe và kiểm tra compatibility</t>
        </is>
      </c>
    </row>
    <row r="87" ht="18" customHeight="1" s="17">
      <c r="A87" s="23" t="inlineStr">
        <is>
          <t>Fleet_40</t>
        </is>
      </c>
      <c r="B87" s="23" t="inlineStr">
        <is>
          <t>Current_Lat</t>
        </is>
      </c>
      <c r="C87" s="23" t="inlineStr">
        <is>
          <t>Thông tin xe/tài xế/năng lực/ràng buộc dùng để gán xe và kiểm tra compatibility</t>
        </is>
      </c>
    </row>
    <row r="88" ht="18" customHeight="1" s="17">
      <c r="A88" s="21" t="inlineStr">
        <is>
          <t>Fleet_40</t>
        </is>
      </c>
      <c r="B88" s="21" t="inlineStr">
        <is>
          <t>Current_Lon</t>
        </is>
      </c>
      <c r="C88" s="21" t="inlineStr">
        <is>
          <t>Thông tin xe/tài xế/năng lực/ràng buộc dùng để gán xe và kiểm tra compatibility</t>
        </is>
      </c>
    </row>
    <row r="89" ht="18" customHeight="1" s="17">
      <c r="A89" s="23" t="inlineStr">
        <is>
          <t>Fleet_40</t>
        </is>
      </c>
      <c r="B89" s="23" t="inlineStr">
        <is>
          <t>GPS_Status</t>
        </is>
      </c>
      <c r="C89" s="23" t="inlineStr">
        <is>
          <t>Thông tin xe/tài xế/năng lực/ràng buộc dùng để gán xe và kiểm tra compatibility</t>
        </is>
      </c>
    </row>
    <row r="90" ht="18" customHeight="1" s="17">
      <c r="A90" s="21" t="inlineStr">
        <is>
          <t>Fleet_40</t>
        </is>
      </c>
      <c r="B90" s="21" t="inlineStr">
        <is>
          <t>Notes</t>
        </is>
      </c>
      <c r="C90" s="21" t="inlineStr">
        <is>
          <t>Thông tin xe/tài xế/năng lực/ràng buộc dùng để gán xe và kiểm tra compatibility</t>
        </is>
      </c>
    </row>
    <row r="91" ht="18" customHeight="1" s="17">
      <c r="A91" s="23" t="inlineStr">
        <is>
          <t>Algorithm_Nodes</t>
        </is>
      </c>
      <c r="B91" s="23" t="inlineStr">
        <is>
          <t>Scenario_ID</t>
        </is>
      </c>
      <c r="C91" s="23" t="inlineStr">
        <is>
          <t>Bảng node chuẩn hóa cho PDPTW/VRPTW: mỗi order có 1 pickup node và 1 delivery node</t>
        </is>
      </c>
    </row>
    <row r="92" ht="18" customHeight="1" s="17">
      <c r="A92" s="21" t="inlineStr">
        <is>
          <t>Algorithm_Nodes</t>
        </is>
      </c>
      <c r="B92" s="21" t="inlineStr">
        <is>
          <t>Order_ID</t>
        </is>
      </c>
      <c r="C92" s="21" t="inlineStr">
        <is>
          <t>Bảng node chuẩn hóa cho PDPTW/VRPTW: mỗi order có 1 pickup node và 1 delivery node</t>
        </is>
      </c>
    </row>
    <row r="93" ht="18" customHeight="1" s="17">
      <c r="A93" s="23" t="inlineStr">
        <is>
          <t>Algorithm_Nodes</t>
        </is>
      </c>
      <c r="B93" s="23" t="inlineStr">
        <is>
          <t>Node_ID</t>
        </is>
      </c>
      <c r="C93" s="23" t="inlineStr">
        <is>
          <t>Bảng node chuẩn hóa cho PDPTW/VRPTW: mỗi order có 1 pickup node và 1 delivery node</t>
        </is>
      </c>
    </row>
    <row r="94" ht="18" customHeight="1" s="17">
      <c r="A94" s="21" t="inlineStr">
        <is>
          <t>Algorithm_Nodes</t>
        </is>
      </c>
      <c r="B94" s="21" t="inlineStr">
        <is>
          <t>Node_Type</t>
        </is>
      </c>
      <c r="C94" s="21" t="inlineStr">
        <is>
          <t>Bảng node chuẩn hóa cho PDPTW/VRPTW: mỗi order có 1 pickup node và 1 delivery node</t>
        </is>
      </c>
    </row>
    <row r="95" ht="18" customHeight="1" s="17">
      <c r="A95" s="23" t="inlineStr">
        <is>
          <t>Algorithm_Nodes</t>
        </is>
      </c>
      <c r="B95" s="23" t="inlineStr">
        <is>
          <t>Pair_Node_ID</t>
        </is>
      </c>
      <c r="C95" s="23" t="inlineStr">
        <is>
          <t>Bảng node chuẩn hóa cho PDPTW/VRPTW: mỗi order có 1 pickup node và 1 delivery node</t>
        </is>
      </c>
    </row>
    <row r="96" ht="18" customHeight="1" s="17">
      <c r="A96" s="21" t="inlineStr">
        <is>
          <t>Algorithm_Nodes</t>
        </is>
      </c>
      <c r="B96" s="21" t="inlineStr">
        <is>
          <t>Precedence_Group</t>
        </is>
      </c>
      <c r="C96" s="21" t="inlineStr">
        <is>
          <t>Bảng node chuẩn hóa cho PDPTW/VRPTW: mỗi order có 1 pickup node và 1 delivery node</t>
        </is>
      </c>
    </row>
    <row r="97" ht="18" customHeight="1" s="17">
      <c r="A97" s="23" t="inlineStr">
        <is>
          <t>Algorithm_Nodes</t>
        </is>
      </c>
      <c r="B97" s="23" t="inlineStr">
        <is>
          <t>Location_ID</t>
        </is>
      </c>
      <c r="C97" s="23" t="inlineStr">
        <is>
          <t>Bảng node chuẩn hóa cho PDPTW/VRPTW: mỗi order có 1 pickup node và 1 delivery node</t>
        </is>
      </c>
    </row>
    <row r="98" ht="18" customHeight="1" s="17">
      <c r="A98" s="21" t="inlineStr">
        <is>
          <t>Algorithm_Nodes</t>
        </is>
      </c>
      <c r="B98" s="21" t="inlineStr">
        <is>
          <t>Location_Name</t>
        </is>
      </c>
      <c r="C98" s="21" t="inlineStr">
        <is>
          <t>Bảng node chuẩn hóa cho PDPTW/VRPTW: mỗi order có 1 pickup node và 1 delivery node</t>
        </is>
      </c>
    </row>
    <row r="99" ht="18" customHeight="1" s="17">
      <c r="A99" s="23" t="inlineStr">
        <is>
          <t>Algorithm_Nodes</t>
        </is>
      </c>
      <c r="B99" s="23" t="inlineStr">
        <is>
          <t>Province</t>
        </is>
      </c>
      <c r="C99" s="23" t="inlineStr">
        <is>
          <t>Bảng node chuẩn hóa cho PDPTW/VRPTW: mỗi order có 1 pickup node và 1 delivery node</t>
        </is>
      </c>
    </row>
    <row r="100" ht="18" customHeight="1" s="17">
      <c r="A100" s="21" t="inlineStr">
        <is>
          <t>Algorithm_Nodes</t>
        </is>
      </c>
      <c r="B100" s="21" t="inlineStr">
        <is>
          <t>District</t>
        </is>
      </c>
      <c r="C100" s="21" t="inlineStr">
        <is>
          <t>Bảng node chuẩn hóa cho PDPTW/VRPTW: mỗi order có 1 pickup node và 1 delivery node</t>
        </is>
      </c>
    </row>
    <row r="101" ht="18" customHeight="1" s="17">
      <c r="A101" s="23" t="inlineStr">
        <is>
          <t>Algorithm_Nodes</t>
        </is>
      </c>
      <c r="B101" s="23" t="inlineStr">
        <is>
          <t>Latitude</t>
        </is>
      </c>
      <c r="C101" s="23" t="inlineStr">
        <is>
          <t>Bảng node chuẩn hóa cho PDPTW/VRPTW: mỗi order có 1 pickup node và 1 delivery node</t>
        </is>
      </c>
    </row>
    <row r="102" ht="18" customHeight="1" s="17">
      <c r="A102" s="21" t="inlineStr">
        <is>
          <t>Algorithm_Nodes</t>
        </is>
      </c>
      <c r="B102" s="21" t="inlineStr">
        <is>
          <t>Longitude</t>
        </is>
      </c>
      <c r="C102" s="21" t="inlineStr">
        <is>
          <t>Bảng node chuẩn hóa cho PDPTW/VRPTW: mỗi order có 1 pickup node và 1 delivery node</t>
        </is>
      </c>
    </row>
    <row r="103" ht="18" customHeight="1" s="17">
      <c r="A103" s="23" t="inlineStr">
        <is>
          <t>Algorithm_Nodes</t>
        </is>
      </c>
      <c r="B103" s="23" t="inlineStr">
        <is>
          <t>Time_Window_Start_Min</t>
        </is>
      </c>
      <c r="C103" s="23" t="inlineStr">
        <is>
          <t>Bảng node chuẩn hóa cho PDPTW/VRPTW: mỗi order có 1 pickup node và 1 delivery node</t>
        </is>
      </c>
    </row>
    <row r="104" ht="18" customHeight="1" s="17">
      <c r="A104" s="21" t="inlineStr">
        <is>
          <t>Algorithm_Nodes</t>
        </is>
      </c>
      <c r="B104" s="21" t="inlineStr">
        <is>
          <t>Time_Window_End_Min</t>
        </is>
      </c>
      <c r="C104" s="21" t="inlineStr">
        <is>
          <t>Bảng node chuẩn hóa cho PDPTW/VRPTW: mỗi order có 1 pickup node và 1 delivery node</t>
        </is>
      </c>
    </row>
    <row r="105" ht="18" customHeight="1" s="17">
      <c r="A105" s="23" t="inlineStr">
        <is>
          <t>Algorithm_Nodes</t>
        </is>
      </c>
      <c r="B105" s="23" t="inlineStr">
        <is>
          <t>Time_Window_Start_Text</t>
        </is>
      </c>
      <c r="C105" s="23" t="inlineStr">
        <is>
          <t>Bảng node chuẩn hóa cho PDPTW/VRPTW: mỗi order có 1 pickup node và 1 delivery node</t>
        </is>
      </c>
    </row>
    <row r="106" ht="18" customHeight="1" s="17">
      <c r="A106" s="21" t="inlineStr">
        <is>
          <t>Algorithm_Nodes</t>
        </is>
      </c>
      <c r="B106" s="21" t="inlineStr">
        <is>
          <t>Time_Window_End_Text</t>
        </is>
      </c>
      <c r="C106" s="21" t="inlineStr">
        <is>
          <t>Bảng node chuẩn hóa cho PDPTW/VRPTW: mỗi order có 1 pickup node và 1 delivery node</t>
        </is>
      </c>
    </row>
    <row r="107" ht="18" customHeight="1" s="17">
      <c r="A107" s="23" t="inlineStr">
        <is>
          <t>Algorithm_Nodes</t>
        </is>
      </c>
      <c r="B107" s="23" t="inlineStr">
        <is>
          <t>Service_Time_Min</t>
        </is>
      </c>
      <c r="C107" s="23" t="inlineStr">
        <is>
          <t>Bảng node chuẩn hóa cho PDPTW/VRPTW: mỗi order có 1 pickup node và 1 delivery node</t>
        </is>
      </c>
    </row>
    <row r="108" ht="18" customHeight="1" s="17">
      <c r="A108" s="21" t="inlineStr">
        <is>
          <t>Algorithm_Nodes</t>
        </is>
      </c>
      <c r="B108" s="21" t="inlineStr">
        <is>
          <t>Demand_Weight_kg</t>
        </is>
      </c>
      <c r="C108" s="21" t="inlineStr">
        <is>
          <t>Bảng node chuẩn hóa cho PDPTW/VRPTW: mỗi order có 1 pickup node và 1 delivery node</t>
        </is>
      </c>
    </row>
    <row r="109" ht="18" customHeight="1" s="17">
      <c r="A109" s="23" t="inlineStr">
        <is>
          <t>Algorithm_Nodes</t>
        </is>
      </c>
      <c r="B109" s="23" t="inlineStr">
        <is>
          <t>Demand_Volume_m3</t>
        </is>
      </c>
      <c r="C109" s="23" t="inlineStr">
        <is>
          <t>Bảng node chuẩn hóa cho PDPTW/VRPTW: mỗi order có 1 pickup node và 1 delivery node</t>
        </is>
      </c>
    </row>
    <row r="110" ht="18" customHeight="1" s="17">
      <c r="A110" s="21" t="inlineStr">
        <is>
          <t>Algorithm_Nodes</t>
        </is>
      </c>
      <c r="B110" s="21" t="inlineStr">
        <is>
          <t>Compatible_Min_Vehicle</t>
        </is>
      </c>
      <c r="C110" s="21" t="inlineStr">
        <is>
          <t>Bảng node chuẩn hóa cho PDPTW/VRPTW: mỗi order có 1 pickup node và 1 delivery node</t>
        </is>
      </c>
    </row>
    <row r="111" ht="18" customHeight="1" s="17">
      <c r="A111" s="23" t="inlineStr">
        <is>
          <t>Algorithm_Nodes</t>
        </is>
      </c>
      <c r="B111" s="23" t="inlineStr">
        <is>
          <t>Max_Vehicle_Allowed</t>
        </is>
      </c>
      <c r="C111" s="23" t="inlineStr">
        <is>
          <t>Bảng node chuẩn hóa cho PDPTW/VRPTW: mỗi order có 1 pickup node và 1 delivery node</t>
        </is>
      </c>
    </row>
    <row r="112" ht="18" customHeight="1" s="17">
      <c r="A112" s="21" t="inlineStr">
        <is>
          <t>Algorithm_Nodes</t>
        </is>
      </c>
      <c r="B112" s="21" t="inlineStr">
        <is>
          <t>Corridor</t>
        </is>
      </c>
      <c r="C112" s="21" t="inlineStr">
        <is>
          <t>Bảng node chuẩn hóa cho PDPTW/VRPTW: mỗi order có 1 pickup node và 1 delivery node</t>
        </is>
      </c>
    </row>
    <row r="113" ht="18" customHeight="1" s="17">
      <c r="A113" s="23" t="inlineStr">
        <is>
          <t>Algorithm_Nodes</t>
        </is>
      </c>
      <c r="B113" s="23" t="inlineStr">
        <is>
          <t>Contract_Route_ID</t>
        </is>
      </c>
      <c r="C113" s="23" t="inlineStr">
        <is>
          <t>Bảng node chuẩn hóa cho PDPTW/VRPTW: mỗi order có 1 pickup node và 1 delivery node</t>
        </is>
      </c>
    </row>
    <row r="114" ht="18" customHeight="1" s="17">
      <c r="A114" s="21" t="inlineStr">
        <is>
          <t>Algorithm_Nodes</t>
        </is>
      </c>
      <c r="B114" s="21" t="inlineStr">
        <is>
          <t>Priority</t>
        </is>
      </c>
      <c r="C114" s="21" t="inlineStr">
        <is>
          <t>Bảng node chuẩn hóa cho PDPTW/VRPTW: mỗi order có 1 pickup node và 1 delivery node</t>
        </is>
      </c>
    </row>
    <row r="115" ht="18" customHeight="1" s="17">
      <c r="A115" s="23" t="inlineStr">
        <is>
          <t>Algorithm_Nodes</t>
        </is>
      </c>
      <c r="B115" s="23" t="inlineStr">
        <is>
          <t>Revenue_If_Served_VND</t>
        </is>
      </c>
      <c r="C115" s="23" t="inlineStr">
        <is>
          <t>Bảng node chuẩn hóa cho PDPTW/VRPTW: mỗi order có 1 pickup node và 1 delivery node</t>
        </is>
      </c>
    </row>
    <row r="116" ht="18" customHeight="1" s="17">
      <c r="A116" s="21" t="inlineStr">
        <is>
          <t>Algorithm_Nodes</t>
        </is>
      </c>
      <c r="B116" s="21" t="inlineStr">
        <is>
          <t>Late_Penalty_VND_per_30m</t>
        </is>
      </c>
      <c r="C116" s="21" t="inlineStr">
        <is>
          <t>Bảng node chuẩn hóa cho PDPTW/VRPTW: mỗi order có 1 pickup node và 1 delivery node</t>
        </is>
      </c>
    </row>
    <row r="117" ht="18" customHeight="1" s="17">
      <c r="A117" s="23" t="inlineStr">
        <is>
          <t>Algorithm_Nodes</t>
        </is>
      </c>
      <c r="B117" s="23" t="inlineStr">
        <is>
          <t>Hard_Time_Window</t>
        </is>
      </c>
      <c r="C117" s="23" t="inlineStr">
        <is>
          <t>Bảng node chuẩn hóa cho PDPTW/VRPTW: mỗi order có 1 pickup node và 1 delivery node</t>
        </is>
      </c>
    </row>
    <row r="118" ht="18" customHeight="1" s="17">
      <c r="A118" s="21" t="inlineStr">
        <is>
          <t>Algorithm_Nodes</t>
        </is>
      </c>
      <c r="B118" s="21" t="inlineStr">
        <is>
          <t>Planning_Date</t>
        </is>
      </c>
      <c r="C118" s="21" t="inlineStr">
        <is>
          <t>Bảng node chuẩn hóa cho PDPTW/VRPTW: mỗi order có 1 pickup node và 1 delivery node</t>
        </is>
      </c>
    </row>
    <row r="119" ht="18" customHeight="1" s="17">
      <c r="A119" s="23" t="inlineStr">
        <is>
          <t>Algorithm_Nodes</t>
        </is>
      </c>
      <c r="B119" s="23" t="inlineStr">
        <is>
          <t>Ready_Flag</t>
        </is>
      </c>
      <c r="C119" s="23" t="inlineStr">
        <is>
          <t>Bảng node chuẩn hóa cho PDPTW/VRPTW: mỗi order có 1 pickup node và 1 delivery node</t>
        </is>
      </c>
    </row>
    <row r="120" ht="18" customHeight="1" s="17">
      <c r="A120" s="21" t="inlineStr">
        <is>
          <t>Algorithm_Nodes</t>
        </is>
      </c>
      <c r="B120" s="21" t="inlineStr">
        <is>
          <t>Notes</t>
        </is>
      </c>
      <c r="C120" s="21" t="inlineStr">
        <is>
          <t>Bảng node chuẩn hóa cho PDPTW/VRPTW: mỗi order có 1 pickup node và 1 delivery node</t>
        </is>
      </c>
    </row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portrait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8" customWidth="1" style="17" min="1" max="2"/>
    <col width="36" customWidth="1" style="17" min="2" max="2"/>
    <col width="44" customWidth="1" style="17" min="3" max="3"/>
    <col width="16" customWidth="1" style="17" min="4" max="5"/>
    <col width="22" customWidth="1" style="17" min="5" max="5"/>
    <col width="44" customWidth="1" style="17" min="6" max="7"/>
    <col width="21" customWidth="1" style="17" min="7" max="7"/>
    <col width="41" customWidth="1" style="17" min="8" max="10"/>
    <col width="44" customWidth="1" style="17" min="9" max="9"/>
    <col width="15" customWidth="1" style="17" min="10" max="10"/>
    <col width="44" customWidth="1" style="17" min="11" max="11"/>
    <col width="8.630000000000001" customWidth="1" style="17" min="12" max="26"/>
  </cols>
  <sheetData>
    <row r="1" ht="26" customHeight="1" s="17">
      <c r="A1" s="20" t="inlineStr">
        <is>
          <t>Location_ID</t>
        </is>
      </c>
      <c r="B1" s="20" t="inlineStr">
        <is>
          <t>Location_Name</t>
        </is>
      </c>
      <c r="C1" s="20" t="inlineStr">
        <is>
          <t>Type</t>
        </is>
      </c>
      <c r="D1" s="20" t="inlineStr">
        <is>
          <t>Province</t>
        </is>
      </c>
      <c r="E1" s="20" t="inlineStr">
        <is>
          <t>District</t>
        </is>
      </c>
      <c r="F1" s="20" t="inlineStr">
        <is>
          <t>Latitude</t>
        </is>
      </c>
      <c r="G1" s="20" t="inlineStr">
        <is>
          <t>Longitude</t>
        </is>
      </c>
      <c r="H1" s="20" t="inlineStr">
        <is>
          <t>Allowed_Vehicle_Types</t>
        </is>
      </c>
      <c r="I1" s="20" t="inlineStr">
        <is>
          <t>Operating_Start</t>
        </is>
      </c>
      <c r="J1" s="20" t="inlineStr">
        <is>
          <t>Operating_End</t>
        </is>
      </c>
      <c r="K1" s="20" t="inlineStr">
        <is>
          <t>Notes</t>
        </is>
      </c>
    </row>
    <row r="2" ht="18" customHeight="1" s="17">
      <c r="A2" s="21" t="inlineStr">
        <is>
          <t>PK_HPL_LB</t>
        </is>
      </c>
      <c r="B2" s="21" t="inlineStr">
        <is>
          <t>HPL Depot Long Biên - 20 Thạch Bàn</t>
        </is>
      </c>
      <c r="C2" s="21" t="inlineStr">
        <is>
          <t>Depot</t>
        </is>
      </c>
      <c r="D2" s="21" t="inlineStr">
        <is>
          <t>Hà Nội</t>
        </is>
      </c>
      <c r="E2" s="21" t="inlineStr">
        <is>
          <t>Long Biên</t>
        </is>
      </c>
      <c r="F2" s="22" t="n">
        <v>21.0261548385</v>
      </c>
      <c r="G2" s="22" t="n">
        <v>105.914182238</v>
      </c>
      <c r="H2" s="21" t="inlineStr">
        <is>
          <t>5 tạ;1.25T;5T;8T;3 chân;4 chân</t>
        </is>
      </c>
      <c r="I2" s="21" t="inlineStr">
        <is>
          <t>06:00</t>
        </is>
      </c>
      <c r="J2" s="21" t="inlineStr">
        <is>
          <t>20:00</t>
        </is>
      </c>
      <c r="K2" s="21" t="inlineStr">
        <is>
          <t>Có thể làm điểm xuất phát/kết thúc cho tuyến</t>
        </is>
      </c>
    </row>
    <row r="3" ht="18" customHeight="1" s="17">
      <c r="A3" s="23" t="inlineStr">
        <is>
          <t>PK_LINFOX_VSIP</t>
        </is>
      </c>
      <c r="B3" s="23" t="inlineStr">
        <is>
          <t>Kho Linfox KCN VSIP Bắc Ninh</t>
        </is>
      </c>
      <c r="C3" s="23" t="inlineStr">
        <is>
          <t>Customer Warehouse</t>
        </is>
      </c>
      <c r="D3" s="23" t="inlineStr">
        <is>
          <t>Bắc Ninh</t>
        </is>
      </c>
      <c r="E3" s="23" t="inlineStr">
        <is>
          <t>Từ Sơn</t>
        </is>
      </c>
      <c r="F3" s="24" t="n">
        <v>21.082707</v>
      </c>
      <c r="G3" s="24" t="n">
        <v>105.997949</v>
      </c>
      <c r="H3" s="23" t="inlineStr">
        <is>
          <t>5 tạ;1.25T;5T;8T;3 chân;4 chân</t>
        </is>
      </c>
      <c r="I3" s="23" t="inlineStr">
        <is>
          <t>06:00</t>
        </is>
      </c>
      <c r="J3" s="23" t="inlineStr">
        <is>
          <t>20:00</t>
        </is>
      </c>
      <c r="K3" s="23" t="inlineStr">
        <is>
          <t>Có thể làm điểm xuất phát/kết thúc cho tuyến</t>
        </is>
      </c>
    </row>
    <row r="4" ht="18" customHeight="1" s="17">
      <c r="A4" s="21" t="inlineStr">
        <is>
          <t>PK_HY_MYHAO</t>
        </is>
      </c>
      <c r="B4" s="21" t="inlineStr">
        <is>
          <t>Kho/Nhà máy khách hàng Mỹ Hào</t>
        </is>
      </c>
      <c r="C4" s="21" t="inlineStr">
        <is>
          <t>Customer Factory</t>
        </is>
      </c>
      <c r="D4" s="21" t="inlineStr">
        <is>
          <t>Hưng Yên</t>
        </is>
      </c>
      <c r="E4" s="21" t="inlineStr">
        <is>
          <t>Mỹ Hào</t>
        </is>
      </c>
      <c r="F4" s="22" t="n">
        <v>20.9329</v>
      </c>
      <c r="G4" s="22" t="n">
        <v>106.065</v>
      </c>
      <c r="H4" s="21" t="inlineStr">
        <is>
          <t>5 tạ;1.25T;5T;8T;3 chân;4 chân</t>
        </is>
      </c>
      <c r="I4" s="21" t="inlineStr">
        <is>
          <t>06:00</t>
        </is>
      </c>
      <c r="J4" s="21" t="inlineStr">
        <is>
          <t>20:00</t>
        </is>
      </c>
      <c r="K4" s="21" t="inlineStr">
        <is>
          <t>Có thể làm điểm xuất phát/kết thúc cho tuyến</t>
        </is>
      </c>
    </row>
    <row r="5" ht="18" customHeight="1" s="17">
      <c r="A5" s="23" t="inlineStr">
        <is>
          <t>PK_HP_DINHVU</t>
        </is>
      </c>
      <c r="B5" s="23" t="inlineStr">
        <is>
          <t>Kho Hải Phòng - Đình Vũ</t>
        </is>
      </c>
      <c r="C5" s="23" t="inlineStr">
        <is>
          <t>Port/Depot</t>
        </is>
      </c>
      <c r="D5" s="23" t="inlineStr">
        <is>
          <t>Hải Phòng</t>
        </is>
      </c>
      <c r="E5" s="23" t="inlineStr">
        <is>
          <t>Hải An</t>
        </is>
      </c>
      <c r="F5" s="24" t="n">
        <v>20.8425</v>
      </c>
      <c r="G5" s="24" t="n">
        <v>106.77</v>
      </c>
      <c r="H5" s="23" t="inlineStr">
        <is>
          <t>5 tạ;1.25T;5T;8T;3 chân;4 chân</t>
        </is>
      </c>
      <c r="I5" s="23" t="inlineStr">
        <is>
          <t>06:00</t>
        </is>
      </c>
      <c r="J5" s="23" t="inlineStr">
        <is>
          <t>20:00</t>
        </is>
      </c>
      <c r="K5" s="23" t="inlineStr">
        <is>
          <t>Có thể làm điểm xuất phát/kết thúc cho tuyến</t>
        </is>
      </c>
    </row>
    <row r="6" ht="18" customHeight="1" s="17">
      <c r="A6" s="21" t="inlineStr">
        <is>
          <t>PK_TH_QX</t>
        </is>
      </c>
      <c r="B6" s="21" t="inlineStr">
        <is>
          <t>Kho DC Thanh Hóa - Quảng Xương</t>
        </is>
      </c>
      <c r="C6" s="21" t="inlineStr">
        <is>
          <t>DC</t>
        </is>
      </c>
      <c r="D6" s="21" t="inlineStr">
        <is>
          <t>Thanh Hóa</t>
        </is>
      </c>
      <c r="E6" s="21" t="inlineStr">
        <is>
          <t>Quảng Xương</t>
        </is>
      </c>
      <c r="F6" s="22" t="n">
        <v>19.731</v>
      </c>
      <c r="G6" s="22" t="n">
        <v>105.815</v>
      </c>
      <c r="H6" s="21" t="inlineStr">
        <is>
          <t>5 tạ;1.25T;5T;8T;3 chân;4 chân</t>
        </is>
      </c>
      <c r="I6" s="21" t="inlineStr">
        <is>
          <t>06:00</t>
        </is>
      </c>
      <c r="J6" s="21" t="inlineStr">
        <is>
          <t>20:00</t>
        </is>
      </c>
      <c r="K6" s="21" t="inlineStr">
        <is>
          <t>Có thể làm điểm xuất phát/kết thúc cho tuyến</t>
        </is>
      </c>
    </row>
    <row r="7" ht="18" customHeight="1" s="17">
      <c r="A7" s="23" t="inlineStr">
        <is>
          <t>PK_NA_BACVINH</t>
        </is>
      </c>
      <c r="B7" s="23" t="inlineStr">
        <is>
          <t>Kho DC Vinh - KCN Bắc Vinh</t>
        </is>
      </c>
      <c r="C7" s="23" t="inlineStr">
        <is>
          <t>DC</t>
        </is>
      </c>
      <c r="D7" s="23" t="inlineStr">
        <is>
          <t>Nghệ An</t>
        </is>
      </c>
      <c r="E7" s="23" t="inlineStr">
        <is>
          <t>Vinh</t>
        </is>
      </c>
      <c r="F7" s="24" t="n">
        <v>18.733</v>
      </c>
      <c r="G7" s="24" t="n">
        <v>105.681</v>
      </c>
      <c r="H7" s="23" t="inlineStr">
        <is>
          <t>5 tạ;1.25T;5T;8T;3 chân;4 chân</t>
        </is>
      </c>
      <c r="I7" s="23" t="inlineStr">
        <is>
          <t>06:00</t>
        </is>
      </c>
      <c r="J7" s="23" t="inlineStr">
        <is>
          <t>20:00</t>
        </is>
      </c>
      <c r="K7" s="23" t="inlineStr">
        <is>
          <t>Có thể làm điểm xuất phát/kết thúc cho tuyến</t>
        </is>
      </c>
    </row>
    <row r="8" ht="18" customHeight="1" s="17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</row>
    <row r="9" ht="18" customHeight="1" s="17">
      <c r="A9" s="23" t="inlineStr">
        <is>
          <t>Zone/Rules below</t>
        </is>
      </c>
      <c r="B9" s="23" t="n"/>
      <c r="C9" s="23" t="n"/>
      <c r="D9" s="23" t="n"/>
      <c r="E9" s="23" t="n"/>
      <c r="F9" s="23" t="n"/>
      <c r="G9" s="23" t="n"/>
      <c r="H9" s="23" t="n"/>
      <c r="I9" s="23" t="n"/>
      <c r="J9" s="23" t="n"/>
      <c r="K9" s="23" t="n"/>
    </row>
    <row r="10" ht="18" customHeight="1" s="17">
      <c r="A10" s="21" t="inlineStr">
        <is>
          <t>Zone_ID</t>
        </is>
      </c>
      <c r="B10" s="21" t="inlineStr">
        <is>
          <t>Zone_Name</t>
        </is>
      </c>
      <c r="C10" s="21" t="inlineStr">
        <is>
          <t>Province/Coverage</t>
        </is>
      </c>
      <c r="D10" s="21" t="inlineStr">
        <is>
          <t>Rule_Type</t>
        </is>
      </c>
      <c r="E10" s="21" t="inlineStr">
        <is>
          <t>Vehicle_Limit</t>
        </is>
      </c>
      <c r="F10" s="21" t="inlineStr">
        <is>
          <t>Time_Window/Restriction</t>
        </is>
      </c>
      <c r="G10" s="21" t="inlineStr">
        <is>
          <t>Default_Service_Min</t>
        </is>
      </c>
      <c r="H10" s="21" t="inlineStr">
        <is>
          <t>Empty_Run_Rule</t>
        </is>
      </c>
      <c r="I10" s="21" t="inlineStr">
        <is>
          <t>Notes</t>
        </is>
      </c>
      <c r="J10" s="21" t="n"/>
      <c r="K10" s="21" t="n"/>
    </row>
    <row r="11" ht="18" customHeight="1" s="17">
      <c r="A11" s="23" t="inlineStr">
        <is>
          <t>Z_HN_INNER</t>
        </is>
      </c>
      <c r="B11" s="23" t="inlineStr">
        <is>
          <t>Nội thành Hà Nội</t>
        </is>
      </c>
      <c r="C11" s="23" t="inlineStr">
        <is>
          <t>Hà Nội</t>
        </is>
      </c>
      <c r="D11" s="23" t="inlineStr">
        <is>
          <t>Road/Vehicle</t>
        </is>
      </c>
      <c r="E11" s="23" t="inlineStr">
        <is>
          <t>&lt;=1.25T</t>
        </is>
      </c>
      <c r="F11" s="23" t="inlineStr">
        <is>
          <t>Cấm xe &gt;1.25T giờ cao điểm 06:00-09:00 và 16:30-19:30</t>
        </is>
      </c>
      <c r="G11" s="24" t="n">
        <v>25</v>
      </c>
      <c r="H11" s="23" t="inlineStr">
        <is>
          <t>&lt;100km có thể chấp nhận rỗng</t>
        </is>
      </c>
      <c r="I11" s="23" t="inlineStr">
        <is>
          <t>Ưu tiên xe nhỏ, nhiều điểm, kiểm tra đường hẹp/dây điện thấp</t>
        </is>
      </c>
      <c r="J11" s="23" t="n"/>
      <c r="K11" s="23" t="n"/>
    </row>
    <row r="12" ht="18" customHeight="1" s="17">
      <c r="A12" s="21" t="inlineStr">
        <is>
          <t>Z_HN_OUTER</t>
        </is>
      </c>
      <c r="B12" s="21" t="inlineStr">
        <is>
          <t>Ngoại thành Hà Nội</t>
        </is>
      </c>
      <c r="C12" s="21" t="inlineStr">
        <is>
          <t>Hoài Đức, Hà Đông, Long Biên</t>
        </is>
      </c>
      <c r="D12" s="21" t="inlineStr">
        <is>
          <t>Operational</t>
        </is>
      </c>
      <c r="E12" s="21" t="inlineStr">
        <is>
          <t>&lt;=5T</t>
        </is>
      </c>
      <c r="F12" s="21" t="inlineStr">
        <is>
          <t>Tùy tuyến/kho</t>
        </is>
      </c>
      <c r="G12" s="22" t="n">
        <v>30</v>
      </c>
      <c r="H12" s="21" t="inlineStr">
        <is>
          <t>&lt;100km có thể chấp nhận rỗng</t>
        </is>
      </c>
      <c r="I12" s="21" t="inlineStr">
        <is>
          <t>Có thể ghép đơn cùng trục</t>
        </is>
      </c>
      <c r="J12" s="21" t="n"/>
      <c r="K12" s="21" t="n"/>
    </row>
    <row r="13" ht="18" customHeight="1" s="17">
      <c r="A13" s="23" t="inlineStr">
        <is>
          <t>Z_DB</t>
        </is>
      </c>
      <c r="B13" s="23" t="inlineStr">
        <is>
          <t>Đông Bắc</t>
        </is>
      </c>
      <c r="C13" s="23" t="inlineStr">
        <is>
          <t>Bắc Ninh, Hải Phòng, Quảng Ninh, Hải Dương</t>
        </is>
      </c>
      <c r="D13" s="23" t="inlineStr">
        <is>
          <t>Corridor</t>
        </is>
      </c>
      <c r="E13" s="23" t="inlineStr">
        <is>
          <t>&lt;=8T/3 chân tùy điểm</t>
        </is>
      </c>
      <c r="F13" s="23" t="inlineStr">
        <is>
          <t>Theo khung giờ nhập kho</t>
        </is>
      </c>
      <c r="G13" s="24" t="n">
        <v>35</v>
      </c>
      <c r="H13" s="23" t="inlineStr">
        <is>
          <t>&gt;100km cần tìm chuyến về</t>
        </is>
      </c>
      <c r="I13" s="23" t="inlineStr">
        <is>
          <t>Ưu tiên corridor matching và return load</t>
        </is>
      </c>
      <c r="J13" s="23" t="n"/>
      <c r="K13" s="23" t="n"/>
    </row>
    <row r="14" ht="18" customHeight="1" s="17">
      <c r="A14" s="21" t="inlineStr">
        <is>
          <t>Z_TB</t>
        </is>
      </c>
      <c r="B14" s="21" t="inlineStr">
        <is>
          <t>Tây Bắc</t>
        </is>
      </c>
      <c r="C14" s="21" t="inlineStr">
        <is>
          <t>Thái Nguyên, Phú Thọ, Vĩnh Phúc</t>
        </is>
      </c>
      <c r="D14" s="21" t="inlineStr">
        <is>
          <t>Corridor</t>
        </is>
      </c>
      <c r="E14" s="21" t="inlineStr">
        <is>
          <t>&lt;=8T</t>
        </is>
      </c>
      <c r="F14" s="21" t="inlineStr">
        <is>
          <t>Theo khách hàng</t>
        </is>
      </c>
      <c r="G14" s="22" t="n">
        <v>35</v>
      </c>
      <c r="H14" s="21" t="inlineStr">
        <is>
          <t>&gt;100km cần tìm chuyến về</t>
        </is>
      </c>
      <c r="I14" s="21" t="inlineStr">
        <is>
          <t>Cần tránh nhảy trục Đông Bắc/Tây Bắc</t>
        </is>
      </c>
      <c r="J14" s="21" t="n"/>
      <c r="K14" s="21" t="n"/>
    </row>
    <row r="15" ht="18" customHeight="1" s="17">
      <c r="A15" s="23" t="inlineStr">
        <is>
          <t>Z_BTB</t>
        </is>
      </c>
      <c r="B15" s="23" t="inlineStr">
        <is>
          <t>Bắc Trung Bộ</t>
        </is>
      </c>
      <c r="C15" s="23" t="inlineStr">
        <is>
          <t>Ninh Bình, Thanh Hóa, Nghệ An</t>
        </is>
      </c>
      <c r="D15" s="23" t="inlineStr">
        <is>
          <t>Corridor</t>
        </is>
      </c>
      <c r="E15" s="23" t="inlineStr">
        <is>
          <t>&lt;=8T/3 chân</t>
        </is>
      </c>
      <c r="F15" s="23" t="inlineStr">
        <is>
          <t>Theo khách hàng</t>
        </is>
      </c>
      <c r="G15" s="24" t="n">
        <v>45</v>
      </c>
      <c r="H15" s="23" t="inlineStr">
        <is>
          <t>&gt;100km bắt buộc cố gắng xin hàng kéo về</t>
        </is>
      </c>
      <c r="I15" s="23" t="inlineStr">
        <is>
          <t>Tuyến dài, cần kiểm tra backhaul</t>
        </is>
      </c>
      <c r="J15" s="23" t="n"/>
      <c r="K15" s="23" t="n"/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29" customWidth="1" style="17" min="1" max="3"/>
    <col width="13" customWidth="1" style="17" min="2" max="2"/>
    <col width="13" customWidth="1" style="17" min="3" max="3"/>
    <col width="44" customWidth="1" style="17" min="4" max="4"/>
    <col width="8.630000000000001" customWidth="1" style="17" min="5" max="26"/>
  </cols>
  <sheetData>
    <row r="1" ht="26" customHeight="1" s="17">
      <c r="A1" s="20" t="inlineStr">
        <is>
          <t>Parameter</t>
        </is>
      </c>
      <c r="B1" s="20" t="inlineStr">
        <is>
          <t>Value</t>
        </is>
      </c>
      <c r="C1" s="20" t="inlineStr">
        <is>
          <t>Unit</t>
        </is>
      </c>
      <c r="D1" s="20" t="inlineStr">
        <is>
          <t>Business Meaning / Source in user-provided logic</t>
        </is>
      </c>
    </row>
    <row r="2" ht="18" customHeight="1" s="17">
      <c r="A2" s="21" t="inlineStr">
        <is>
          <t>Planning_Date</t>
        </is>
      </c>
      <c r="B2" s="21" t="inlineStr">
        <is>
          <t>2026-06-05</t>
        </is>
      </c>
      <c r="C2" s="21" t="inlineStr">
        <is>
          <t>date</t>
        </is>
      </c>
      <c r="D2" s="21" t="inlineStr">
        <is>
          <t>Kế hoạch cuối ngày cho ngày hôm sau</t>
        </is>
      </c>
    </row>
    <row r="3" ht="18" customHeight="1" s="17">
      <c r="A3" s="23" t="inlineStr">
        <is>
          <t>Diesel_Price</t>
        </is>
      </c>
      <c r="B3" s="24" t="n">
        <v>30020</v>
      </c>
      <c r="C3" s="23" t="inlineStr">
        <is>
          <t>VND/litre</t>
        </is>
      </c>
      <c r="D3" s="23" t="inlineStr">
        <is>
          <t>Giá dầu giả lập dùng cho tính chi phí nhiên liệu</t>
        </is>
      </c>
    </row>
    <row r="4" ht="18" customHeight="1" s="17">
      <c r="A4" s="21" t="inlineStr">
        <is>
          <t>Default_Avg_Speed</t>
        </is>
      </c>
      <c r="B4" s="22" t="n">
        <v>50</v>
      </c>
      <c r="C4" s="21" t="inlineStr">
        <is>
          <t>km/h</t>
        </is>
      </c>
      <c r="D4" s="21" t="inlineStr">
        <is>
          <t>Dùng để tính Direct_Drive_Min nếu chưa có speed riêng</t>
        </is>
      </c>
    </row>
    <row r="5" ht="18" customHeight="1" s="17">
      <c r="A5" s="23" t="inlineStr">
        <is>
          <t>Inner_City_Avg_Speed</t>
        </is>
      </c>
      <c r="B5" s="24" t="n">
        <v>35</v>
      </c>
      <c r="C5" s="23" t="inlineStr">
        <is>
          <t>km/h</t>
        </is>
      </c>
      <c r="D5" s="23" t="inlineStr">
        <is>
          <t>Nội thành Hà Nội, nhiều điểm và cấm tải</t>
        </is>
      </c>
    </row>
    <row r="6" ht="18" customHeight="1" s="17">
      <c r="A6" s="21" t="inlineStr">
        <is>
          <t>Allowed_KM_Error</t>
        </is>
      </c>
      <c r="B6" s="22" t="n">
        <v>0.05</v>
      </c>
      <c r="C6" s="21" t="inlineStr">
        <is>
          <t>%</t>
        </is>
      </c>
      <c r="D6" s="21" t="inlineStr">
        <is>
          <t>Sai số km GPS/Vietmap/Bình Anh/Maxi khoảng 3-5%</t>
        </is>
      </c>
    </row>
    <row r="7" ht="18" customHeight="1" s="17">
      <c r="A7" s="23" t="inlineStr">
        <is>
          <t>Empty_Run_Threshold</t>
        </is>
      </c>
      <c r="B7" s="24" t="n">
        <v>100</v>
      </c>
      <c r="C7" s="23" t="inlineStr">
        <is>
          <t>km</t>
        </is>
      </c>
      <c r="D7" s="23" t="inlineStr">
        <is>
          <t>&lt;100km có thể chạy rỗng; &gt;100km cần tìm chuyến quay đầu</t>
        </is>
      </c>
    </row>
    <row r="8" ht="18" customHeight="1" s="17">
      <c r="A8" s="21" t="inlineStr">
        <is>
          <t>Target_Profit_Margin</t>
        </is>
      </c>
      <c r="B8" s="22" t="n">
        <v>0.1</v>
      </c>
      <c r="C8" s="21" t="inlineStr">
        <is>
          <t>%</t>
        </is>
      </c>
      <c r="D8" s="21" t="inlineStr">
        <is>
          <t>Mục tiêu tối thiểu theo meeting: lợi nhuận khoảng 10%</t>
        </is>
      </c>
    </row>
    <row r="9" ht="18" customHeight="1" s="17">
      <c r="A9" s="23" t="inlineStr">
        <is>
          <t>Target_Improved_Margin</t>
        </is>
      </c>
      <c r="B9" s="24" t="n">
        <v>0.12</v>
      </c>
      <c r="C9" s="23" t="inlineStr">
        <is>
          <t>%</t>
        </is>
      </c>
      <c r="D9" s="23" t="inlineStr">
        <is>
          <t>Câu hỏi mục tiêu: cải thiện lên 12-15%</t>
        </is>
      </c>
    </row>
    <row r="10" ht="18" customHeight="1" s="17">
      <c r="A10" s="21" t="inlineStr">
        <is>
          <t>Driver_Max_Continuous_Drive</t>
        </is>
      </c>
      <c r="B10" s="22" t="n">
        <v>4</v>
      </c>
      <c r="C10" s="21" t="inlineStr">
        <is>
          <t>hours</t>
        </is>
      </c>
      <c r="D10" s="21" t="inlineStr">
        <is>
          <t>Không lái liên tục quá 4h</t>
        </is>
      </c>
    </row>
    <row r="11" ht="18" customHeight="1" s="17">
      <c r="A11" s="23" t="inlineStr">
        <is>
          <t>Driver_Max_Daily_Drive</t>
        </is>
      </c>
      <c r="B11" s="24" t="n">
        <v>10</v>
      </c>
      <c r="C11" s="23" t="inlineStr">
        <is>
          <t>hours</t>
        </is>
      </c>
      <c r="D11" s="23" t="inlineStr">
        <is>
          <t>Không quá 10h/ngày</t>
        </is>
      </c>
    </row>
    <row r="12" ht="18" customHeight="1" s="17">
      <c r="A12" s="21" t="inlineStr">
        <is>
          <t>Clustering_Radius_Default</t>
        </is>
      </c>
      <c r="B12" s="22" t="n">
        <v>15</v>
      </c>
      <c r="C12" s="21" t="inlineStr">
        <is>
          <t>km</t>
        </is>
      </c>
      <c r="D12" s="21" t="inlineStr">
        <is>
          <t>Bán kính gom cụm demo</t>
        </is>
      </c>
    </row>
    <row r="13" ht="18" customHeight="1" s="17">
      <c r="A13" s="23" t="inlineStr">
        <is>
          <t>Time_Compatibility_Window</t>
        </is>
      </c>
      <c r="B13" s="24" t="n">
        <v>120</v>
      </c>
      <c r="C13" s="23" t="inlineStr">
        <is>
          <t>minutes</t>
        </is>
      </c>
      <c r="D13" s="23" t="inlineStr">
        <is>
          <t>Khung giờ tương thích để gom cụm</t>
        </is>
      </c>
    </row>
    <row r="14" ht="18" customHeight="1" s="17">
      <c r="A14" s="21" t="inlineStr">
        <is>
          <t>w1_GeoSim</t>
        </is>
      </c>
      <c r="B14" s="22" t="n">
        <v>0.25</v>
      </c>
      <c r="C14" s="21" t="inlineStr">
        <is>
          <t>weight</t>
        </is>
      </c>
      <c r="D14" s="21" t="inlineStr">
        <is>
          <t>Trọng số khoảng cách địa lý</t>
        </is>
      </c>
    </row>
    <row r="15" ht="18" customHeight="1" s="17">
      <c r="A15" s="23" t="inlineStr">
        <is>
          <t>w2_TimeCompat</t>
        </is>
      </c>
      <c r="B15" s="24" t="n">
        <v>0.2</v>
      </c>
      <c r="C15" s="23" t="inlineStr">
        <is>
          <t>weight</t>
        </is>
      </c>
      <c r="D15" s="23" t="inlineStr">
        <is>
          <t>Trọng số tương thích khung giờ</t>
        </is>
      </c>
    </row>
    <row r="16" ht="18" customHeight="1" s="17">
      <c r="A16" s="21" t="inlineStr">
        <is>
          <t>w3_RouteCompat</t>
        </is>
      </c>
      <c r="B16" s="22" t="n">
        <v>0.15</v>
      </c>
      <c r="C16" s="21" t="inlineStr">
        <is>
          <t>weight</t>
        </is>
      </c>
      <c r="D16" s="21" t="inlineStr">
        <is>
          <t>Trọng số cùng hành lang tuyến</t>
        </is>
      </c>
    </row>
    <row r="17" ht="18" customHeight="1" s="17">
      <c r="A17" s="23" t="inlineStr">
        <is>
          <t>w4_VehicleCompat</t>
        </is>
      </c>
      <c r="B17" s="24" t="n">
        <v>0.15</v>
      </c>
      <c r="C17" s="23" t="inlineStr">
        <is>
          <t>weight</t>
        </is>
      </c>
      <c r="D17" s="23" t="inlineStr">
        <is>
          <t>Trọng số tương thích loại xe</t>
        </is>
      </c>
    </row>
    <row r="18" ht="18" customHeight="1" s="17">
      <c r="A18" s="21" t="inlineStr">
        <is>
          <t>w5_CapacityCompat</t>
        </is>
      </c>
      <c r="B18" s="22" t="n">
        <v>0.1</v>
      </c>
      <c r="C18" s="21" t="inlineStr">
        <is>
          <t>weight</t>
        </is>
      </c>
      <c r="D18" s="21" t="inlineStr">
        <is>
          <t>Trọng số tải trọng/dung tích</t>
        </is>
      </c>
    </row>
    <row r="19" ht="18" customHeight="1" s="17">
      <c r="A19" s="23" t="inlineStr">
        <is>
          <t>w6_FreightCompat</t>
        </is>
      </c>
      <c r="B19" s="24" t="n">
        <v>0.1</v>
      </c>
      <c r="C19" s="23" t="inlineStr">
        <is>
          <t>weight</t>
        </is>
      </c>
      <c r="D19" s="23" t="inlineStr">
        <is>
          <t>Trọng số cước/lợi nhuận</t>
        </is>
      </c>
    </row>
    <row r="20" ht="18" customHeight="1" s="17">
      <c r="A20" s="21" t="inlineStr">
        <is>
          <t>w7_WaitingRisk</t>
        </is>
      </c>
      <c r="B20" s="22" t="n">
        <v>0.05</v>
      </c>
      <c r="C20" s="21" t="inlineStr">
        <is>
          <t>weight</t>
        </is>
      </c>
      <c r="D20" s="21" t="inlineStr">
        <is>
          <t>Điểm phạt rủi ro chờ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portrait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8" customWidth="1" style="17" min="1" max="1"/>
    <col width="16" customWidth="1" style="17" min="2" max="29"/>
    <col width="14" customWidth="1" style="17" min="3" max="3"/>
    <col width="15" customWidth="1" style="17" min="4" max="4"/>
    <col width="15" customWidth="1" style="17" min="5" max="5"/>
    <col width="15" customWidth="1" style="17" min="6" max="6"/>
    <col width="14" customWidth="1" style="17" min="7" max="7"/>
    <col width="13" customWidth="1" style="17" min="8" max="8"/>
    <col width="13" customWidth="1" style="17" min="9" max="9"/>
    <col width="16" customWidth="1" style="17" min="10" max="10"/>
    <col width="36" customWidth="1" style="17" min="11" max="11"/>
    <col width="20" customWidth="1" style="17" min="12" max="12"/>
    <col width="13" customWidth="1" style="17" min="13" max="13"/>
    <col width="13" customWidth="1" style="17" min="14" max="14"/>
    <col width="27" customWidth="1" style="17" min="15" max="15"/>
    <col width="13" customWidth="1" style="17" min="16" max="16"/>
    <col width="15" customWidth="1" style="17" min="17" max="17"/>
    <col width="18" customWidth="1" style="17" min="18" max="18"/>
    <col width="22" customWidth="1" style="17" min="19" max="19"/>
    <col width="20" customWidth="1" style="17" min="20" max="20"/>
    <col width="22" customWidth="1" style="17" min="21" max="21"/>
    <col width="16" customWidth="1" style="17" min="22" max="22"/>
    <col width="18" customWidth="1" style="17" min="23" max="23"/>
    <col width="23" customWidth="1" style="17" min="24" max="24"/>
    <col width="13" customWidth="1" style="17" min="25" max="25"/>
    <col width="16" customWidth="1" style="17" min="26" max="26"/>
    <col width="15" customWidth="1" style="17" min="27" max="27"/>
    <col width="15" customWidth="1" style="17" min="28" max="28"/>
    <col width="13" customWidth="1" style="17" min="29" max="29"/>
    <col width="36" customWidth="1" style="17" min="30" max="30"/>
  </cols>
  <sheetData>
    <row r="1" ht="26" customHeight="1" s="17">
      <c r="A1" s="20" t="inlineStr">
        <is>
          <t>Vehicle_ID</t>
        </is>
      </c>
      <c r="B1" s="20" t="inlineStr">
        <is>
          <t>Plate_No</t>
        </is>
      </c>
      <c r="C1" s="20" t="inlineStr">
        <is>
          <t>Vehicle_Type</t>
        </is>
      </c>
      <c r="D1" s="20" t="inlineStr">
        <is>
          <t>Vehicle_Class</t>
        </is>
      </c>
      <c r="E1" s="20" t="inlineStr">
        <is>
          <t>Max_Weight_kg</t>
        </is>
      </c>
      <c r="F1" s="20" t="inlineStr">
        <is>
          <t>Max_Volume_m3</t>
        </is>
      </c>
      <c r="G1" s="20" t="inlineStr">
        <is>
          <t>Refrigerated</t>
        </is>
      </c>
      <c r="H1" s="20" t="inlineStr">
        <is>
          <t>Driver_ID</t>
        </is>
      </c>
      <c r="I1" s="20" t="inlineStr">
        <is>
          <t>Driver_Name</t>
        </is>
      </c>
      <c r="J1" s="20" t="inlineStr">
        <is>
          <t>Depot_ID</t>
        </is>
      </c>
      <c r="K1" s="20" t="inlineStr">
        <is>
          <t>Depot_Name</t>
        </is>
      </c>
      <c r="L1" s="20" t="inlineStr">
        <is>
          <t>Preferred_Corridor</t>
        </is>
      </c>
      <c r="M1" s="20" t="inlineStr">
        <is>
          <t>Shift_Start</t>
        </is>
      </c>
      <c r="N1" s="20" t="inlineStr">
        <is>
          <t>Shift_End</t>
        </is>
      </c>
      <c r="O1" s="20" t="inlineStr">
        <is>
          <t>Max_Driving_Hours_per_Day</t>
        </is>
      </c>
      <c r="P1" s="20" t="inlineStr">
        <is>
          <t>Max_Stops</t>
        </is>
      </c>
      <c r="Q1" s="20" t="inlineStr">
        <is>
          <t>Fuel_L_per_km</t>
        </is>
      </c>
      <c r="R1" s="20" t="inlineStr">
        <is>
          <t>Fuel_Cost_per_km</t>
        </is>
      </c>
      <c r="S1" s="20" t="inlineStr">
        <is>
          <t>EmptyRun_Cost_per_km</t>
        </is>
      </c>
      <c r="T1" s="20" t="inlineStr">
        <is>
          <t>Fixed_Cost_per_Day</t>
        </is>
      </c>
      <c r="U1" s="20" t="inlineStr">
        <is>
          <t>Driver_Cost_per_Trip</t>
        </is>
      </c>
      <c r="V1" s="20" t="inlineStr">
        <is>
          <t>Avg_Speed_kmph</t>
        </is>
      </c>
      <c r="W1" s="20" t="inlineStr">
        <is>
          <t>HN_Inner_Allowed</t>
        </is>
      </c>
      <c r="X1" s="20" t="inlineStr">
        <is>
          <t>Road_Access_Class</t>
        </is>
      </c>
      <c r="Y1" s="20" t="inlineStr">
        <is>
          <t>Status</t>
        </is>
      </c>
      <c r="Z1" s="20" t="inlineStr">
        <is>
          <t>Available_Date</t>
        </is>
      </c>
      <c r="AA1" s="20" t="inlineStr">
        <is>
          <t>Current_Lat</t>
        </is>
      </c>
      <c r="AB1" s="20" t="inlineStr">
        <is>
          <t>Current_Lon</t>
        </is>
      </c>
      <c r="AC1" s="20" t="inlineStr">
        <is>
          <t>GPS_Status</t>
        </is>
      </c>
      <c r="AD1" s="20" t="inlineStr">
        <is>
          <t>Notes</t>
        </is>
      </c>
    </row>
    <row r="2" ht="18" customHeight="1" s="17">
      <c r="A2" s="21" t="inlineStr">
        <is>
          <t>V001</t>
        </is>
      </c>
      <c r="B2" s="21" t="inlineStr">
        <is>
          <t>30F-50137</t>
        </is>
      </c>
      <c r="C2" s="21" t="inlineStr">
        <is>
          <t>5 tạ</t>
        </is>
      </c>
      <c r="D2" s="21" t="inlineStr">
        <is>
          <t>Phân phối</t>
        </is>
      </c>
      <c r="E2" s="28" t="n">
        <v>500</v>
      </c>
      <c r="F2" s="28" t="n">
        <v>4</v>
      </c>
      <c r="G2" s="21" t="inlineStr">
        <is>
          <t>No</t>
        </is>
      </c>
      <c r="H2" s="21" t="inlineStr">
        <is>
          <t>DRV001</t>
        </is>
      </c>
      <c r="I2" s="21" t="inlineStr">
        <is>
          <t>Tài xế 01</t>
        </is>
      </c>
      <c r="J2" s="21" t="inlineStr">
        <is>
          <t>PK_LINFOX_VSIP</t>
        </is>
      </c>
      <c r="K2" s="21" t="inlineStr">
        <is>
          <t>Kho Linfox KCN VSIP Bắc Ninh</t>
        </is>
      </c>
      <c r="L2" s="21" t="inlineStr">
        <is>
          <t>Nội thành Hà Nội</t>
        </is>
      </c>
      <c r="M2" s="21" t="inlineStr">
        <is>
          <t>06:00</t>
        </is>
      </c>
      <c r="N2" s="21" t="inlineStr">
        <is>
          <t>18:00</t>
        </is>
      </c>
      <c r="O2" s="22" t="n">
        <v>10</v>
      </c>
      <c r="P2" s="28" t="n">
        <v>5</v>
      </c>
      <c r="Q2" s="29" t="n">
        <v>0.09</v>
      </c>
      <c r="R2" s="30">
        <f>Q2*'03_Cost_Constraints'!$B$3</f>
        <v/>
      </c>
      <c r="S2" s="30">
        <f>R2*1.15</f>
        <v/>
      </c>
      <c r="T2" s="31" t="n">
        <v>220000</v>
      </c>
      <c r="U2" s="31" t="n">
        <v>250000</v>
      </c>
      <c r="V2" s="28" t="n">
        <v>35</v>
      </c>
      <c r="W2" s="21" t="inlineStr">
        <is>
          <t>Yes</t>
        </is>
      </c>
      <c r="X2" s="21" t="inlineStr">
        <is>
          <t>Inner-city compatible</t>
        </is>
      </c>
      <c r="Y2" s="21" t="inlineStr">
        <is>
          <t>Available</t>
        </is>
      </c>
      <c r="Z2" s="21" t="inlineStr">
        <is>
          <t>2026-06-05</t>
        </is>
      </c>
      <c r="AA2" s="22" t="n">
        <v>21.082707</v>
      </c>
      <c r="AB2" s="22" t="n">
        <v>105.997949</v>
      </c>
      <c r="AC2" s="21" t="inlineStr">
        <is>
          <t>OK</t>
        </is>
      </c>
      <c r="AD2" s="21" t="inlineStr">
        <is>
          <t>Sẵn sàng lập kế hoạch ngày hôm sau</t>
        </is>
      </c>
    </row>
    <row r="3" ht="18" customHeight="1" s="17">
      <c r="A3" s="23" t="inlineStr">
        <is>
          <t>V002</t>
        </is>
      </c>
      <c r="B3" s="23" t="inlineStr">
        <is>
          <t>31F-50274</t>
        </is>
      </c>
      <c r="C3" s="23" t="inlineStr">
        <is>
          <t>5 tạ</t>
        </is>
      </c>
      <c r="D3" s="23" t="inlineStr">
        <is>
          <t>Phân phối</t>
        </is>
      </c>
      <c r="E3" s="32" t="n">
        <v>500</v>
      </c>
      <c r="F3" s="32" t="n">
        <v>4</v>
      </c>
      <c r="G3" s="23" t="inlineStr">
        <is>
          <t>No</t>
        </is>
      </c>
      <c r="H3" s="23" t="inlineStr">
        <is>
          <t>DRV002</t>
        </is>
      </c>
      <c r="I3" s="23" t="inlineStr">
        <is>
          <t>Tài xế 02</t>
        </is>
      </c>
      <c r="J3" s="23" t="inlineStr">
        <is>
          <t>PK_HY_MYHAO</t>
        </is>
      </c>
      <c r="K3" s="23" t="inlineStr">
        <is>
          <t>Kho/Nhà máy khách hàng Mỹ Hào</t>
        </is>
      </c>
      <c r="L3" s="23" t="inlineStr">
        <is>
          <t>Nội thành Hà Nội</t>
        </is>
      </c>
      <c r="M3" s="23" t="inlineStr">
        <is>
          <t>06:00</t>
        </is>
      </c>
      <c r="N3" s="23" t="inlineStr">
        <is>
          <t>18:00</t>
        </is>
      </c>
      <c r="O3" s="24" t="n">
        <v>10</v>
      </c>
      <c r="P3" s="32" t="n">
        <v>5</v>
      </c>
      <c r="Q3" s="33" t="n">
        <v>0.09</v>
      </c>
      <c r="R3" s="34">
        <f>Q3*'03_Cost_Constraints'!$B$3</f>
        <v/>
      </c>
      <c r="S3" s="34">
        <f>R3*1.15</f>
        <v/>
      </c>
      <c r="T3" s="35" t="n">
        <v>220000</v>
      </c>
      <c r="U3" s="35" t="n">
        <v>250000</v>
      </c>
      <c r="V3" s="32" t="n">
        <v>35</v>
      </c>
      <c r="W3" s="23" t="inlineStr">
        <is>
          <t>Yes</t>
        </is>
      </c>
      <c r="X3" s="23" t="inlineStr">
        <is>
          <t>Inner-city compatible</t>
        </is>
      </c>
      <c r="Y3" s="23" t="inlineStr">
        <is>
          <t>Available</t>
        </is>
      </c>
      <c r="Z3" s="23" t="inlineStr">
        <is>
          <t>2026-06-05</t>
        </is>
      </c>
      <c r="AA3" s="24" t="n">
        <v>20.9329</v>
      </c>
      <c r="AB3" s="24" t="n">
        <v>106.065</v>
      </c>
      <c r="AC3" s="23" t="inlineStr">
        <is>
          <t>OK</t>
        </is>
      </c>
      <c r="AD3" s="23" t="inlineStr">
        <is>
          <t>Sẵn sàng lập kế hoạch ngày hôm sau</t>
        </is>
      </c>
    </row>
    <row r="4" ht="18" customHeight="1" s="17">
      <c r="A4" s="21" t="inlineStr">
        <is>
          <t>V003</t>
        </is>
      </c>
      <c r="B4" s="21" t="inlineStr">
        <is>
          <t>34C-50411</t>
        </is>
      </c>
      <c r="C4" s="21" t="inlineStr">
        <is>
          <t>5 tạ</t>
        </is>
      </c>
      <c r="D4" s="21" t="inlineStr">
        <is>
          <t>Phân phối</t>
        </is>
      </c>
      <c r="E4" s="28" t="n">
        <v>500</v>
      </c>
      <c r="F4" s="28" t="n">
        <v>4</v>
      </c>
      <c r="G4" s="21" t="inlineStr">
        <is>
          <t>No</t>
        </is>
      </c>
      <c r="H4" s="21" t="inlineStr">
        <is>
          <t>DRV003</t>
        </is>
      </c>
      <c r="I4" s="21" t="inlineStr">
        <is>
          <t>Tài xế 03</t>
        </is>
      </c>
      <c r="J4" s="21" t="inlineStr">
        <is>
          <t>PK_HP_DINHVU</t>
        </is>
      </c>
      <c r="K4" s="21" t="inlineStr">
        <is>
          <t>Kho Hải Phòng - Đình Vũ</t>
        </is>
      </c>
      <c r="L4" s="21" t="inlineStr">
        <is>
          <t>Nội thành Hà Nội</t>
        </is>
      </c>
      <c r="M4" s="21" t="inlineStr">
        <is>
          <t>06:00</t>
        </is>
      </c>
      <c r="N4" s="21" t="inlineStr">
        <is>
          <t>18:00</t>
        </is>
      </c>
      <c r="O4" s="22" t="n">
        <v>10</v>
      </c>
      <c r="P4" s="28" t="n">
        <v>5</v>
      </c>
      <c r="Q4" s="29" t="n">
        <v>0.09</v>
      </c>
      <c r="R4" s="30">
        <f>Q4*'03_Cost_Constraints'!$B$3</f>
        <v/>
      </c>
      <c r="S4" s="30">
        <f>R4*1.15</f>
        <v/>
      </c>
      <c r="T4" s="31" t="n">
        <v>220000</v>
      </c>
      <c r="U4" s="31" t="n">
        <v>250000</v>
      </c>
      <c r="V4" s="28" t="n">
        <v>35</v>
      </c>
      <c r="W4" s="21" t="inlineStr">
        <is>
          <t>Yes</t>
        </is>
      </c>
      <c r="X4" s="21" t="inlineStr">
        <is>
          <t>Inner-city compatible</t>
        </is>
      </c>
      <c r="Y4" s="21" t="inlineStr">
        <is>
          <t>Available</t>
        </is>
      </c>
      <c r="Z4" s="21" t="inlineStr">
        <is>
          <t>2026-06-05</t>
        </is>
      </c>
      <c r="AA4" s="22" t="n">
        <v>20.8425</v>
      </c>
      <c r="AB4" s="22" t="n">
        <v>106.77</v>
      </c>
      <c r="AC4" s="21" t="inlineStr">
        <is>
          <t>OK</t>
        </is>
      </c>
      <c r="AD4" s="21" t="inlineStr">
        <is>
          <t>Sẵn sàng lập kế hoạch ngày hôm sau</t>
        </is>
      </c>
    </row>
    <row r="5" ht="18" customHeight="1" s="17">
      <c r="A5" s="23" t="inlineStr">
        <is>
          <t>V004</t>
        </is>
      </c>
      <c r="B5" s="23" t="inlineStr">
        <is>
          <t>36C-50548</t>
        </is>
      </c>
      <c r="C5" s="23" t="inlineStr">
        <is>
          <t>5 tạ</t>
        </is>
      </c>
      <c r="D5" s="23" t="inlineStr">
        <is>
          <t>Phân phối</t>
        </is>
      </c>
      <c r="E5" s="32" t="n">
        <v>500</v>
      </c>
      <c r="F5" s="32" t="n">
        <v>4</v>
      </c>
      <c r="G5" s="23" t="inlineStr">
        <is>
          <t>No</t>
        </is>
      </c>
      <c r="H5" s="23" t="inlineStr">
        <is>
          <t>DRV004</t>
        </is>
      </c>
      <c r="I5" s="23" t="inlineStr">
        <is>
          <t>Tài xế 04</t>
        </is>
      </c>
      <c r="J5" s="23" t="inlineStr">
        <is>
          <t>PK_TH_QX</t>
        </is>
      </c>
      <c r="K5" s="23" t="inlineStr">
        <is>
          <t>Kho DC Thanh Hóa - Quảng Xương</t>
        </is>
      </c>
      <c r="L5" s="23" t="inlineStr">
        <is>
          <t>Nội thành Hà Nội</t>
        </is>
      </c>
      <c r="M5" s="23" t="inlineStr">
        <is>
          <t>06:00</t>
        </is>
      </c>
      <c r="N5" s="23" t="inlineStr">
        <is>
          <t>18:00</t>
        </is>
      </c>
      <c r="O5" s="24" t="n">
        <v>10</v>
      </c>
      <c r="P5" s="32" t="n">
        <v>5</v>
      </c>
      <c r="Q5" s="33" t="n">
        <v>0.09</v>
      </c>
      <c r="R5" s="34">
        <f>Q5*'03_Cost_Constraints'!$B$3</f>
        <v/>
      </c>
      <c r="S5" s="34">
        <f>R5*1.15</f>
        <v/>
      </c>
      <c r="T5" s="35" t="n">
        <v>220000</v>
      </c>
      <c r="U5" s="35" t="n">
        <v>250000</v>
      </c>
      <c r="V5" s="32" t="n">
        <v>35</v>
      </c>
      <c r="W5" s="23" t="inlineStr">
        <is>
          <t>Yes</t>
        </is>
      </c>
      <c r="X5" s="23" t="inlineStr">
        <is>
          <t>Inner-city compatible</t>
        </is>
      </c>
      <c r="Y5" s="23" t="inlineStr">
        <is>
          <t>Available</t>
        </is>
      </c>
      <c r="Z5" s="23" t="inlineStr">
        <is>
          <t>2026-06-05</t>
        </is>
      </c>
      <c r="AA5" s="24" t="n">
        <v>19.731</v>
      </c>
      <c r="AB5" s="24" t="n">
        <v>105.815</v>
      </c>
      <c r="AC5" s="23" t="inlineStr">
        <is>
          <t>OK</t>
        </is>
      </c>
      <c r="AD5" s="23" t="inlineStr">
        <is>
          <t>Sẵn sàng lập kế hoạch ngày hôm sau</t>
        </is>
      </c>
    </row>
    <row r="6" ht="18" customHeight="1" s="17">
      <c r="A6" s="21" t="inlineStr">
        <is>
          <t>V005</t>
        </is>
      </c>
      <c r="B6" s="21" t="inlineStr">
        <is>
          <t>17C-50685</t>
        </is>
      </c>
      <c r="C6" s="21" t="inlineStr">
        <is>
          <t>5 tạ</t>
        </is>
      </c>
      <c r="D6" s="21" t="inlineStr">
        <is>
          <t>Phân phối</t>
        </is>
      </c>
      <c r="E6" s="28" t="n">
        <v>500</v>
      </c>
      <c r="F6" s="28" t="n">
        <v>4</v>
      </c>
      <c r="G6" s="21" t="inlineStr">
        <is>
          <t>No</t>
        </is>
      </c>
      <c r="H6" s="21" t="inlineStr">
        <is>
          <t>DRV005</t>
        </is>
      </c>
      <c r="I6" s="21" t="inlineStr">
        <is>
          <t>Tài xế 05</t>
        </is>
      </c>
      <c r="J6" s="21" t="inlineStr">
        <is>
          <t>PK_NA_BACVINH</t>
        </is>
      </c>
      <c r="K6" s="21" t="inlineStr">
        <is>
          <t>Kho DC Vinh - KCN Bắc Vinh</t>
        </is>
      </c>
      <c r="L6" s="21" t="inlineStr">
        <is>
          <t>Nội thành Hà Nội</t>
        </is>
      </c>
      <c r="M6" s="21" t="inlineStr">
        <is>
          <t>06:00</t>
        </is>
      </c>
      <c r="N6" s="21" t="inlineStr">
        <is>
          <t>18:00</t>
        </is>
      </c>
      <c r="O6" s="22" t="n">
        <v>10</v>
      </c>
      <c r="P6" s="28" t="n">
        <v>5</v>
      </c>
      <c r="Q6" s="29" t="n">
        <v>0.09</v>
      </c>
      <c r="R6" s="30">
        <f>Q6*'03_Cost_Constraints'!$B$3</f>
        <v/>
      </c>
      <c r="S6" s="30">
        <f>R6*1.15</f>
        <v/>
      </c>
      <c r="T6" s="31" t="n">
        <v>220000</v>
      </c>
      <c r="U6" s="31" t="n">
        <v>250000</v>
      </c>
      <c r="V6" s="28" t="n">
        <v>35</v>
      </c>
      <c r="W6" s="21" t="inlineStr">
        <is>
          <t>Yes</t>
        </is>
      </c>
      <c r="X6" s="21" t="inlineStr">
        <is>
          <t>Inner-city compatible</t>
        </is>
      </c>
      <c r="Y6" s="21" t="inlineStr">
        <is>
          <t>Available</t>
        </is>
      </c>
      <c r="Z6" s="21" t="inlineStr">
        <is>
          <t>2026-06-05</t>
        </is>
      </c>
      <c r="AA6" s="22" t="n">
        <v>18.733</v>
      </c>
      <c r="AB6" s="22" t="n">
        <v>105.681</v>
      </c>
      <c r="AC6" s="21" t="inlineStr">
        <is>
          <t>OK</t>
        </is>
      </c>
      <c r="AD6" s="21" t="inlineStr">
        <is>
          <t>Sẵn sàng lập kế hoạch ngày hôm sau</t>
        </is>
      </c>
    </row>
    <row r="7" ht="18" customHeight="1" s="17">
      <c r="A7" s="23" t="inlineStr">
        <is>
          <t>V006</t>
        </is>
      </c>
      <c r="B7" s="23" t="inlineStr">
        <is>
          <t>29C-50822</t>
        </is>
      </c>
      <c r="C7" s="23" t="inlineStr">
        <is>
          <t>5 tạ</t>
        </is>
      </c>
      <c r="D7" s="23" t="inlineStr">
        <is>
          <t>Phân phối</t>
        </is>
      </c>
      <c r="E7" s="32" t="n">
        <v>500</v>
      </c>
      <c r="F7" s="32" t="n">
        <v>4</v>
      </c>
      <c r="G7" s="23" t="inlineStr">
        <is>
          <t>No</t>
        </is>
      </c>
      <c r="H7" s="23" t="inlineStr">
        <is>
          <t>DRV006</t>
        </is>
      </c>
      <c r="I7" s="23" t="inlineStr">
        <is>
          <t>Tài xế 06</t>
        </is>
      </c>
      <c r="J7" s="23" t="inlineStr">
        <is>
          <t>PK_HPL_LB</t>
        </is>
      </c>
      <c r="K7" s="23" t="inlineStr">
        <is>
          <t>HPL Depot Long Biên - 20 Thạch Bàn</t>
        </is>
      </c>
      <c r="L7" s="23" t="inlineStr">
        <is>
          <t>Nội thành Hà Nội</t>
        </is>
      </c>
      <c r="M7" s="23" t="inlineStr">
        <is>
          <t>06:00</t>
        </is>
      </c>
      <c r="N7" s="23" t="inlineStr">
        <is>
          <t>18:00</t>
        </is>
      </c>
      <c r="O7" s="24" t="n">
        <v>10</v>
      </c>
      <c r="P7" s="32" t="n">
        <v>5</v>
      </c>
      <c r="Q7" s="33" t="n">
        <v>0.09</v>
      </c>
      <c r="R7" s="34">
        <f>Q7*'03_Cost_Constraints'!$B$3</f>
        <v/>
      </c>
      <c r="S7" s="34">
        <f>R7*1.15</f>
        <v/>
      </c>
      <c r="T7" s="35" t="n">
        <v>220000</v>
      </c>
      <c r="U7" s="35" t="n">
        <v>250000</v>
      </c>
      <c r="V7" s="32" t="n">
        <v>35</v>
      </c>
      <c r="W7" s="23" t="inlineStr">
        <is>
          <t>Yes</t>
        </is>
      </c>
      <c r="X7" s="23" t="inlineStr">
        <is>
          <t>Inner-city compatible</t>
        </is>
      </c>
      <c r="Y7" s="23" t="inlineStr">
        <is>
          <t>Available</t>
        </is>
      </c>
      <c r="Z7" s="23" t="inlineStr">
        <is>
          <t>2026-06-05</t>
        </is>
      </c>
      <c r="AA7" s="24" t="n">
        <v>21.0261548385</v>
      </c>
      <c r="AB7" s="24" t="n">
        <v>105.914182238</v>
      </c>
      <c r="AC7" s="23" t="inlineStr">
        <is>
          <t>OK</t>
        </is>
      </c>
      <c r="AD7" s="23" t="inlineStr">
        <is>
          <t>Sẵn sàng lập kế hoạch ngày hôm sau</t>
        </is>
      </c>
    </row>
    <row r="8" ht="18" customHeight="1" s="17">
      <c r="A8" s="21" t="inlineStr">
        <is>
          <t>V007</t>
        </is>
      </c>
      <c r="B8" s="21" t="inlineStr">
        <is>
          <t>30F-50959</t>
        </is>
      </c>
      <c r="C8" s="21" t="inlineStr">
        <is>
          <t>1.25T</t>
        </is>
      </c>
      <c r="D8" s="21" t="inlineStr">
        <is>
          <t>Phân phối</t>
        </is>
      </c>
      <c r="E8" s="28" t="n">
        <v>1250</v>
      </c>
      <c r="F8" s="28" t="n">
        <v>10</v>
      </c>
      <c r="G8" s="21" t="inlineStr">
        <is>
          <t>No</t>
        </is>
      </c>
      <c r="H8" s="21" t="inlineStr">
        <is>
          <t>DRV007</t>
        </is>
      </c>
      <c r="I8" s="21" t="inlineStr">
        <is>
          <t>Tài xế 07</t>
        </is>
      </c>
      <c r="J8" s="21" t="inlineStr">
        <is>
          <t>PK_LINFOX_VSIP</t>
        </is>
      </c>
      <c r="K8" s="21" t="inlineStr">
        <is>
          <t>Kho Linfox KCN VSIP Bắc Ninh</t>
        </is>
      </c>
      <c r="L8" s="21" t="inlineStr">
        <is>
          <t>Nội thành Hà Nội</t>
        </is>
      </c>
      <c r="M8" s="21" t="inlineStr">
        <is>
          <t>06:00</t>
        </is>
      </c>
      <c r="N8" s="21" t="inlineStr">
        <is>
          <t>18:00</t>
        </is>
      </c>
      <c r="O8" s="22" t="n">
        <v>10</v>
      </c>
      <c r="P8" s="28" t="n">
        <v>8</v>
      </c>
      <c r="Q8" s="29" t="n">
        <v>0.12</v>
      </c>
      <c r="R8" s="30">
        <f>Q8*'03_Cost_Constraints'!$B$3</f>
        <v/>
      </c>
      <c r="S8" s="30">
        <f>R8*1.15</f>
        <v/>
      </c>
      <c r="T8" s="31" t="n">
        <v>300000</v>
      </c>
      <c r="U8" s="31" t="n">
        <v>300000</v>
      </c>
      <c r="V8" s="28" t="n">
        <v>35</v>
      </c>
      <c r="W8" s="21" t="inlineStr">
        <is>
          <t>Yes</t>
        </is>
      </c>
      <c r="X8" s="21" t="inlineStr">
        <is>
          <t>Inner-city compatible</t>
        </is>
      </c>
      <c r="Y8" s="21" t="inlineStr">
        <is>
          <t>Available</t>
        </is>
      </c>
      <c r="Z8" s="21" t="inlineStr">
        <is>
          <t>2026-06-05</t>
        </is>
      </c>
      <c r="AA8" s="22" t="n">
        <v>21.082707</v>
      </c>
      <c r="AB8" s="22" t="n">
        <v>105.997949</v>
      </c>
      <c r="AC8" s="21" t="inlineStr">
        <is>
          <t>OK</t>
        </is>
      </c>
      <c r="AD8" s="21" t="inlineStr">
        <is>
          <t>Sẵn sàng lập kế hoạch ngày hôm sau</t>
        </is>
      </c>
    </row>
    <row r="9" ht="18" customHeight="1" s="17">
      <c r="A9" s="23" t="inlineStr">
        <is>
          <t>V008</t>
        </is>
      </c>
      <c r="B9" s="23" t="inlineStr">
        <is>
          <t>31F-51096</t>
        </is>
      </c>
      <c r="C9" s="23" t="inlineStr">
        <is>
          <t>1.25T</t>
        </is>
      </c>
      <c r="D9" s="23" t="inlineStr">
        <is>
          <t>Phân phối</t>
        </is>
      </c>
      <c r="E9" s="32" t="n">
        <v>1250</v>
      </c>
      <c r="F9" s="32" t="n">
        <v>10</v>
      </c>
      <c r="G9" s="23" t="inlineStr">
        <is>
          <t>No</t>
        </is>
      </c>
      <c r="H9" s="23" t="inlineStr">
        <is>
          <t>DRV008</t>
        </is>
      </c>
      <c r="I9" s="23" t="inlineStr">
        <is>
          <t>Tài xế 08</t>
        </is>
      </c>
      <c r="J9" s="23" t="inlineStr">
        <is>
          <t>PK_HY_MYHAO</t>
        </is>
      </c>
      <c r="K9" s="23" t="inlineStr">
        <is>
          <t>Kho/Nhà máy khách hàng Mỹ Hào</t>
        </is>
      </c>
      <c r="L9" s="23" t="inlineStr">
        <is>
          <t>Nội thành Hà Nội</t>
        </is>
      </c>
      <c r="M9" s="23" t="inlineStr">
        <is>
          <t>06:00</t>
        </is>
      </c>
      <c r="N9" s="23" t="inlineStr">
        <is>
          <t>18:00</t>
        </is>
      </c>
      <c r="O9" s="24" t="n">
        <v>10</v>
      </c>
      <c r="P9" s="32" t="n">
        <v>8</v>
      </c>
      <c r="Q9" s="33" t="n">
        <v>0.12</v>
      </c>
      <c r="R9" s="34">
        <f>Q9*'03_Cost_Constraints'!$B$3</f>
        <v/>
      </c>
      <c r="S9" s="34">
        <f>R9*1.15</f>
        <v/>
      </c>
      <c r="T9" s="35" t="n">
        <v>300000</v>
      </c>
      <c r="U9" s="35" t="n">
        <v>300000</v>
      </c>
      <c r="V9" s="32" t="n">
        <v>35</v>
      </c>
      <c r="W9" s="23" t="inlineStr">
        <is>
          <t>Yes</t>
        </is>
      </c>
      <c r="X9" s="23" t="inlineStr">
        <is>
          <t>Inner-city compatible</t>
        </is>
      </c>
      <c r="Y9" s="23" t="inlineStr">
        <is>
          <t>Available</t>
        </is>
      </c>
      <c r="Z9" s="23" t="inlineStr">
        <is>
          <t>2026-06-05</t>
        </is>
      </c>
      <c r="AA9" s="24" t="n">
        <v>20.9329</v>
      </c>
      <c r="AB9" s="24" t="n">
        <v>106.065</v>
      </c>
      <c r="AC9" s="23" t="inlineStr">
        <is>
          <t>OK</t>
        </is>
      </c>
      <c r="AD9" s="23" t="inlineStr">
        <is>
          <t>Sẵn sàng lập kế hoạch ngày hôm sau</t>
        </is>
      </c>
    </row>
    <row r="10" ht="18" customHeight="1" s="17">
      <c r="A10" s="21" t="inlineStr">
        <is>
          <t>V009</t>
        </is>
      </c>
      <c r="B10" s="21" t="inlineStr">
        <is>
          <t>34C-51233</t>
        </is>
      </c>
      <c r="C10" s="21" t="inlineStr">
        <is>
          <t>1.25T</t>
        </is>
      </c>
      <c r="D10" s="21" t="inlineStr">
        <is>
          <t>Phân phối</t>
        </is>
      </c>
      <c r="E10" s="28" t="n">
        <v>1250</v>
      </c>
      <c r="F10" s="28" t="n">
        <v>10</v>
      </c>
      <c r="G10" s="21" t="inlineStr">
        <is>
          <t>No</t>
        </is>
      </c>
      <c r="H10" s="21" t="inlineStr">
        <is>
          <t>DRV009</t>
        </is>
      </c>
      <c r="I10" s="21" t="inlineStr">
        <is>
          <t>Tài xế 09</t>
        </is>
      </c>
      <c r="J10" s="21" t="inlineStr">
        <is>
          <t>PK_HP_DINHVU</t>
        </is>
      </c>
      <c r="K10" s="21" t="inlineStr">
        <is>
          <t>Kho Hải Phòng - Đình Vũ</t>
        </is>
      </c>
      <c r="L10" s="21" t="inlineStr">
        <is>
          <t>Nội thành Hà Nội</t>
        </is>
      </c>
      <c r="M10" s="21" t="inlineStr">
        <is>
          <t>06:00</t>
        </is>
      </c>
      <c r="N10" s="21" t="inlineStr">
        <is>
          <t>18:00</t>
        </is>
      </c>
      <c r="O10" s="22" t="n">
        <v>10</v>
      </c>
      <c r="P10" s="28" t="n">
        <v>8</v>
      </c>
      <c r="Q10" s="29" t="n">
        <v>0.12</v>
      </c>
      <c r="R10" s="30">
        <f>Q10*'03_Cost_Constraints'!$B$3</f>
        <v/>
      </c>
      <c r="S10" s="30">
        <f>R10*1.15</f>
        <v/>
      </c>
      <c r="T10" s="31" t="n">
        <v>300000</v>
      </c>
      <c r="U10" s="31" t="n">
        <v>300000</v>
      </c>
      <c r="V10" s="28" t="n">
        <v>35</v>
      </c>
      <c r="W10" s="21" t="inlineStr">
        <is>
          <t>Yes</t>
        </is>
      </c>
      <c r="X10" s="21" t="inlineStr">
        <is>
          <t>Inner-city compatible</t>
        </is>
      </c>
      <c r="Y10" s="21" t="inlineStr">
        <is>
          <t>Available</t>
        </is>
      </c>
      <c r="Z10" s="21" t="inlineStr">
        <is>
          <t>2026-06-05</t>
        </is>
      </c>
      <c r="AA10" s="22" t="n">
        <v>20.8425</v>
      </c>
      <c r="AB10" s="22" t="n">
        <v>106.77</v>
      </c>
      <c r="AC10" s="21" t="inlineStr">
        <is>
          <t>OK</t>
        </is>
      </c>
      <c r="AD10" s="21" t="inlineStr">
        <is>
          <t>Sẵn sàng lập kế hoạch ngày hôm sau</t>
        </is>
      </c>
    </row>
    <row r="11" ht="18" customHeight="1" s="17">
      <c r="A11" s="23" t="inlineStr">
        <is>
          <t>V010</t>
        </is>
      </c>
      <c r="B11" s="23" t="inlineStr">
        <is>
          <t>36C-51370</t>
        </is>
      </c>
      <c r="C11" s="23" t="inlineStr">
        <is>
          <t>1.25T</t>
        </is>
      </c>
      <c r="D11" s="23" t="inlineStr">
        <is>
          <t>Phân phối</t>
        </is>
      </c>
      <c r="E11" s="32" t="n">
        <v>1250</v>
      </c>
      <c r="F11" s="32" t="n">
        <v>10</v>
      </c>
      <c r="G11" s="23" t="inlineStr">
        <is>
          <t>No</t>
        </is>
      </c>
      <c r="H11" s="23" t="inlineStr">
        <is>
          <t>DRV010</t>
        </is>
      </c>
      <c r="I11" s="23" t="inlineStr">
        <is>
          <t>Tài xế 10</t>
        </is>
      </c>
      <c r="J11" s="23" t="inlineStr">
        <is>
          <t>PK_TH_QX</t>
        </is>
      </c>
      <c r="K11" s="23" t="inlineStr">
        <is>
          <t>Kho DC Thanh Hóa - Quảng Xương</t>
        </is>
      </c>
      <c r="L11" s="23" t="inlineStr">
        <is>
          <t>Nội thành Hà Nội</t>
        </is>
      </c>
      <c r="M11" s="23" t="inlineStr">
        <is>
          <t>06:00</t>
        </is>
      </c>
      <c r="N11" s="23" t="inlineStr">
        <is>
          <t>18:00</t>
        </is>
      </c>
      <c r="O11" s="24" t="n">
        <v>10</v>
      </c>
      <c r="P11" s="32" t="n">
        <v>8</v>
      </c>
      <c r="Q11" s="33" t="n">
        <v>0.12</v>
      </c>
      <c r="R11" s="34">
        <f>Q11*'03_Cost_Constraints'!$B$3</f>
        <v/>
      </c>
      <c r="S11" s="34">
        <f>R11*1.15</f>
        <v/>
      </c>
      <c r="T11" s="35" t="n">
        <v>300000</v>
      </c>
      <c r="U11" s="35" t="n">
        <v>300000</v>
      </c>
      <c r="V11" s="32" t="n">
        <v>35</v>
      </c>
      <c r="W11" s="23" t="inlineStr">
        <is>
          <t>Yes</t>
        </is>
      </c>
      <c r="X11" s="23" t="inlineStr">
        <is>
          <t>Inner-city compatible</t>
        </is>
      </c>
      <c r="Y11" s="23" t="inlineStr">
        <is>
          <t>Available</t>
        </is>
      </c>
      <c r="Z11" s="23" t="inlineStr">
        <is>
          <t>2026-06-05</t>
        </is>
      </c>
      <c r="AA11" s="24" t="n">
        <v>19.731</v>
      </c>
      <c r="AB11" s="24" t="n">
        <v>105.815</v>
      </c>
      <c r="AC11" s="23" t="inlineStr">
        <is>
          <t>OK</t>
        </is>
      </c>
      <c r="AD11" s="23" t="inlineStr">
        <is>
          <t>Sẵn sàng lập kế hoạch ngày hôm sau</t>
        </is>
      </c>
    </row>
    <row r="12" ht="18" customHeight="1" s="17">
      <c r="A12" s="21" t="inlineStr">
        <is>
          <t>V011</t>
        </is>
      </c>
      <c r="B12" s="21" t="inlineStr">
        <is>
          <t>17C-51507</t>
        </is>
      </c>
      <c r="C12" s="21" t="inlineStr">
        <is>
          <t>1.25T</t>
        </is>
      </c>
      <c r="D12" s="21" t="inlineStr">
        <is>
          <t>Phân phối</t>
        </is>
      </c>
      <c r="E12" s="28" t="n">
        <v>1250</v>
      </c>
      <c r="F12" s="28" t="n">
        <v>10</v>
      </c>
      <c r="G12" s="21" t="inlineStr">
        <is>
          <t>No</t>
        </is>
      </c>
      <c r="H12" s="21" t="inlineStr">
        <is>
          <t>DRV011</t>
        </is>
      </c>
      <c r="I12" s="21" t="inlineStr">
        <is>
          <t>Tài xế 11</t>
        </is>
      </c>
      <c r="J12" s="21" t="inlineStr">
        <is>
          <t>PK_NA_BACVINH</t>
        </is>
      </c>
      <c r="K12" s="21" t="inlineStr">
        <is>
          <t>Kho DC Vinh - KCN Bắc Vinh</t>
        </is>
      </c>
      <c r="L12" s="21" t="inlineStr">
        <is>
          <t>Nội thành Hà Nội</t>
        </is>
      </c>
      <c r="M12" s="21" t="inlineStr">
        <is>
          <t>06:00</t>
        </is>
      </c>
      <c r="N12" s="21" t="inlineStr">
        <is>
          <t>18:00</t>
        </is>
      </c>
      <c r="O12" s="22" t="n">
        <v>10</v>
      </c>
      <c r="P12" s="28" t="n">
        <v>8</v>
      </c>
      <c r="Q12" s="29" t="n">
        <v>0.12</v>
      </c>
      <c r="R12" s="30">
        <f>Q12*'03_Cost_Constraints'!$B$3</f>
        <v/>
      </c>
      <c r="S12" s="30">
        <f>R12*1.15</f>
        <v/>
      </c>
      <c r="T12" s="31" t="n">
        <v>300000</v>
      </c>
      <c r="U12" s="31" t="n">
        <v>300000</v>
      </c>
      <c r="V12" s="28" t="n">
        <v>35</v>
      </c>
      <c r="W12" s="21" t="inlineStr">
        <is>
          <t>Yes</t>
        </is>
      </c>
      <c r="X12" s="21" t="inlineStr">
        <is>
          <t>Inner-city compatible</t>
        </is>
      </c>
      <c r="Y12" s="21" t="inlineStr">
        <is>
          <t>Available</t>
        </is>
      </c>
      <c r="Z12" s="21" t="inlineStr">
        <is>
          <t>2026-06-05</t>
        </is>
      </c>
      <c r="AA12" s="22" t="n">
        <v>18.733</v>
      </c>
      <c r="AB12" s="22" t="n">
        <v>105.681</v>
      </c>
      <c r="AC12" s="21" t="inlineStr">
        <is>
          <t>OK</t>
        </is>
      </c>
      <c r="AD12" s="21" t="inlineStr">
        <is>
          <t>Sẵn sàng lập kế hoạch ngày hôm sau</t>
        </is>
      </c>
    </row>
    <row r="13" ht="18" customHeight="1" s="17">
      <c r="A13" s="23" t="inlineStr">
        <is>
          <t>V012</t>
        </is>
      </c>
      <c r="B13" s="23" t="inlineStr">
        <is>
          <t>29C-51644</t>
        </is>
      </c>
      <c r="C13" s="23" t="inlineStr">
        <is>
          <t>1.25T</t>
        </is>
      </c>
      <c r="D13" s="23" t="inlineStr">
        <is>
          <t>Phân phối</t>
        </is>
      </c>
      <c r="E13" s="32" t="n">
        <v>1250</v>
      </c>
      <c r="F13" s="32" t="n">
        <v>10</v>
      </c>
      <c r="G13" s="23" t="inlineStr">
        <is>
          <t>No</t>
        </is>
      </c>
      <c r="H13" s="23" t="inlineStr">
        <is>
          <t>DRV012</t>
        </is>
      </c>
      <c r="I13" s="23" t="inlineStr">
        <is>
          <t>Tài xế 12</t>
        </is>
      </c>
      <c r="J13" s="23" t="inlineStr">
        <is>
          <t>PK_HPL_LB</t>
        </is>
      </c>
      <c r="K13" s="23" t="inlineStr">
        <is>
          <t>HPL Depot Long Biên - 20 Thạch Bàn</t>
        </is>
      </c>
      <c r="L13" s="23" t="inlineStr">
        <is>
          <t>Nội thành Hà Nội</t>
        </is>
      </c>
      <c r="M13" s="23" t="inlineStr">
        <is>
          <t>06:00</t>
        </is>
      </c>
      <c r="N13" s="23" t="inlineStr">
        <is>
          <t>18:00</t>
        </is>
      </c>
      <c r="O13" s="24" t="n">
        <v>10</v>
      </c>
      <c r="P13" s="32" t="n">
        <v>8</v>
      </c>
      <c r="Q13" s="33" t="n">
        <v>0.12</v>
      </c>
      <c r="R13" s="34">
        <f>Q13*'03_Cost_Constraints'!$B$3</f>
        <v/>
      </c>
      <c r="S13" s="34">
        <f>R13*1.15</f>
        <v/>
      </c>
      <c r="T13" s="35" t="n">
        <v>300000</v>
      </c>
      <c r="U13" s="35" t="n">
        <v>300000</v>
      </c>
      <c r="V13" s="32" t="n">
        <v>35</v>
      </c>
      <c r="W13" s="23" t="inlineStr">
        <is>
          <t>Yes</t>
        </is>
      </c>
      <c r="X13" s="23" t="inlineStr">
        <is>
          <t>Inner-city compatible</t>
        </is>
      </c>
      <c r="Y13" s="23" t="inlineStr">
        <is>
          <t>Available</t>
        </is>
      </c>
      <c r="Z13" s="23" t="inlineStr">
        <is>
          <t>2026-06-05</t>
        </is>
      </c>
      <c r="AA13" s="24" t="n">
        <v>21.0261548385</v>
      </c>
      <c r="AB13" s="24" t="n">
        <v>105.914182238</v>
      </c>
      <c r="AC13" s="23" t="inlineStr">
        <is>
          <t>OK</t>
        </is>
      </c>
      <c r="AD13" s="23" t="inlineStr">
        <is>
          <t>Sẵn sàng lập kế hoạch ngày hôm sau</t>
        </is>
      </c>
    </row>
    <row r="14" ht="18" customHeight="1" s="17">
      <c r="A14" s="21" t="inlineStr">
        <is>
          <t>V013</t>
        </is>
      </c>
      <c r="B14" s="21" t="inlineStr">
        <is>
          <t>30F-51781</t>
        </is>
      </c>
      <c r="C14" s="21" t="inlineStr">
        <is>
          <t>1.25T</t>
        </is>
      </c>
      <c r="D14" s="21" t="inlineStr">
        <is>
          <t>Phân phối</t>
        </is>
      </c>
      <c r="E14" s="28" t="n">
        <v>1250</v>
      </c>
      <c r="F14" s="28" t="n">
        <v>10</v>
      </c>
      <c r="G14" s="21" t="inlineStr">
        <is>
          <t>No</t>
        </is>
      </c>
      <c r="H14" s="21" t="inlineStr">
        <is>
          <t>DRV013</t>
        </is>
      </c>
      <c r="I14" s="21" t="inlineStr">
        <is>
          <t>Tài xế 13</t>
        </is>
      </c>
      <c r="J14" s="21" t="inlineStr">
        <is>
          <t>PK_LINFOX_VSIP</t>
        </is>
      </c>
      <c r="K14" s="21" t="inlineStr">
        <is>
          <t>Kho Linfox KCN VSIP Bắc Ninh</t>
        </is>
      </c>
      <c r="L14" s="21" t="inlineStr">
        <is>
          <t>Nội thành Hà Nội</t>
        </is>
      </c>
      <c r="M14" s="21" t="inlineStr">
        <is>
          <t>06:00</t>
        </is>
      </c>
      <c r="N14" s="21" t="inlineStr">
        <is>
          <t>18:00</t>
        </is>
      </c>
      <c r="O14" s="22" t="n">
        <v>10</v>
      </c>
      <c r="P14" s="28" t="n">
        <v>8</v>
      </c>
      <c r="Q14" s="29" t="n">
        <v>0.12</v>
      </c>
      <c r="R14" s="30">
        <f>Q14*'03_Cost_Constraints'!$B$3</f>
        <v/>
      </c>
      <c r="S14" s="30">
        <f>R14*1.15</f>
        <v/>
      </c>
      <c r="T14" s="31" t="n">
        <v>300000</v>
      </c>
      <c r="U14" s="31" t="n">
        <v>300000</v>
      </c>
      <c r="V14" s="28" t="n">
        <v>35</v>
      </c>
      <c r="W14" s="21" t="inlineStr">
        <is>
          <t>Yes</t>
        </is>
      </c>
      <c r="X14" s="21" t="inlineStr">
        <is>
          <t>Inner-city compatible</t>
        </is>
      </c>
      <c r="Y14" s="21" t="inlineStr">
        <is>
          <t>Available</t>
        </is>
      </c>
      <c r="Z14" s="21" t="inlineStr">
        <is>
          <t>2026-06-05</t>
        </is>
      </c>
      <c r="AA14" s="22" t="n">
        <v>21.082707</v>
      </c>
      <c r="AB14" s="22" t="n">
        <v>105.997949</v>
      </c>
      <c r="AC14" s="21" t="inlineStr">
        <is>
          <t>OK</t>
        </is>
      </c>
      <c r="AD14" s="21" t="inlineStr">
        <is>
          <t>Sẵn sàng lập kế hoạch ngày hôm sau</t>
        </is>
      </c>
    </row>
    <row r="15" ht="18" customHeight="1" s="17">
      <c r="A15" s="23" t="inlineStr">
        <is>
          <t>V014</t>
        </is>
      </c>
      <c r="B15" s="23" t="inlineStr">
        <is>
          <t>31F-51918</t>
        </is>
      </c>
      <c r="C15" s="23" t="inlineStr">
        <is>
          <t>1.25T</t>
        </is>
      </c>
      <c r="D15" s="23" t="inlineStr">
        <is>
          <t>Phân phối</t>
        </is>
      </c>
      <c r="E15" s="32" t="n">
        <v>1250</v>
      </c>
      <c r="F15" s="32" t="n">
        <v>10</v>
      </c>
      <c r="G15" s="23" t="inlineStr">
        <is>
          <t>No</t>
        </is>
      </c>
      <c r="H15" s="23" t="inlineStr">
        <is>
          <t>DRV014</t>
        </is>
      </c>
      <c r="I15" s="23" t="inlineStr">
        <is>
          <t>Tài xế 14</t>
        </is>
      </c>
      <c r="J15" s="23" t="inlineStr">
        <is>
          <t>PK_HY_MYHAO</t>
        </is>
      </c>
      <c r="K15" s="23" t="inlineStr">
        <is>
          <t>Kho/Nhà máy khách hàng Mỹ Hào</t>
        </is>
      </c>
      <c r="L15" s="23" t="inlineStr">
        <is>
          <t>Nội thành Hà Nội</t>
        </is>
      </c>
      <c r="M15" s="23" t="inlineStr">
        <is>
          <t>06:00</t>
        </is>
      </c>
      <c r="N15" s="23" t="inlineStr">
        <is>
          <t>18:00</t>
        </is>
      </c>
      <c r="O15" s="24" t="n">
        <v>10</v>
      </c>
      <c r="P15" s="32" t="n">
        <v>8</v>
      </c>
      <c r="Q15" s="33" t="n">
        <v>0.12</v>
      </c>
      <c r="R15" s="34">
        <f>Q15*'03_Cost_Constraints'!$B$3</f>
        <v/>
      </c>
      <c r="S15" s="34">
        <f>R15*1.15</f>
        <v/>
      </c>
      <c r="T15" s="35" t="n">
        <v>300000</v>
      </c>
      <c r="U15" s="35" t="n">
        <v>300000</v>
      </c>
      <c r="V15" s="32" t="n">
        <v>35</v>
      </c>
      <c r="W15" s="23" t="inlineStr">
        <is>
          <t>Yes</t>
        </is>
      </c>
      <c r="X15" s="23" t="inlineStr">
        <is>
          <t>Inner-city compatible</t>
        </is>
      </c>
      <c r="Y15" s="23" t="inlineStr">
        <is>
          <t>Available</t>
        </is>
      </c>
      <c r="Z15" s="23" t="inlineStr">
        <is>
          <t>2026-06-05</t>
        </is>
      </c>
      <c r="AA15" s="24" t="n">
        <v>20.9329</v>
      </c>
      <c r="AB15" s="24" t="n">
        <v>106.065</v>
      </c>
      <c r="AC15" s="23" t="inlineStr">
        <is>
          <t>OK</t>
        </is>
      </c>
      <c r="AD15" s="23" t="inlineStr">
        <is>
          <t>Sẵn sàng lập kế hoạch ngày hôm sau</t>
        </is>
      </c>
    </row>
    <row r="16" ht="18" customHeight="1" s="17">
      <c r="A16" s="21" t="inlineStr">
        <is>
          <t>V015</t>
        </is>
      </c>
      <c r="B16" s="21" t="inlineStr">
        <is>
          <t>34C-52055</t>
        </is>
      </c>
      <c r="C16" s="21" t="inlineStr">
        <is>
          <t>1.25T</t>
        </is>
      </c>
      <c r="D16" s="21" t="inlineStr">
        <is>
          <t>Phân phối</t>
        </is>
      </c>
      <c r="E16" s="28" t="n">
        <v>1250</v>
      </c>
      <c r="F16" s="28" t="n">
        <v>10</v>
      </c>
      <c r="G16" s="21" t="inlineStr">
        <is>
          <t>No</t>
        </is>
      </c>
      <c r="H16" s="21" t="inlineStr">
        <is>
          <t>DRV015</t>
        </is>
      </c>
      <c r="I16" s="21" t="inlineStr">
        <is>
          <t>Tài xế 15</t>
        </is>
      </c>
      <c r="J16" s="21" t="inlineStr">
        <is>
          <t>PK_HP_DINHVU</t>
        </is>
      </c>
      <c r="K16" s="21" t="inlineStr">
        <is>
          <t>Kho Hải Phòng - Đình Vũ</t>
        </is>
      </c>
      <c r="L16" s="21" t="inlineStr">
        <is>
          <t>Nội thành Hà Nội</t>
        </is>
      </c>
      <c r="M16" s="21" t="inlineStr">
        <is>
          <t>06:00</t>
        </is>
      </c>
      <c r="N16" s="21" t="inlineStr">
        <is>
          <t>18:00</t>
        </is>
      </c>
      <c r="O16" s="22" t="n">
        <v>10</v>
      </c>
      <c r="P16" s="28" t="n">
        <v>8</v>
      </c>
      <c r="Q16" s="29" t="n">
        <v>0.12</v>
      </c>
      <c r="R16" s="30">
        <f>Q16*'03_Cost_Constraints'!$B$3</f>
        <v/>
      </c>
      <c r="S16" s="30">
        <f>R16*1.15</f>
        <v/>
      </c>
      <c r="T16" s="31" t="n">
        <v>300000</v>
      </c>
      <c r="U16" s="31" t="n">
        <v>300000</v>
      </c>
      <c r="V16" s="28" t="n">
        <v>35</v>
      </c>
      <c r="W16" s="21" t="inlineStr">
        <is>
          <t>Yes</t>
        </is>
      </c>
      <c r="X16" s="21" t="inlineStr">
        <is>
          <t>Inner-city compatible</t>
        </is>
      </c>
      <c r="Y16" s="21" t="inlineStr">
        <is>
          <t>Available</t>
        </is>
      </c>
      <c r="Z16" s="21" t="inlineStr">
        <is>
          <t>2026-06-05</t>
        </is>
      </c>
      <c r="AA16" s="22" t="n">
        <v>20.8425</v>
      </c>
      <c r="AB16" s="22" t="n">
        <v>106.77</v>
      </c>
      <c r="AC16" s="21" t="inlineStr">
        <is>
          <t>OK</t>
        </is>
      </c>
      <c r="AD16" s="21" t="inlineStr">
        <is>
          <t>Sẵn sàng lập kế hoạch ngày hôm sau</t>
        </is>
      </c>
    </row>
    <row r="17" ht="18" customHeight="1" s="17">
      <c r="A17" s="23" t="inlineStr">
        <is>
          <t>V016</t>
        </is>
      </c>
      <c r="B17" s="23" t="inlineStr">
        <is>
          <t>36C-52192</t>
        </is>
      </c>
      <c r="C17" s="23" t="inlineStr">
        <is>
          <t>1.25T</t>
        </is>
      </c>
      <c r="D17" s="23" t="inlineStr">
        <is>
          <t>Phân phối</t>
        </is>
      </c>
      <c r="E17" s="32" t="n">
        <v>1250</v>
      </c>
      <c r="F17" s="32" t="n">
        <v>10</v>
      </c>
      <c r="G17" s="23" t="inlineStr">
        <is>
          <t>No</t>
        </is>
      </c>
      <c r="H17" s="23" t="inlineStr">
        <is>
          <t>DRV016</t>
        </is>
      </c>
      <c r="I17" s="23" t="inlineStr">
        <is>
          <t>Tài xế 16</t>
        </is>
      </c>
      <c r="J17" s="23" t="inlineStr">
        <is>
          <t>PK_TH_QX</t>
        </is>
      </c>
      <c r="K17" s="23" t="inlineStr">
        <is>
          <t>Kho DC Thanh Hóa - Quảng Xương</t>
        </is>
      </c>
      <c r="L17" s="23" t="inlineStr">
        <is>
          <t>Nội thành Hà Nội</t>
        </is>
      </c>
      <c r="M17" s="23" t="inlineStr">
        <is>
          <t>06:00</t>
        </is>
      </c>
      <c r="N17" s="23" t="inlineStr">
        <is>
          <t>18:00</t>
        </is>
      </c>
      <c r="O17" s="24" t="n">
        <v>10</v>
      </c>
      <c r="P17" s="32" t="n">
        <v>8</v>
      </c>
      <c r="Q17" s="33" t="n">
        <v>0.12</v>
      </c>
      <c r="R17" s="34">
        <f>Q17*'03_Cost_Constraints'!$B$3</f>
        <v/>
      </c>
      <c r="S17" s="34">
        <f>R17*1.15</f>
        <v/>
      </c>
      <c r="T17" s="35" t="n">
        <v>300000</v>
      </c>
      <c r="U17" s="35" t="n">
        <v>300000</v>
      </c>
      <c r="V17" s="32" t="n">
        <v>35</v>
      </c>
      <c r="W17" s="23" t="inlineStr">
        <is>
          <t>Yes</t>
        </is>
      </c>
      <c r="X17" s="23" t="inlineStr">
        <is>
          <t>Inner-city compatible</t>
        </is>
      </c>
      <c r="Y17" s="23" t="inlineStr">
        <is>
          <t>Available</t>
        </is>
      </c>
      <c r="Z17" s="23" t="inlineStr">
        <is>
          <t>2026-06-05</t>
        </is>
      </c>
      <c r="AA17" s="24" t="n">
        <v>19.731</v>
      </c>
      <c r="AB17" s="24" t="n">
        <v>105.815</v>
      </c>
      <c r="AC17" s="23" t="inlineStr">
        <is>
          <t>OK</t>
        </is>
      </c>
      <c r="AD17" s="23" t="inlineStr">
        <is>
          <t>Sẵn sàng lập kế hoạch ngày hôm sau</t>
        </is>
      </c>
    </row>
    <row r="18" ht="18" customHeight="1" s="17">
      <c r="A18" s="21" t="inlineStr">
        <is>
          <t>V017</t>
        </is>
      </c>
      <c r="B18" s="21" t="inlineStr">
        <is>
          <t>17C-52329</t>
        </is>
      </c>
      <c r="C18" s="21" t="inlineStr">
        <is>
          <t>1.25T</t>
        </is>
      </c>
      <c r="D18" s="21" t="inlineStr">
        <is>
          <t>Phân phối</t>
        </is>
      </c>
      <c r="E18" s="28" t="n">
        <v>1250</v>
      </c>
      <c r="F18" s="28" t="n">
        <v>10</v>
      </c>
      <c r="G18" s="21" t="inlineStr">
        <is>
          <t>No</t>
        </is>
      </c>
      <c r="H18" s="21" t="inlineStr">
        <is>
          <t>DRV017</t>
        </is>
      </c>
      <c r="I18" s="21" t="inlineStr">
        <is>
          <t>Tài xế 17</t>
        </is>
      </c>
      <c r="J18" s="21" t="inlineStr">
        <is>
          <t>PK_NA_BACVINH</t>
        </is>
      </c>
      <c r="K18" s="21" t="inlineStr">
        <is>
          <t>Kho DC Vinh - KCN Bắc Vinh</t>
        </is>
      </c>
      <c r="L18" s="21" t="inlineStr">
        <is>
          <t>Nội thành Hà Nội</t>
        </is>
      </c>
      <c r="M18" s="21" t="inlineStr">
        <is>
          <t>06:00</t>
        </is>
      </c>
      <c r="N18" s="21" t="inlineStr">
        <is>
          <t>18:00</t>
        </is>
      </c>
      <c r="O18" s="22" t="n">
        <v>10</v>
      </c>
      <c r="P18" s="28" t="n">
        <v>8</v>
      </c>
      <c r="Q18" s="29" t="n">
        <v>0.12</v>
      </c>
      <c r="R18" s="30">
        <f>Q18*'03_Cost_Constraints'!$B$3</f>
        <v/>
      </c>
      <c r="S18" s="30">
        <f>R18*1.15</f>
        <v/>
      </c>
      <c r="T18" s="31" t="n">
        <v>300000</v>
      </c>
      <c r="U18" s="31" t="n">
        <v>300000</v>
      </c>
      <c r="V18" s="28" t="n">
        <v>35</v>
      </c>
      <c r="W18" s="21" t="inlineStr">
        <is>
          <t>Yes</t>
        </is>
      </c>
      <c r="X18" s="21" t="inlineStr">
        <is>
          <t>Inner-city compatible</t>
        </is>
      </c>
      <c r="Y18" s="21" t="inlineStr">
        <is>
          <t>Available</t>
        </is>
      </c>
      <c r="Z18" s="21" t="inlineStr">
        <is>
          <t>2026-06-05</t>
        </is>
      </c>
      <c r="AA18" s="22" t="n">
        <v>18.733</v>
      </c>
      <c r="AB18" s="22" t="n">
        <v>105.681</v>
      </c>
      <c r="AC18" s="21" t="inlineStr">
        <is>
          <t>OK</t>
        </is>
      </c>
      <c r="AD18" s="21" t="inlineStr">
        <is>
          <t>Sẵn sàng lập kế hoạch ngày hôm sau</t>
        </is>
      </c>
    </row>
    <row r="19" ht="18" customHeight="1" s="17">
      <c r="A19" s="23" t="inlineStr">
        <is>
          <t>V018</t>
        </is>
      </c>
      <c r="B19" s="23" t="inlineStr">
        <is>
          <t>29C-52466</t>
        </is>
      </c>
      <c r="C19" s="23" t="inlineStr">
        <is>
          <t>1.25T</t>
        </is>
      </c>
      <c r="D19" s="23" t="inlineStr">
        <is>
          <t>Phân phối</t>
        </is>
      </c>
      <c r="E19" s="32" t="n">
        <v>1250</v>
      </c>
      <c r="F19" s="32" t="n">
        <v>10</v>
      </c>
      <c r="G19" s="23" t="inlineStr">
        <is>
          <t>No</t>
        </is>
      </c>
      <c r="H19" s="23" t="inlineStr">
        <is>
          <t>DRV018</t>
        </is>
      </c>
      <c r="I19" s="23" t="inlineStr">
        <is>
          <t>Tài xế 18</t>
        </is>
      </c>
      <c r="J19" s="23" t="inlineStr">
        <is>
          <t>PK_HPL_LB</t>
        </is>
      </c>
      <c r="K19" s="23" t="inlineStr">
        <is>
          <t>HPL Depot Long Biên - 20 Thạch Bàn</t>
        </is>
      </c>
      <c r="L19" s="23" t="inlineStr">
        <is>
          <t>Nội thành Hà Nội</t>
        </is>
      </c>
      <c r="M19" s="23" t="inlineStr">
        <is>
          <t>06:00</t>
        </is>
      </c>
      <c r="N19" s="23" t="inlineStr">
        <is>
          <t>18:00</t>
        </is>
      </c>
      <c r="O19" s="24" t="n">
        <v>10</v>
      </c>
      <c r="P19" s="32" t="n">
        <v>8</v>
      </c>
      <c r="Q19" s="33" t="n">
        <v>0.12</v>
      </c>
      <c r="R19" s="34">
        <f>Q19*'03_Cost_Constraints'!$B$3</f>
        <v/>
      </c>
      <c r="S19" s="34">
        <f>R19*1.15</f>
        <v/>
      </c>
      <c r="T19" s="35" t="n">
        <v>300000</v>
      </c>
      <c r="U19" s="35" t="n">
        <v>300000</v>
      </c>
      <c r="V19" s="32" t="n">
        <v>35</v>
      </c>
      <c r="W19" s="23" t="inlineStr">
        <is>
          <t>Yes</t>
        </is>
      </c>
      <c r="X19" s="23" t="inlineStr">
        <is>
          <t>Inner-city compatible</t>
        </is>
      </c>
      <c r="Y19" s="23" t="inlineStr">
        <is>
          <t>Available</t>
        </is>
      </c>
      <c r="Z19" s="23" t="inlineStr">
        <is>
          <t>2026-06-05</t>
        </is>
      </c>
      <c r="AA19" s="24" t="n">
        <v>21.0261548385</v>
      </c>
      <c r="AB19" s="24" t="n">
        <v>105.914182238</v>
      </c>
      <c r="AC19" s="23" t="inlineStr">
        <is>
          <t>OK</t>
        </is>
      </c>
      <c r="AD19" s="23" t="inlineStr">
        <is>
          <t>Sẵn sàng lập kế hoạch ngày hôm sau</t>
        </is>
      </c>
    </row>
    <row r="20" ht="18" customHeight="1" s="17">
      <c r="A20" s="21" t="inlineStr">
        <is>
          <t>V019</t>
        </is>
      </c>
      <c r="B20" s="21" t="inlineStr">
        <is>
          <t>30F-52603</t>
        </is>
      </c>
      <c r="C20" s="21" t="inlineStr">
        <is>
          <t>5T</t>
        </is>
      </c>
      <c r="D20" s="21" t="inlineStr">
        <is>
          <t>Phân phối</t>
        </is>
      </c>
      <c r="E20" s="28" t="n">
        <v>5000</v>
      </c>
      <c r="F20" s="28" t="n">
        <v>30</v>
      </c>
      <c r="G20" s="21" t="inlineStr">
        <is>
          <t>No</t>
        </is>
      </c>
      <c r="H20" s="21" t="inlineStr">
        <is>
          <t>DRV019</t>
        </is>
      </c>
      <c r="I20" s="21" t="inlineStr">
        <is>
          <t>Tài xế 19</t>
        </is>
      </c>
      <c r="J20" s="21" t="inlineStr">
        <is>
          <t>PK_HY_MYHAO</t>
        </is>
      </c>
      <c r="K20" s="21" t="inlineStr">
        <is>
          <t>Kho/Nhà máy khách hàng Mỹ Hào</t>
        </is>
      </c>
      <c r="L20" s="21" t="inlineStr">
        <is>
          <t>Đông Nam Hà Nội</t>
        </is>
      </c>
      <c r="M20" s="21" t="inlineStr">
        <is>
          <t>06:00</t>
        </is>
      </c>
      <c r="N20" s="21" t="inlineStr">
        <is>
          <t>18:00</t>
        </is>
      </c>
      <c r="O20" s="22" t="n">
        <v>10</v>
      </c>
      <c r="P20" s="28" t="n">
        <v>5</v>
      </c>
      <c r="Q20" s="29" t="n">
        <v>0.22</v>
      </c>
      <c r="R20" s="30">
        <f>Q20*'03_Cost_Constraints'!$B$3</f>
        <v/>
      </c>
      <c r="S20" s="30">
        <f>R20*1.15</f>
        <v/>
      </c>
      <c r="T20" s="31" t="n">
        <v>520000</v>
      </c>
      <c r="U20" s="31" t="n">
        <v>350000</v>
      </c>
      <c r="V20" s="28" t="n">
        <v>45</v>
      </c>
      <c r="W20" s="21" t="inlineStr">
        <is>
          <t>Limited</t>
        </is>
      </c>
      <c r="X20" s="21" t="inlineStr">
        <is>
          <t>Main-road only</t>
        </is>
      </c>
      <c r="Y20" s="21" t="inlineStr">
        <is>
          <t>Available</t>
        </is>
      </c>
      <c r="Z20" s="21" t="inlineStr">
        <is>
          <t>2026-06-05</t>
        </is>
      </c>
      <c r="AA20" s="22" t="n">
        <v>20.9329</v>
      </c>
      <c r="AB20" s="22" t="n">
        <v>106.065</v>
      </c>
      <c r="AC20" s="21" t="inlineStr">
        <is>
          <t>OK</t>
        </is>
      </c>
      <c r="AD20" s="21" t="inlineStr">
        <is>
          <t>Sẵn sàng lập kế hoạch ngày hôm sau</t>
        </is>
      </c>
    </row>
    <row r="21" ht="18" customHeight="1" s="17">
      <c r="A21" s="23" t="inlineStr">
        <is>
          <t>V020</t>
        </is>
      </c>
      <c r="B21" s="23" t="inlineStr">
        <is>
          <t>31F-52740</t>
        </is>
      </c>
      <c r="C21" s="23" t="inlineStr">
        <is>
          <t>5T</t>
        </is>
      </c>
      <c r="D21" s="23" t="inlineStr">
        <is>
          <t>Phân phối</t>
        </is>
      </c>
      <c r="E21" s="32" t="n">
        <v>5000</v>
      </c>
      <c r="F21" s="32" t="n">
        <v>30</v>
      </c>
      <c r="G21" s="23" t="inlineStr">
        <is>
          <t>No</t>
        </is>
      </c>
      <c r="H21" s="23" t="inlineStr">
        <is>
          <t>DRV020</t>
        </is>
      </c>
      <c r="I21" s="23" t="inlineStr">
        <is>
          <t>Tài xế 20</t>
        </is>
      </c>
      <c r="J21" s="23" t="inlineStr">
        <is>
          <t>PK_HP_DINHVU</t>
        </is>
      </c>
      <c r="K21" s="23" t="inlineStr">
        <is>
          <t>Kho Hải Phòng - Đình Vũ</t>
        </is>
      </c>
      <c r="L21" s="23" t="inlineStr">
        <is>
          <t>Tây Bắc</t>
        </is>
      </c>
      <c r="M21" s="23" t="inlineStr">
        <is>
          <t>06:00</t>
        </is>
      </c>
      <c r="N21" s="23" t="inlineStr">
        <is>
          <t>18:00</t>
        </is>
      </c>
      <c r="O21" s="24" t="n">
        <v>10</v>
      </c>
      <c r="P21" s="32" t="n">
        <v>5</v>
      </c>
      <c r="Q21" s="33" t="n">
        <v>0.22</v>
      </c>
      <c r="R21" s="34">
        <f>Q21*'03_Cost_Constraints'!$B$3</f>
        <v/>
      </c>
      <c r="S21" s="34">
        <f>R21*1.15</f>
        <v/>
      </c>
      <c r="T21" s="35" t="n">
        <v>520000</v>
      </c>
      <c r="U21" s="35" t="n">
        <v>350000</v>
      </c>
      <c r="V21" s="32" t="n">
        <v>45</v>
      </c>
      <c r="W21" s="23" t="inlineStr">
        <is>
          <t>Limited</t>
        </is>
      </c>
      <c r="X21" s="23" t="inlineStr">
        <is>
          <t>Main-road only</t>
        </is>
      </c>
      <c r="Y21" s="23" t="inlineStr">
        <is>
          <t>Available</t>
        </is>
      </c>
      <c r="Z21" s="23" t="inlineStr">
        <is>
          <t>2026-06-05</t>
        </is>
      </c>
      <c r="AA21" s="24" t="n">
        <v>20.8425</v>
      </c>
      <c r="AB21" s="24" t="n">
        <v>106.77</v>
      </c>
      <c r="AC21" s="23" t="inlineStr">
        <is>
          <t>OK</t>
        </is>
      </c>
      <c r="AD21" s="23" t="inlineStr">
        <is>
          <t>Sẵn sàng lập kế hoạch ngày hôm sau</t>
        </is>
      </c>
    </row>
    <row r="22" ht="18" customHeight="1" s="17">
      <c r="A22" s="21" t="inlineStr">
        <is>
          <t>V021</t>
        </is>
      </c>
      <c r="B22" s="21" t="inlineStr">
        <is>
          <t>34C-52877</t>
        </is>
      </c>
      <c r="C22" s="21" t="inlineStr">
        <is>
          <t>5T</t>
        </is>
      </c>
      <c r="D22" s="21" t="inlineStr">
        <is>
          <t>Phân phối</t>
        </is>
      </c>
      <c r="E22" s="28" t="n">
        <v>5000</v>
      </c>
      <c r="F22" s="28" t="n">
        <v>30</v>
      </c>
      <c r="G22" s="21" t="inlineStr">
        <is>
          <t>No</t>
        </is>
      </c>
      <c r="H22" s="21" t="inlineStr">
        <is>
          <t>DRV021</t>
        </is>
      </c>
      <c r="I22" s="21" t="inlineStr">
        <is>
          <t>Tài xế 21</t>
        </is>
      </c>
      <c r="J22" s="21" t="inlineStr">
        <is>
          <t>PK_TH_QX</t>
        </is>
      </c>
      <c r="K22" s="21" t="inlineStr">
        <is>
          <t>Kho DC Thanh Hóa - Quảng Xương</t>
        </is>
      </c>
      <c r="L22" s="21" t="inlineStr">
        <is>
          <t>Bắc Trung Bộ</t>
        </is>
      </c>
      <c r="M22" s="21" t="inlineStr">
        <is>
          <t>06:00</t>
        </is>
      </c>
      <c r="N22" s="21" t="inlineStr">
        <is>
          <t>18:00</t>
        </is>
      </c>
      <c r="O22" s="22" t="n">
        <v>10</v>
      </c>
      <c r="P22" s="28" t="n">
        <v>5</v>
      </c>
      <c r="Q22" s="29" t="n">
        <v>0.22</v>
      </c>
      <c r="R22" s="30">
        <f>Q22*'03_Cost_Constraints'!$B$3</f>
        <v/>
      </c>
      <c r="S22" s="30">
        <f>R22*1.15</f>
        <v/>
      </c>
      <c r="T22" s="31" t="n">
        <v>520000</v>
      </c>
      <c r="U22" s="31" t="n">
        <v>350000</v>
      </c>
      <c r="V22" s="28" t="n">
        <v>45</v>
      </c>
      <c r="W22" s="21" t="inlineStr">
        <is>
          <t>Limited</t>
        </is>
      </c>
      <c r="X22" s="21" t="inlineStr">
        <is>
          <t>Main-road only</t>
        </is>
      </c>
      <c r="Y22" s="21" t="inlineStr">
        <is>
          <t>Available</t>
        </is>
      </c>
      <c r="Z22" s="21" t="inlineStr">
        <is>
          <t>2026-06-05</t>
        </is>
      </c>
      <c r="AA22" s="22" t="n">
        <v>19.731</v>
      </c>
      <c r="AB22" s="22" t="n">
        <v>105.815</v>
      </c>
      <c r="AC22" s="21" t="inlineStr">
        <is>
          <t>OK</t>
        </is>
      </c>
      <c r="AD22" s="21" t="inlineStr">
        <is>
          <t>Sẵn sàng lập kế hoạch ngày hôm sau</t>
        </is>
      </c>
    </row>
    <row r="23" ht="18" customHeight="1" s="17">
      <c r="A23" s="23" t="inlineStr">
        <is>
          <t>V022</t>
        </is>
      </c>
      <c r="B23" s="23" t="inlineStr">
        <is>
          <t>36C-53014</t>
        </is>
      </c>
      <c r="C23" s="23" t="inlineStr">
        <is>
          <t>5T</t>
        </is>
      </c>
      <c r="D23" s="23" t="inlineStr">
        <is>
          <t>Phân phối</t>
        </is>
      </c>
      <c r="E23" s="32" t="n">
        <v>5000</v>
      </c>
      <c r="F23" s="32" t="n">
        <v>30</v>
      </c>
      <c r="G23" s="23" t="inlineStr">
        <is>
          <t>No</t>
        </is>
      </c>
      <c r="H23" s="23" t="inlineStr">
        <is>
          <t>DRV022</t>
        </is>
      </c>
      <c r="I23" s="23" t="inlineStr">
        <is>
          <t>Tài xế 22</t>
        </is>
      </c>
      <c r="J23" s="23" t="inlineStr">
        <is>
          <t>PK_NA_BACVINH</t>
        </is>
      </c>
      <c r="K23" s="23" t="inlineStr">
        <is>
          <t>Kho DC Vinh - KCN Bắc Vinh</t>
        </is>
      </c>
      <c r="L23" s="23" t="inlineStr">
        <is>
          <t>Đông Nam Hà Nội</t>
        </is>
      </c>
      <c r="M23" s="23" t="inlineStr">
        <is>
          <t>06:00</t>
        </is>
      </c>
      <c r="N23" s="23" t="inlineStr">
        <is>
          <t>18:00</t>
        </is>
      </c>
      <c r="O23" s="24" t="n">
        <v>10</v>
      </c>
      <c r="P23" s="32" t="n">
        <v>5</v>
      </c>
      <c r="Q23" s="33" t="n">
        <v>0.22</v>
      </c>
      <c r="R23" s="34">
        <f>Q23*'03_Cost_Constraints'!$B$3</f>
        <v/>
      </c>
      <c r="S23" s="34">
        <f>R23*1.15</f>
        <v/>
      </c>
      <c r="T23" s="35" t="n">
        <v>520000</v>
      </c>
      <c r="U23" s="35" t="n">
        <v>350000</v>
      </c>
      <c r="V23" s="32" t="n">
        <v>45</v>
      </c>
      <c r="W23" s="23" t="inlineStr">
        <is>
          <t>Limited</t>
        </is>
      </c>
      <c r="X23" s="23" t="inlineStr">
        <is>
          <t>Main-road only</t>
        </is>
      </c>
      <c r="Y23" s="23" t="inlineStr">
        <is>
          <t>Available</t>
        </is>
      </c>
      <c r="Z23" s="23" t="inlineStr">
        <is>
          <t>2026-06-05</t>
        </is>
      </c>
      <c r="AA23" s="24" t="n">
        <v>18.733</v>
      </c>
      <c r="AB23" s="24" t="n">
        <v>105.681</v>
      </c>
      <c r="AC23" s="23" t="inlineStr">
        <is>
          <t>OK</t>
        </is>
      </c>
      <c r="AD23" s="23" t="inlineStr">
        <is>
          <t>Sẵn sàng lập kế hoạch ngày hôm sau</t>
        </is>
      </c>
    </row>
    <row r="24" ht="18" customHeight="1" s="17">
      <c r="A24" s="21" t="inlineStr">
        <is>
          <t>V023</t>
        </is>
      </c>
      <c r="B24" s="21" t="inlineStr">
        <is>
          <t>17C-53151</t>
        </is>
      </c>
      <c r="C24" s="21" t="inlineStr">
        <is>
          <t>5T</t>
        </is>
      </c>
      <c r="D24" s="21" t="inlineStr">
        <is>
          <t>Phân phối</t>
        </is>
      </c>
      <c r="E24" s="28" t="n">
        <v>5000</v>
      </c>
      <c r="F24" s="28" t="n">
        <v>30</v>
      </c>
      <c r="G24" s="21" t="inlineStr">
        <is>
          <t>No</t>
        </is>
      </c>
      <c r="H24" s="21" t="inlineStr">
        <is>
          <t>DRV023</t>
        </is>
      </c>
      <c r="I24" s="21" t="inlineStr">
        <is>
          <t>Tài xế 23</t>
        </is>
      </c>
      <c r="J24" s="21" t="inlineStr">
        <is>
          <t>PK_HPL_LB</t>
        </is>
      </c>
      <c r="K24" s="21" t="inlineStr">
        <is>
          <t>HPL Depot Long Biên - 20 Thạch Bàn</t>
        </is>
      </c>
      <c r="L24" s="21" t="inlineStr">
        <is>
          <t>Bắc Trung Bộ</t>
        </is>
      </c>
      <c r="M24" s="21" t="inlineStr">
        <is>
          <t>06:00</t>
        </is>
      </c>
      <c r="N24" s="21" t="inlineStr">
        <is>
          <t>18:00</t>
        </is>
      </c>
      <c r="O24" s="22" t="n">
        <v>10</v>
      </c>
      <c r="P24" s="28" t="n">
        <v>5</v>
      </c>
      <c r="Q24" s="29" t="n">
        <v>0.22</v>
      </c>
      <c r="R24" s="30">
        <f>Q24*'03_Cost_Constraints'!$B$3</f>
        <v/>
      </c>
      <c r="S24" s="30">
        <f>R24*1.15</f>
        <v/>
      </c>
      <c r="T24" s="31" t="n">
        <v>520000</v>
      </c>
      <c r="U24" s="31" t="n">
        <v>350000</v>
      </c>
      <c r="V24" s="28" t="n">
        <v>45</v>
      </c>
      <c r="W24" s="21" t="inlineStr">
        <is>
          <t>Limited</t>
        </is>
      </c>
      <c r="X24" s="21" t="inlineStr">
        <is>
          <t>Main-road only</t>
        </is>
      </c>
      <c r="Y24" s="21" t="inlineStr">
        <is>
          <t>Available</t>
        </is>
      </c>
      <c r="Z24" s="21" t="inlineStr">
        <is>
          <t>2026-06-05</t>
        </is>
      </c>
      <c r="AA24" s="22" t="n">
        <v>21.0261548385</v>
      </c>
      <c r="AB24" s="22" t="n">
        <v>105.914182238</v>
      </c>
      <c r="AC24" s="21" t="inlineStr">
        <is>
          <t>OK</t>
        </is>
      </c>
      <c r="AD24" s="21" t="inlineStr">
        <is>
          <t>Sẵn sàng lập kế hoạch ngày hôm sau</t>
        </is>
      </c>
    </row>
    <row r="25" ht="18" customHeight="1" s="17">
      <c r="A25" s="23" t="inlineStr">
        <is>
          <t>V024</t>
        </is>
      </c>
      <c r="B25" s="23" t="inlineStr">
        <is>
          <t>29C-53288</t>
        </is>
      </c>
      <c r="C25" s="23" t="inlineStr">
        <is>
          <t>5T</t>
        </is>
      </c>
      <c r="D25" s="23" t="inlineStr">
        <is>
          <t>Phân phối</t>
        </is>
      </c>
      <c r="E25" s="32" t="n">
        <v>5000</v>
      </c>
      <c r="F25" s="32" t="n">
        <v>30</v>
      </c>
      <c r="G25" s="23" t="inlineStr">
        <is>
          <t>No</t>
        </is>
      </c>
      <c r="H25" s="23" t="inlineStr">
        <is>
          <t>DRV024</t>
        </is>
      </c>
      <c r="I25" s="23" t="inlineStr">
        <is>
          <t>Tài xế 24</t>
        </is>
      </c>
      <c r="J25" s="23" t="inlineStr">
        <is>
          <t>PK_LINFOX_VSIP</t>
        </is>
      </c>
      <c r="K25" s="23" t="inlineStr">
        <is>
          <t>Kho Linfox KCN VSIP Bắc Ninh</t>
        </is>
      </c>
      <c r="L25" s="23" t="inlineStr">
        <is>
          <t>Bắc Trung Bộ</t>
        </is>
      </c>
      <c r="M25" s="23" t="inlineStr">
        <is>
          <t>06:00</t>
        </is>
      </c>
      <c r="N25" s="23" t="inlineStr">
        <is>
          <t>18:00</t>
        </is>
      </c>
      <c r="O25" s="24" t="n">
        <v>10</v>
      </c>
      <c r="P25" s="32" t="n">
        <v>5</v>
      </c>
      <c r="Q25" s="33" t="n">
        <v>0.22</v>
      </c>
      <c r="R25" s="34">
        <f>Q25*'03_Cost_Constraints'!$B$3</f>
        <v/>
      </c>
      <c r="S25" s="34">
        <f>R25*1.15</f>
        <v/>
      </c>
      <c r="T25" s="35" t="n">
        <v>520000</v>
      </c>
      <c r="U25" s="35" t="n">
        <v>350000</v>
      </c>
      <c r="V25" s="32" t="n">
        <v>45</v>
      </c>
      <c r="W25" s="23" t="inlineStr">
        <is>
          <t>Limited</t>
        </is>
      </c>
      <c r="X25" s="23" t="inlineStr">
        <is>
          <t>Main-road only</t>
        </is>
      </c>
      <c r="Y25" s="23" t="inlineStr">
        <is>
          <t>Available</t>
        </is>
      </c>
      <c r="Z25" s="23" t="inlineStr">
        <is>
          <t>2026-06-05</t>
        </is>
      </c>
      <c r="AA25" s="24" t="n">
        <v>21.082707</v>
      </c>
      <c r="AB25" s="24" t="n">
        <v>105.997949</v>
      </c>
      <c r="AC25" s="23" t="inlineStr">
        <is>
          <t>OK</t>
        </is>
      </c>
      <c r="AD25" s="23" t="inlineStr">
        <is>
          <t>Sẵn sàng lập kế hoạch ngày hôm sau</t>
        </is>
      </c>
    </row>
    <row r="26" ht="18" customHeight="1" s="17">
      <c r="A26" s="21" t="inlineStr">
        <is>
          <t>V025</t>
        </is>
      </c>
      <c r="B26" s="21" t="inlineStr">
        <is>
          <t>30F-53425</t>
        </is>
      </c>
      <c r="C26" s="21" t="inlineStr">
        <is>
          <t>5T</t>
        </is>
      </c>
      <c r="D26" s="21" t="inlineStr">
        <is>
          <t>Phân phối</t>
        </is>
      </c>
      <c r="E26" s="28" t="n">
        <v>5000</v>
      </c>
      <c r="F26" s="28" t="n">
        <v>30</v>
      </c>
      <c r="G26" s="21" t="inlineStr">
        <is>
          <t>No</t>
        </is>
      </c>
      <c r="H26" s="21" t="inlineStr">
        <is>
          <t>DRV025</t>
        </is>
      </c>
      <c r="I26" s="21" t="inlineStr">
        <is>
          <t>Tài xế 25</t>
        </is>
      </c>
      <c r="J26" s="21" t="inlineStr">
        <is>
          <t>PK_HY_MYHAO</t>
        </is>
      </c>
      <c r="K26" s="21" t="inlineStr">
        <is>
          <t>Kho/Nhà máy khách hàng Mỹ Hào</t>
        </is>
      </c>
      <c r="L26" s="21" t="inlineStr">
        <is>
          <t>Đông Nam Hà Nội</t>
        </is>
      </c>
      <c r="M26" s="21" t="inlineStr">
        <is>
          <t>06:00</t>
        </is>
      </c>
      <c r="N26" s="21" t="inlineStr">
        <is>
          <t>18:00</t>
        </is>
      </c>
      <c r="O26" s="22" t="n">
        <v>10</v>
      </c>
      <c r="P26" s="28" t="n">
        <v>5</v>
      </c>
      <c r="Q26" s="29" t="n">
        <v>0.22</v>
      </c>
      <c r="R26" s="30">
        <f>Q26*'03_Cost_Constraints'!$B$3</f>
        <v/>
      </c>
      <c r="S26" s="30">
        <f>R26*1.15</f>
        <v/>
      </c>
      <c r="T26" s="31" t="n">
        <v>520000</v>
      </c>
      <c r="U26" s="31" t="n">
        <v>350000</v>
      </c>
      <c r="V26" s="28" t="n">
        <v>45</v>
      </c>
      <c r="W26" s="21" t="inlineStr">
        <is>
          <t>Limited</t>
        </is>
      </c>
      <c r="X26" s="21" t="inlineStr">
        <is>
          <t>Main-road only</t>
        </is>
      </c>
      <c r="Y26" s="21" t="inlineStr">
        <is>
          <t>Available</t>
        </is>
      </c>
      <c r="Z26" s="21" t="inlineStr">
        <is>
          <t>2026-06-05</t>
        </is>
      </c>
      <c r="AA26" s="22" t="n">
        <v>20.9329</v>
      </c>
      <c r="AB26" s="22" t="n">
        <v>106.065</v>
      </c>
      <c r="AC26" s="21" t="inlineStr">
        <is>
          <t>OK</t>
        </is>
      </c>
      <c r="AD26" s="21" t="inlineStr">
        <is>
          <t>Sẵn sàng lập kế hoạch ngày hôm sau</t>
        </is>
      </c>
    </row>
    <row r="27" ht="18" customHeight="1" s="17">
      <c r="A27" s="23" t="inlineStr">
        <is>
          <t>V026</t>
        </is>
      </c>
      <c r="B27" s="23" t="inlineStr">
        <is>
          <t>31F-53562</t>
        </is>
      </c>
      <c r="C27" s="23" t="inlineStr">
        <is>
          <t>5T</t>
        </is>
      </c>
      <c r="D27" s="23" t="inlineStr">
        <is>
          <t>Phân phối</t>
        </is>
      </c>
      <c r="E27" s="32" t="n">
        <v>5000</v>
      </c>
      <c r="F27" s="32" t="n">
        <v>30</v>
      </c>
      <c r="G27" s="23" t="inlineStr">
        <is>
          <t>No</t>
        </is>
      </c>
      <c r="H27" s="23" t="inlineStr">
        <is>
          <t>DRV026</t>
        </is>
      </c>
      <c r="I27" s="23" t="inlineStr">
        <is>
          <t>Tài xế 26</t>
        </is>
      </c>
      <c r="J27" s="23" t="inlineStr">
        <is>
          <t>PK_HP_DINHVU</t>
        </is>
      </c>
      <c r="K27" s="23" t="inlineStr">
        <is>
          <t>Kho Hải Phòng - Đình Vũ</t>
        </is>
      </c>
      <c r="L27" s="23" t="inlineStr">
        <is>
          <t>Đông Bắc</t>
        </is>
      </c>
      <c r="M27" s="23" t="inlineStr">
        <is>
          <t>06:00</t>
        </is>
      </c>
      <c r="N27" s="23" t="inlineStr">
        <is>
          <t>18:00</t>
        </is>
      </c>
      <c r="O27" s="24" t="n">
        <v>10</v>
      </c>
      <c r="P27" s="32" t="n">
        <v>5</v>
      </c>
      <c r="Q27" s="33" t="n">
        <v>0.22</v>
      </c>
      <c r="R27" s="34">
        <f>Q27*'03_Cost_Constraints'!$B$3</f>
        <v/>
      </c>
      <c r="S27" s="34">
        <f>R27*1.15</f>
        <v/>
      </c>
      <c r="T27" s="35" t="n">
        <v>520000</v>
      </c>
      <c r="U27" s="35" t="n">
        <v>350000</v>
      </c>
      <c r="V27" s="32" t="n">
        <v>45</v>
      </c>
      <c r="W27" s="23" t="inlineStr">
        <is>
          <t>Limited</t>
        </is>
      </c>
      <c r="X27" s="23" t="inlineStr">
        <is>
          <t>Main-road only</t>
        </is>
      </c>
      <c r="Y27" s="23" t="inlineStr">
        <is>
          <t>Available</t>
        </is>
      </c>
      <c r="Z27" s="23" t="inlineStr">
        <is>
          <t>2026-06-05</t>
        </is>
      </c>
      <c r="AA27" s="24" t="n">
        <v>20.8425</v>
      </c>
      <c r="AB27" s="24" t="n">
        <v>106.77</v>
      </c>
      <c r="AC27" s="23" t="inlineStr">
        <is>
          <t>OK</t>
        </is>
      </c>
      <c r="AD27" s="23" t="inlineStr">
        <is>
          <t>Sẵn sàng lập kế hoạch ngày hôm sau</t>
        </is>
      </c>
    </row>
    <row r="28" ht="18" customHeight="1" s="17">
      <c r="A28" s="21" t="inlineStr">
        <is>
          <t>V027</t>
        </is>
      </c>
      <c r="B28" s="21" t="inlineStr">
        <is>
          <t>34C-53699</t>
        </is>
      </c>
      <c r="C28" s="21" t="inlineStr">
        <is>
          <t>5T</t>
        </is>
      </c>
      <c r="D28" s="21" t="inlineStr">
        <is>
          <t>Phân phối</t>
        </is>
      </c>
      <c r="E28" s="28" t="n">
        <v>5000</v>
      </c>
      <c r="F28" s="28" t="n">
        <v>30</v>
      </c>
      <c r="G28" s="21" t="inlineStr">
        <is>
          <t>No</t>
        </is>
      </c>
      <c r="H28" s="21" t="inlineStr">
        <is>
          <t>DRV027</t>
        </is>
      </c>
      <c r="I28" s="21" t="inlineStr">
        <is>
          <t>Tài xế 27</t>
        </is>
      </c>
      <c r="J28" s="21" t="inlineStr">
        <is>
          <t>PK_TH_QX</t>
        </is>
      </c>
      <c r="K28" s="21" t="inlineStr">
        <is>
          <t>Kho DC Thanh Hóa - Quảng Xương</t>
        </is>
      </c>
      <c r="L28" s="21" t="inlineStr">
        <is>
          <t>Đông Nam Hà Nội</t>
        </is>
      </c>
      <c r="M28" s="21" t="inlineStr">
        <is>
          <t>06:00</t>
        </is>
      </c>
      <c r="N28" s="21" t="inlineStr">
        <is>
          <t>18:00</t>
        </is>
      </c>
      <c r="O28" s="22" t="n">
        <v>10</v>
      </c>
      <c r="P28" s="28" t="n">
        <v>5</v>
      </c>
      <c r="Q28" s="29" t="n">
        <v>0.22</v>
      </c>
      <c r="R28" s="30">
        <f>Q28*'03_Cost_Constraints'!$B$3</f>
        <v/>
      </c>
      <c r="S28" s="30">
        <f>R28*1.15</f>
        <v/>
      </c>
      <c r="T28" s="31" t="n">
        <v>520000</v>
      </c>
      <c r="U28" s="31" t="n">
        <v>350000</v>
      </c>
      <c r="V28" s="28" t="n">
        <v>45</v>
      </c>
      <c r="W28" s="21" t="inlineStr">
        <is>
          <t>Limited</t>
        </is>
      </c>
      <c r="X28" s="21" t="inlineStr">
        <is>
          <t>Main-road only</t>
        </is>
      </c>
      <c r="Y28" s="21" t="inlineStr">
        <is>
          <t>Available</t>
        </is>
      </c>
      <c r="Z28" s="21" t="inlineStr">
        <is>
          <t>2026-06-05</t>
        </is>
      </c>
      <c r="AA28" s="22" t="n">
        <v>19.731</v>
      </c>
      <c r="AB28" s="22" t="n">
        <v>105.815</v>
      </c>
      <c r="AC28" s="21" t="inlineStr">
        <is>
          <t>OK</t>
        </is>
      </c>
      <c r="AD28" s="21" t="inlineStr">
        <is>
          <t>Sẵn sàng lập kế hoạch ngày hôm sau</t>
        </is>
      </c>
    </row>
    <row r="29" ht="18" customHeight="1" s="17">
      <c r="A29" s="23" t="inlineStr">
        <is>
          <t>V028</t>
        </is>
      </c>
      <c r="B29" s="23" t="inlineStr">
        <is>
          <t>36C-53836</t>
        </is>
      </c>
      <c r="C29" s="23" t="inlineStr">
        <is>
          <t>5T</t>
        </is>
      </c>
      <c r="D29" s="23" t="inlineStr">
        <is>
          <t>Phân phối</t>
        </is>
      </c>
      <c r="E29" s="32" t="n">
        <v>5000</v>
      </c>
      <c r="F29" s="32" t="n">
        <v>30</v>
      </c>
      <c r="G29" s="23" t="inlineStr">
        <is>
          <t>No</t>
        </is>
      </c>
      <c r="H29" s="23" t="inlineStr">
        <is>
          <t>DRV028</t>
        </is>
      </c>
      <c r="I29" s="23" t="inlineStr">
        <is>
          <t>Tài xế 28</t>
        </is>
      </c>
      <c r="J29" s="23" t="inlineStr">
        <is>
          <t>PK_NA_BACVINH</t>
        </is>
      </c>
      <c r="K29" s="23" t="inlineStr">
        <is>
          <t>Kho DC Vinh - KCN Bắc Vinh</t>
        </is>
      </c>
      <c r="L29" s="23" t="inlineStr">
        <is>
          <t>Đông Bắc</t>
        </is>
      </c>
      <c r="M29" s="23" t="inlineStr">
        <is>
          <t>06:00</t>
        </is>
      </c>
      <c r="N29" s="23" t="inlineStr">
        <is>
          <t>18:00</t>
        </is>
      </c>
      <c r="O29" s="24" t="n">
        <v>10</v>
      </c>
      <c r="P29" s="32" t="n">
        <v>5</v>
      </c>
      <c r="Q29" s="33" t="n">
        <v>0.22</v>
      </c>
      <c r="R29" s="34">
        <f>Q29*'03_Cost_Constraints'!$B$3</f>
        <v/>
      </c>
      <c r="S29" s="34">
        <f>R29*1.15</f>
        <v/>
      </c>
      <c r="T29" s="35" t="n">
        <v>520000</v>
      </c>
      <c r="U29" s="35" t="n">
        <v>350000</v>
      </c>
      <c r="V29" s="32" t="n">
        <v>45</v>
      </c>
      <c r="W29" s="23" t="inlineStr">
        <is>
          <t>Limited</t>
        </is>
      </c>
      <c r="X29" s="23" t="inlineStr">
        <is>
          <t>Main-road only</t>
        </is>
      </c>
      <c r="Y29" s="23" t="inlineStr">
        <is>
          <t>Available</t>
        </is>
      </c>
      <c r="Z29" s="23" t="inlineStr">
        <is>
          <t>2026-06-05</t>
        </is>
      </c>
      <c r="AA29" s="24" t="n">
        <v>18.733</v>
      </c>
      <c r="AB29" s="24" t="n">
        <v>105.681</v>
      </c>
      <c r="AC29" s="23" t="inlineStr">
        <is>
          <t>OK</t>
        </is>
      </c>
      <c r="AD29" s="23" t="inlineStr">
        <is>
          <t>Sẵn sàng lập kế hoạch ngày hôm sau</t>
        </is>
      </c>
    </row>
    <row r="30" ht="18" customHeight="1" s="17">
      <c r="A30" s="21" t="inlineStr">
        <is>
          <t>V029</t>
        </is>
      </c>
      <c r="B30" s="21" t="inlineStr">
        <is>
          <t>17C-53973</t>
        </is>
      </c>
      <c r="C30" s="21" t="inlineStr">
        <is>
          <t>8T</t>
        </is>
      </c>
      <c r="D30" s="21" t="inlineStr">
        <is>
          <t>Phân phối</t>
        </is>
      </c>
      <c r="E30" s="28" t="n">
        <v>8000</v>
      </c>
      <c r="F30" s="28" t="n">
        <v>45</v>
      </c>
      <c r="G30" s="21" t="inlineStr">
        <is>
          <t>No</t>
        </is>
      </c>
      <c r="H30" s="21" t="inlineStr">
        <is>
          <t>DRV029</t>
        </is>
      </c>
      <c r="I30" s="21" t="inlineStr">
        <is>
          <t>Tài xế 29</t>
        </is>
      </c>
      <c r="J30" s="21" t="inlineStr">
        <is>
          <t>PK_HPL_LB</t>
        </is>
      </c>
      <c r="K30" s="21" t="inlineStr">
        <is>
          <t>HPL Depot Long Biên - 20 Thạch Bàn</t>
        </is>
      </c>
      <c r="L30" s="21" t="inlineStr">
        <is>
          <t>Bắc Trung Bộ</t>
        </is>
      </c>
      <c r="M30" s="21" t="inlineStr">
        <is>
          <t>06:00</t>
        </is>
      </c>
      <c r="N30" s="21" t="inlineStr">
        <is>
          <t>18:00</t>
        </is>
      </c>
      <c r="O30" s="22" t="n">
        <v>10</v>
      </c>
      <c r="P30" s="28" t="n">
        <v>5</v>
      </c>
      <c r="Q30" s="29" t="n">
        <v>0.28</v>
      </c>
      <c r="R30" s="30">
        <f>Q30*'03_Cost_Constraints'!$B$3</f>
        <v/>
      </c>
      <c r="S30" s="30">
        <f>R30*1.15</f>
        <v/>
      </c>
      <c r="T30" s="31" t="n">
        <v>650000</v>
      </c>
      <c r="U30" s="31" t="n">
        <v>430000</v>
      </c>
      <c r="V30" s="28" t="n">
        <v>45</v>
      </c>
      <c r="W30" s="21" t="inlineStr">
        <is>
          <t>No</t>
        </is>
      </c>
      <c r="X30" s="21" t="inlineStr">
        <is>
          <t>Main-road only</t>
        </is>
      </c>
      <c r="Y30" s="21" t="inlineStr">
        <is>
          <t>Available</t>
        </is>
      </c>
      <c r="Z30" s="21" t="inlineStr">
        <is>
          <t>2026-06-05</t>
        </is>
      </c>
      <c r="AA30" s="22" t="n">
        <v>21.0261548385</v>
      </c>
      <c r="AB30" s="22" t="n">
        <v>105.914182238</v>
      </c>
      <c r="AC30" s="21" t="inlineStr">
        <is>
          <t>OK</t>
        </is>
      </c>
      <c r="AD30" s="21" t="inlineStr">
        <is>
          <t>Sẵn sàng lập kế hoạch ngày hôm sau</t>
        </is>
      </c>
    </row>
    <row r="31" ht="18" customHeight="1" s="17">
      <c r="A31" s="23" t="inlineStr">
        <is>
          <t>V030</t>
        </is>
      </c>
      <c r="B31" s="23" t="inlineStr">
        <is>
          <t>29C-54110</t>
        </is>
      </c>
      <c r="C31" s="23" t="inlineStr">
        <is>
          <t>8T</t>
        </is>
      </c>
      <c r="D31" s="23" t="inlineStr">
        <is>
          <t>Phân phối</t>
        </is>
      </c>
      <c r="E31" s="32" t="n">
        <v>8000</v>
      </c>
      <c r="F31" s="32" t="n">
        <v>45</v>
      </c>
      <c r="G31" s="23" t="inlineStr">
        <is>
          <t>No</t>
        </is>
      </c>
      <c r="H31" s="23" t="inlineStr">
        <is>
          <t>DRV030</t>
        </is>
      </c>
      <c r="I31" s="23" t="inlineStr">
        <is>
          <t>Tài xế 30</t>
        </is>
      </c>
      <c r="J31" s="23" t="inlineStr">
        <is>
          <t>PK_LINFOX_VSIP</t>
        </is>
      </c>
      <c r="K31" s="23" t="inlineStr">
        <is>
          <t>Kho Linfox KCN VSIP Bắc Ninh</t>
        </is>
      </c>
      <c r="L31" s="23" t="inlineStr">
        <is>
          <t>Đông Bắc</t>
        </is>
      </c>
      <c r="M31" s="23" t="inlineStr">
        <is>
          <t>06:00</t>
        </is>
      </c>
      <c r="N31" s="23" t="inlineStr">
        <is>
          <t>18:00</t>
        </is>
      </c>
      <c r="O31" s="24" t="n">
        <v>10</v>
      </c>
      <c r="P31" s="32" t="n">
        <v>5</v>
      </c>
      <c r="Q31" s="33" t="n">
        <v>0.28</v>
      </c>
      <c r="R31" s="34">
        <f>Q31*'03_Cost_Constraints'!$B$3</f>
        <v/>
      </c>
      <c r="S31" s="34">
        <f>R31*1.15</f>
        <v/>
      </c>
      <c r="T31" s="35" t="n">
        <v>650000</v>
      </c>
      <c r="U31" s="35" t="n">
        <v>430000</v>
      </c>
      <c r="V31" s="32" t="n">
        <v>45</v>
      </c>
      <c r="W31" s="23" t="inlineStr">
        <is>
          <t>No</t>
        </is>
      </c>
      <c r="X31" s="23" t="inlineStr">
        <is>
          <t>Main-road only</t>
        </is>
      </c>
      <c r="Y31" s="23" t="inlineStr">
        <is>
          <t>Available</t>
        </is>
      </c>
      <c r="Z31" s="23" t="inlineStr">
        <is>
          <t>2026-06-05</t>
        </is>
      </c>
      <c r="AA31" s="24" t="n">
        <v>21.082707</v>
      </c>
      <c r="AB31" s="24" t="n">
        <v>105.997949</v>
      </c>
      <c r="AC31" s="23" t="inlineStr">
        <is>
          <t>OK</t>
        </is>
      </c>
      <c r="AD31" s="23" t="inlineStr">
        <is>
          <t>Sẵn sàng lập kế hoạch ngày hôm sau</t>
        </is>
      </c>
    </row>
    <row r="32" ht="18" customHeight="1" s="17">
      <c r="A32" s="21" t="inlineStr">
        <is>
          <t>V031</t>
        </is>
      </c>
      <c r="B32" s="21" t="inlineStr">
        <is>
          <t>30F-54247</t>
        </is>
      </c>
      <c r="C32" s="21" t="inlineStr">
        <is>
          <t>8T</t>
        </is>
      </c>
      <c r="D32" s="21" t="inlineStr">
        <is>
          <t>Phân phối</t>
        </is>
      </c>
      <c r="E32" s="28" t="n">
        <v>8000</v>
      </c>
      <c r="F32" s="28" t="n">
        <v>45</v>
      </c>
      <c r="G32" s="21" t="inlineStr">
        <is>
          <t>No</t>
        </is>
      </c>
      <c r="H32" s="21" t="inlineStr">
        <is>
          <t>DRV031</t>
        </is>
      </c>
      <c r="I32" s="21" t="inlineStr">
        <is>
          <t>Tài xế 31</t>
        </is>
      </c>
      <c r="J32" s="21" t="inlineStr">
        <is>
          <t>PK_HY_MYHAO</t>
        </is>
      </c>
      <c r="K32" s="21" t="inlineStr">
        <is>
          <t>Kho/Nhà máy khách hàng Mỹ Hào</t>
        </is>
      </c>
      <c r="L32" s="21" t="inlineStr">
        <is>
          <t>Tây Bắc</t>
        </is>
      </c>
      <c r="M32" s="21" t="inlineStr">
        <is>
          <t>06:00</t>
        </is>
      </c>
      <c r="N32" s="21" t="inlineStr">
        <is>
          <t>18:00</t>
        </is>
      </c>
      <c r="O32" s="22" t="n">
        <v>10</v>
      </c>
      <c r="P32" s="28" t="n">
        <v>5</v>
      </c>
      <c r="Q32" s="29" t="n">
        <v>0.28</v>
      </c>
      <c r="R32" s="30">
        <f>Q32*'03_Cost_Constraints'!$B$3</f>
        <v/>
      </c>
      <c r="S32" s="30">
        <f>R32*1.15</f>
        <v/>
      </c>
      <c r="T32" s="31" t="n">
        <v>650000</v>
      </c>
      <c r="U32" s="31" t="n">
        <v>430000</v>
      </c>
      <c r="V32" s="28" t="n">
        <v>45</v>
      </c>
      <c r="W32" s="21" t="inlineStr">
        <is>
          <t>No</t>
        </is>
      </c>
      <c r="X32" s="21" t="inlineStr">
        <is>
          <t>Main-road only</t>
        </is>
      </c>
      <c r="Y32" s="21" t="inlineStr">
        <is>
          <t>Available</t>
        </is>
      </c>
      <c r="Z32" s="21" t="inlineStr">
        <is>
          <t>2026-06-05</t>
        </is>
      </c>
      <c r="AA32" s="22" t="n">
        <v>20.9329</v>
      </c>
      <c r="AB32" s="22" t="n">
        <v>106.065</v>
      </c>
      <c r="AC32" s="21" t="inlineStr">
        <is>
          <t>OK</t>
        </is>
      </c>
      <c r="AD32" s="21" t="inlineStr">
        <is>
          <t>Sẵn sàng lập kế hoạch ngày hôm sau</t>
        </is>
      </c>
    </row>
    <row r="33" ht="18" customHeight="1" s="17">
      <c r="A33" s="23" t="inlineStr">
        <is>
          <t>V032</t>
        </is>
      </c>
      <c r="B33" s="23" t="inlineStr">
        <is>
          <t>31F-54384</t>
        </is>
      </c>
      <c r="C33" s="23" t="inlineStr">
        <is>
          <t>8T</t>
        </is>
      </c>
      <c r="D33" s="23" t="inlineStr">
        <is>
          <t>Phân phối</t>
        </is>
      </c>
      <c r="E33" s="32" t="n">
        <v>8000</v>
      </c>
      <c r="F33" s="32" t="n">
        <v>45</v>
      </c>
      <c r="G33" s="23" t="inlineStr">
        <is>
          <t>No</t>
        </is>
      </c>
      <c r="H33" s="23" t="inlineStr">
        <is>
          <t>DRV032</t>
        </is>
      </c>
      <c r="I33" s="23" t="inlineStr">
        <is>
          <t>Tài xế 32</t>
        </is>
      </c>
      <c r="J33" s="23" t="inlineStr">
        <is>
          <t>PK_HP_DINHVU</t>
        </is>
      </c>
      <c r="K33" s="23" t="inlineStr">
        <is>
          <t>Kho Hải Phòng - Đình Vũ</t>
        </is>
      </c>
      <c r="L33" s="23" t="inlineStr">
        <is>
          <t>Tây Bắc</t>
        </is>
      </c>
      <c r="M33" s="23" t="inlineStr">
        <is>
          <t>06:00</t>
        </is>
      </c>
      <c r="N33" s="23" t="inlineStr">
        <is>
          <t>18:00</t>
        </is>
      </c>
      <c r="O33" s="24" t="n">
        <v>10</v>
      </c>
      <c r="P33" s="32" t="n">
        <v>5</v>
      </c>
      <c r="Q33" s="33" t="n">
        <v>0.28</v>
      </c>
      <c r="R33" s="34">
        <f>Q33*'03_Cost_Constraints'!$B$3</f>
        <v/>
      </c>
      <c r="S33" s="34">
        <f>R33*1.15</f>
        <v/>
      </c>
      <c r="T33" s="35" t="n">
        <v>650000</v>
      </c>
      <c r="U33" s="35" t="n">
        <v>430000</v>
      </c>
      <c r="V33" s="32" t="n">
        <v>45</v>
      </c>
      <c r="W33" s="23" t="inlineStr">
        <is>
          <t>No</t>
        </is>
      </c>
      <c r="X33" s="23" t="inlineStr">
        <is>
          <t>Main-road only</t>
        </is>
      </c>
      <c r="Y33" s="23" t="inlineStr">
        <is>
          <t>Available</t>
        </is>
      </c>
      <c r="Z33" s="23" t="inlineStr">
        <is>
          <t>2026-06-05</t>
        </is>
      </c>
      <c r="AA33" s="24" t="n">
        <v>20.8425</v>
      </c>
      <c r="AB33" s="24" t="n">
        <v>106.77</v>
      </c>
      <c r="AC33" s="23" t="inlineStr">
        <is>
          <t>OK</t>
        </is>
      </c>
      <c r="AD33" s="23" t="inlineStr">
        <is>
          <t>Sẵn sàng lập kế hoạch ngày hôm sau</t>
        </is>
      </c>
    </row>
    <row r="34" ht="18" customHeight="1" s="17">
      <c r="A34" s="21" t="inlineStr">
        <is>
          <t>V033</t>
        </is>
      </c>
      <c r="B34" s="21" t="inlineStr">
        <is>
          <t>34C-54521</t>
        </is>
      </c>
      <c r="C34" s="21" t="inlineStr">
        <is>
          <t>8T</t>
        </is>
      </c>
      <c r="D34" s="21" t="inlineStr">
        <is>
          <t>Phân phối</t>
        </is>
      </c>
      <c r="E34" s="28" t="n">
        <v>8000</v>
      </c>
      <c r="F34" s="28" t="n">
        <v>45</v>
      </c>
      <c r="G34" s="21" t="inlineStr">
        <is>
          <t>No</t>
        </is>
      </c>
      <c r="H34" s="21" t="inlineStr">
        <is>
          <t>DRV033</t>
        </is>
      </c>
      <c r="I34" s="21" t="inlineStr">
        <is>
          <t>Tài xế 33</t>
        </is>
      </c>
      <c r="J34" s="21" t="inlineStr">
        <is>
          <t>PK_TH_QX</t>
        </is>
      </c>
      <c r="K34" s="21" t="inlineStr">
        <is>
          <t>Kho DC Thanh Hóa - Quảng Xương</t>
        </is>
      </c>
      <c r="L34" s="21" t="inlineStr">
        <is>
          <t>Tây Bắc</t>
        </is>
      </c>
      <c r="M34" s="21" t="inlineStr">
        <is>
          <t>06:00</t>
        </is>
      </c>
      <c r="N34" s="21" t="inlineStr">
        <is>
          <t>18:00</t>
        </is>
      </c>
      <c r="O34" s="22" t="n">
        <v>10</v>
      </c>
      <c r="P34" s="28" t="n">
        <v>5</v>
      </c>
      <c r="Q34" s="29" t="n">
        <v>0.28</v>
      </c>
      <c r="R34" s="30">
        <f>Q34*'03_Cost_Constraints'!$B$3</f>
        <v/>
      </c>
      <c r="S34" s="30">
        <f>R34*1.15</f>
        <v/>
      </c>
      <c r="T34" s="31" t="n">
        <v>650000</v>
      </c>
      <c r="U34" s="31" t="n">
        <v>430000</v>
      </c>
      <c r="V34" s="28" t="n">
        <v>45</v>
      </c>
      <c r="W34" s="21" t="inlineStr">
        <is>
          <t>No</t>
        </is>
      </c>
      <c r="X34" s="21" t="inlineStr">
        <is>
          <t>Main-road only</t>
        </is>
      </c>
      <c r="Y34" s="21" t="inlineStr">
        <is>
          <t>Available</t>
        </is>
      </c>
      <c r="Z34" s="21" t="inlineStr">
        <is>
          <t>2026-06-05</t>
        </is>
      </c>
      <c r="AA34" s="22" t="n">
        <v>19.731</v>
      </c>
      <c r="AB34" s="22" t="n">
        <v>105.815</v>
      </c>
      <c r="AC34" s="21" t="inlineStr">
        <is>
          <t>OK</t>
        </is>
      </c>
      <c r="AD34" s="21" t="inlineStr">
        <is>
          <t>Sẵn sàng lập kế hoạch ngày hôm sau</t>
        </is>
      </c>
    </row>
    <row r="35" ht="18" customHeight="1" s="17">
      <c r="A35" s="23" t="inlineStr">
        <is>
          <t>V034</t>
        </is>
      </c>
      <c r="B35" s="23" t="inlineStr">
        <is>
          <t>36C-54658</t>
        </is>
      </c>
      <c r="C35" s="23" t="inlineStr">
        <is>
          <t>8T</t>
        </is>
      </c>
      <c r="D35" s="23" t="inlineStr">
        <is>
          <t>Phân phối</t>
        </is>
      </c>
      <c r="E35" s="32" t="n">
        <v>8000</v>
      </c>
      <c r="F35" s="32" t="n">
        <v>45</v>
      </c>
      <c r="G35" s="23" t="inlineStr">
        <is>
          <t>No</t>
        </is>
      </c>
      <c r="H35" s="23" t="inlineStr">
        <is>
          <t>DRV034</t>
        </is>
      </c>
      <c r="I35" s="23" t="inlineStr">
        <is>
          <t>Tài xế 34</t>
        </is>
      </c>
      <c r="J35" s="23" t="inlineStr">
        <is>
          <t>PK_NA_BACVINH</t>
        </is>
      </c>
      <c r="K35" s="23" t="inlineStr">
        <is>
          <t>Kho DC Vinh - KCN Bắc Vinh</t>
        </is>
      </c>
      <c r="L35" s="23" t="inlineStr">
        <is>
          <t>Đông Bắc</t>
        </is>
      </c>
      <c r="M35" s="23" t="inlineStr">
        <is>
          <t>06:00</t>
        </is>
      </c>
      <c r="N35" s="23" t="inlineStr">
        <is>
          <t>18:00</t>
        </is>
      </c>
      <c r="O35" s="24" t="n">
        <v>10</v>
      </c>
      <c r="P35" s="32" t="n">
        <v>5</v>
      </c>
      <c r="Q35" s="33" t="n">
        <v>0.28</v>
      </c>
      <c r="R35" s="34">
        <f>Q35*'03_Cost_Constraints'!$B$3</f>
        <v/>
      </c>
      <c r="S35" s="34">
        <f>R35*1.15</f>
        <v/>
      </c>
      <c r="T35" s="35" t="n">
        <v>650000</v>
      </c>
      <c r="U35" s="35" t="n">
        <v>430000</v>
      </c>
      <c r="V35" s="32" t="n">
        <v>45</v>
      </c>
      <c r="W35" s="23" t="inlineStr">
        <is>
          <t>No</t>
        </is>
      </c>
      <c r="X35" s="23" t="inlineStr">
        <is>
          <t>Main-road only</t>
        </is>
      </c>
      <c r="Y35" s="23" t="inlineStr">
        <is>
          <t>Available</t>
        </is>
      </c>
      <c r="Z35" s="23" t="inlineStr">
        <is>
          <t>2026-06-05</t>
        </is>
      </c>
      <c r="AA35" s="24" t="n">
        <v>18.733</v>
      </c>
      <c r="AB35" s="24" t="n">
        <v>105.681</v>
      </c>
      <c r="AC35" s="23" t="inlineStr">
        <is>
          <t>OK</t>
        </is>
      </c>
      <c r="AD35" s="23" t="inlineStr">
        <is>
          <t>Sẵn sàng lập kế hoạch ngày hôm sau</t>
        </is>
      </c>
    </row>
    <row r="36" ht="18" customHeight="1" s="17">
      <c r="A36" s="21" t="inlineStr">
        <is>
          <t>V035</t>
        </is>
      </c>
      <c r="B36" s="21" t="inlineStr">
        <is>
          <t>17C-54795</t>
        </is>
      </c>
      <c r="C36" s="21" t="inlineStr">
        <is>
          <t>3 chân</t>
        </is>
      </c>
      <c r="D36" s="21" t="inlineStr">
        <is>
          <t>Phân phối</t>
        </is>
      </c>
      <c r="E36" s="28" t="n">
        <v>15000</v>
      </c>
      <c r="F36" s="28" t="n">
        <v>70</v>
      </c>
      <c r="G36" s="21" t="inlineStr">
        <is>
          <t>No</t>
        </is>
      </c>
      <c r="H36" s="21" t="inlineStr">
        <is>
          <t>DRV035</t>
        </is>
      </c>
      <c r="I36" s="21" t="inlineStr">
        <is>
          <t>Tài xế 35</t>
        </is>
      </c>
      <c r="J36" s="21" t="inlineStr">
        <is>
          <t>PK_HPL_LB</t>
        </is>
      </c>
      <c r="K36" s="21" t="inlineStr">
        <is>
          <t>HPL Depot Long Biên - 20 Thạch Bàn</t>
        </is>
      </c>
      <c r="L36" s="21" t="inlineStr">
        <is>
          <t>Bắc Trung Bộ</t>
        </is>
      </c>
      <c r="M36" s="21" t="inlineStr">
        <is>
          <t>06:00</t>
        </is>
      </c>
      <c r="N36" s="21" t="inlineStr">
        <is>
          <t>18:00</t>
        </is>
      </c>
      <c r="O36" s="22" t="n">
        <v>10</v>
      </c>
      <c r="P36" s="28" t="n">
        <v>3</v>
      </c>
      <c r="Q36" s="29" t="n">
        <v>0.34</v>
      </c>
      <c r="R36" s="30">
        <f>Q36*'03_Cost_Constraints'!$B$3</f>
        <v/>
      </c>
      <c r="S36" s="30">
        <f>R36*1.15</f>
        <v/>
      </c>
      <c r="T36" s="31" t="n">
        <v>900000</v>
      </c>
      <c r="U36" s="31" t="n">
        <v>550000</v>
      </c>
      <c r="V36" s="28" t="n">
        <v>50</v>
      </c>
      <c r="W36" s="21" t="inlineStr">
        <is>
          <t>No</t>
        </is>
      </c>
      <c r="X36" s="21" t="inlineStr">
        <is>
          <t>Main-road only</t>
        </is>
      </c>
      <c r="Y36" s="21" t="inlineStr">
        <is>
          <t>Available</t>
        </is>
      </c>
      <c r="Z36" s="21" t="inlineStr">
        <is>
          <t>2026-06-05</t>
        </is>
      </c>
      <c r="AA36" s="22" t="n">
        <v>21.0261548385</v>
      </c>
      <c r="AB36" s="22" t="n">
        <v>105.914182238</v>
      </c>
      <c r="AC36" s="21" t="inlineStr">
        <is>
          <t>OK</t>
        </is>
      </c>
      <c r="AD36" s="21" t="inlineStr">
        <is>
          <t>Sẵn sàng lập kế hoạch ngày hôm sau</t>
        </is>
      </c>
    </row>
    <row r="37" ht="18" customHeight="1" s="17">
      <c r="A37" s="23" t="inlineStr">
        <is>
          <t>V036</t>
        </is>
      </c>
      <c r="B37" s="23" t="inlineStr">
        <is>
          <t>29C-54932</t>
        </is>
      </c>
      <c r="C37" s="23" t="inlineStr">
        <is>
          <t>3 chân</t>
        </is>
      </c>
      <c r="D37" s="23" t="inlineStr">
        <is>
          <t>Phân phối</t>
        </is>
      </c>
      <c r="E37" s="32" t="n">
        <v>15000</v>
      </c>
      <c r="F37" s="32" t="n">
        <v>70</v>
      </c>
      <c r="G37" s="23" t="inlineStr">
        <is>
          <t>No</t>
        </is>
      </c>
      <c r="H37" s="23" t="inlineStr">
        <is>
          <t>DRV036</t>
        </is>
      </c>
      <c r="I37" s="23" t="inlineStr">
        <is>
          <t>Tài xế 36</t>
        </is>
      </c>
      <c r="J37" s="23" t="inlineStr">
        <is>
          <t>PK_LINFOX_VSIP</t>
        </is>
      </c>
      <c r="K37" s="23" t="inlineStr">
        <is>
          <t>Kho Linfox KCN VSIP Bắc Ninh</t>
        </is>
      </c>
      <c r="L37" s="23" t="inlineStr">
        <is>
          <t>Đông Bắc</t>
        </is>
      </c>
      <c r="M37" s="23" t="inlineStr">
        <is>
          <t>06:00</t>
        </is>
      </c>
      <c r="N37" s="23" t="inlineStr">
        <is>
          <t>18:00</t>
        </is>
      </c>
      <c r="O37" s="24" t="n">
        <v>10</v>
      </c>
      <c r="P37" s="32" t="n">
        <v>3</v>
      </c>
      <c r="Q37" s="33" t="n">
        <v>0.34</v>
      </c>
      <c r="R37" s="34">
        <f>Q37*'03_Cost_Constraints'!$B$3</f>
        <v/>
      </c>
      <c r="S37" s="34">
        <f>R37*1.15</f>
        <v/>
      </c>
      <c r="T37" s="35" t="n">
        <v>900000</v>
      </c>
      <c r="U37" s="35" t="n">
        <v>550000</v>
      </c>
      <c r="V37" s="32" t="n">
        <v>50</v>
      </c>
      <c r="W37" s="23" t="inlineStr">
        <is>
          <t>No</t>
        </is>
      </c>
      <c r="X37" s="23" t="inlineStr">
        <is>
          <t>Main-road only</t>
        </is>
      </c>
      <c r="Y37" s="23" t="inlineStr">
        <is>
          <t>Available</t>
        </is>
      </c>
      <c r="Z37" s="23" t="inlineStr">
        <is>
          <t>2026-06-05</t>
        </is>
      </c>
      <c r="AA37" s="24" t="n">
        <v>21.082707</v>
      </c>
      <c r="AB37" s="24" t="n">
        <v>105.997949</v>
      </c>
      <c r="AC37" s="23" t="inlineStr">
        <is>
          <t>OK</t>
        </is>
      </c>
      <c r="AD37" s="23" t="inlineStr">
        <is>
          <t>Sẵn sàng lập kế hoạch ngày hôm sau</t>
        </is>
      </c>
    </row>
    <row r="38" ht="18" customHeight="1" s="17">
      <c r="A38" s="21" t="inlineStr">
        <is>
          <t>V037</t>
        </is>
      </c>
      <c r="B38" s="21" t="inlineStr">
        <is>
          <t>30F-55069</t>
        </is>
      </c>
      <c r="C38" s="21" t="inlineStr">
        <is>
          <t>3 chân</t>
        </is>
      </c>
      <c r="D38" s="21" t="inlineStr">
        <is>
          <t>Phân phối</t>
        </is>
      </c>
      <c r="E38" s="28" t="n">
        <v>15000</v>
      </c>
      <c r="F38" s="28" t="n">
        <v>70</v>
      </c>
      <c r="G38" s="21" t="inlineStr">
        <is>
          <t>No</t>
        </is>
      </c>
      <c r="H38" s="21" t="inlineStr">
        <is>
          <t>DRV037</t>
        </is>
      </c>
      <c r="I38" s="21" t="inlineStr">
        <is>
          <t>Tài xế 37</t>
        </is>
      </c>
      <c r="J38" s="21" t="inlineStr">
        <is>
          <t>PK_HY_MYHAO</t>
        </is>
      </c>
      <c r="K38" s="21" t="inlineStr">
        <is>
          <t>Kho/Nhà máy khách hàng Mỹ Hào</t>
        </is>
      </c>
      <c r="L38" s="21" t="inlineStr">
        <is>
          <t>Đông Bắc</t>
        </is>
      </c>
      <c r="M38" s="21" t="inlineStr">
        <is>
          <t>06:00</t>
        </is>
      </c>
      <c r="N38" s="21" t="inlineStr">
        <is>
          <t>18:00</t>
        </is>
      </c>
      <c r="O38" s="22" t="n">
        <v>10</v>
      </c>
      <c r="P38" s="28" t="n">
        <v>3</v>
      </c>
      <c r="Q38" s="29" t="n">
        <v>0.34</v>
      </c>
      <c r="R38" s="30">
        <f>Q38*'03_Cost_Constraints'!$B$3</f>
        <v/>
      </c>
      <c r="S38" s="30">
        <f>R38*1.15</f>
        <v/>
      </c>
      <c r="T38" s="31" t="n">
        <v>900000</v>
      </c>
      <c r="U38" s="31" t="n">
        <v>550000</v>
      </c>
      <c r="V38" s="28" t="n">
        <v>50</v>
      </c>
      <c r="W38" s="21" t="inlineStr">
        <is>
          <t>No</t>
        </is>
      </c>
      <c r="X38" s="21" t="inlineStr">
        <is>
          <t>Main-road only</t>
        </is>
      </c>
      <c r="Y38" s="21" t="inlineStr">
        <is>
          <t>Available</t>
        </is>
      </c>
      <c r="Z38" s="21" t="inlineStr">
        <is>
          <t>2026-06-05</t>
        </is>
      </c>
      <c r="AA38" s="22" t="n">
        <v>20.9329</v>
      </c>
      <c r="AB38" s="22" t="n">
        <v>106.065</v>
      </c>
      <c r="AC38" s="21" t="inlineStr">
        <is>
          <t>OK</t>
        </is>
      </c>
      <c r="AD38" s="21" t="inlineStr">
        <is>
          <t>Sẵn sàng lập kế hoạch ngày hôm sau</t>
        </is>
      </c>
    </row>
    <row r="39" ht="18" customHeight="1" s="17">
      <c r="A39" s="23" t="inlineStr">
        <is>
          <t>V038</t>
        </is>
      </c>
      <c r="B39" s="23" t="inlineStr">
        <is>
          <t>31F-55206</t>
        </is>
      </c>
      <c r="C39" s="23" t="inlineStr">
        <is>
          <t>3 chân</t>
        </is>
      </c>
      <c r="D39" s="23" t="inlineStr">
        <is>
          <t>Phân phối</t>
        </is>
      </c>
      <c r="E39" s="32" t="n">
        <v>15000</v>
      </c>
      <c r="F39" s="32" t="n">
        <v>70</v>
      </c>
      <c r="G39" s="23" t="inlineStr">
        <is>
          <t>No</t>
        </is>
      </c>
      <c r="H39" s="23" t="inlineStr">
        <is>
          <t>DRV038</t>
        </is>
      </c>
      <c r="I39" s="23" t="inlineStr">
        <is>
          <t>Tài xế 38</t>
        </is>
      </c>
      <c r="J39" s="23" t="inlineStr">
        <is>
          <t>PK_HP_DINHVU</t>
        </is>
      </c>
      <c r="K39" s="23" t="inlineStr">
        <is>
          <t>Kho Hải Phòng - Đình Vũ</t>
        </is>
      </c>
      <c r="L39" s="23" t="inlineStr">
        <is>
          <t>Bắc Trung Bộ</t>
        </is>
      </c>
      <c r="M39" s="23" t="inlineStr">
        <is>
          <t>06:00</t>
        </is>
      </c>
      <c r="N39" s="23" t="inlineStr">
        <is>
          <t>18:00</t>
        </is>
      </c>
      <c r="O39" s="24" t="n">
        <v>10</v>
      </c>
      <c r="P39" s="32" t="n">
        <v>3</v>
      </c>
      <c r="Q39" s="33" t="n">
        <v>0.34</v>
      </c>
      <c r="R39" s="34">
        <f>Q39*'03_Cost_Constraints'!$B$3</f>
        <v/>
      </c>
      <c r="S39" s="34">
        <f>R39*1.15</f>
        <v/>
      </c>
      <c r="T39" s="35" t="n">
        <v>900000</v>
      </c>
      <c r="U39" s="35" t="n">
        <v>550000</v>
      </c>
      <c r="V39" s="32" t="n">
        <v>50</v>
      </c>
      <c r="W39" s="23" t="inlineStr">
        <is>
          <t>No</t>
        </is>
      </c>
      <c r="X39" s="23" t="inlineStr">
        <is>
          <t>Main-road only</t>
        </is>
      </c>
      <c r="Y39" s="23" t="inlineStr">
        <is>
          <t>Available</t>
        </is>
      </c>
      <c r="Z39" s="23" t="inlineStr">
        <is>
          <t>2026-06-05</t>
        </is>
      </c>
      <c r="AA39" s="24" t="n">
        <v>20.8425</v>
      </c>
      <c r="AB39" s="24" t="n">
        <v>106.77</v>
      </c>
      <c r="AC39" s="23" t="inlineStr">
        <is>
          <t>OK</t>
        </is>
      </c>
      <c r="AD39" s="23" t="inlineStr">
        <is>
          <t>Sẵn sàng lập kế hoạch ngày hôm sau</t>
        </is>
      </c>
    </row>
    <row r="40" ht="18" customHeight="1" s="17">
      <c r="A40" s="21" t="inlineStr">
        <is>
          <t>V039</t>
        </is>
      </c>
      <c r="B40" s="21" t="inlineStr">
        <is>
          <t>34C-55343</t>
        </is>
      </c>
      <c r="C40" s="21" t="inlineStr">
        <is>
          <t>4 chân</t>
        </is>
      </c>
      <c r="D40" s="21" t="inlineStr">
        <is>
          <t>Phân phối</t>
        </is>
      </c>
      <c r="E40" s="28" t="n">
        <v>18000</v>
      </c>
      <c r="F40" s="28" t="n">
        <v>90</v>
      </c>
      <c r="G40" s="21" t="inlineStr">
        <is>
          <t>No</t>
        </is>
      </c>
      <c r="H40" s="21" t="inlineStr">
        <is>
          <t>DRV039</t>
        </is>
      </c>
      <c r="I40" s="21" t="inlineStr">
        <is>
          <t>Tài xế 39</t>
        </is>
      </c>
      <c r="J40" s="21" t="inlineStr">
        <is>
          <t>PK_TH_QX</t>
        </is>
      </c>
      <c r="K40" s="21" t="inlineStr">
        <is>
          <t>Kho DC Thanh Hóa - Quảng Xương</t>
        </is>
      </c>
      <c r="L40" s="21" t="inlineStr">
        <is>
          <t>Đông Bắc</t>
        </is>
      </c>
      <c r="M40" s="21" t="inlineStr">
        <is>
          <t>06:00</t>
        </is>
      </c>
      <c r="N40" s="21" t="inlineStr">
        <is>
          <t>18:00</t>
        </is>
      </c>
      <c r="O40" s="22" t="n">
        <v>10</v>
      </c>
      <c r="P40" s="28" t="n">
        <v>3</v>
      </c>
      <c r="Q40" s="29" t="n">
        <v>0.39</v>
      </c>
      <c r="R40" s="30">
        <f>Q40*'03_Cost_Constraints'!$B$3</f>
        <v/>
      </c>
      <c r="S40" s="30">
        <f>R40*1.15</f>
        <v/>
      </c>
      <c r="T40" s="31" t="n">
        <v>1100000</v>
      </c>
      <c r="U40" s="31" t="n">
        <v>650000</v>
      </c>
      <c r="V40" s="28" t="n">
        <v>50</v>
      </c>
      <c r="W40" s="21" t="inlineStr">
        <is>
          <t>No</t>
        </is>
      </c>
      <c r="X40" s="21" t="inlineStr">
        <is>
          <t>Main-road only</t>
        </is>
      </c>
      <c r="Y40" s="21" t="inlineStr">
        <is>
          <t>Available</t>
        </is>
      </c>
      <c r="Z40" s="21" t="inlineStr">
        <is>
          <t>2026-06-05</t>
        </is>
      </c>
      <c r="AA40" s="22" t="n">
        <v>19.731</v>
      </c>
      <c r="AB40" s="22" t="n">
        <v>105.815</v>
      </c>
      <c r="AC40" s="21" t="inlineStr">
        <is>
          <t>OK</t>
        </is>
      </c>
      <c r="AD40" s="21" t="inlineStr">
        <is>
          <t>Sẵn sàng lập kế hoạch ngày hôm sau</t>
        </is>
      </c>
    </row>
    <row r="41" ht="18" customHeight="1" s="17">
      <c r="A41" s="23" t="inlineStr">
        <is>
          <t>V040</t>
        </is>
      </c>
      <c r="B41" s="23" t="inlineStr">
        <is>
          <t>36C-55480</t>
        </is>
      </c>
      <c r="C41" s="23" t="inlineStr">
        <is>
          <t>4 chân</t>
        </is>
      </c>
      <c r="D41" s="23" t="inlineStr">
        <is>
          <t>Phân phối</t>
        </is>
      </c>
      <c r="E41" s="32" t="n">
        <v>18000</v>
      </c>
      <c r="F41" s="32" t="n">
        <v>90</v>
      </c>
      <c r="G41" s="23" t="inlineStr">
        <is>
          <t>No</t>
        </is>
      </c>
      <c r="H41" s="23" t="inlineStr">
        <is>
          <t>DRV040</t>
        </is>
      </c>
      <c r="I41" s="23" t="inlineStr">
        <is>
          <t>Tài xế 40</t>
        </is>
      </c>
      <c r="J41" s="23" t="inlineStr">
        <is>
          <t>PK_NA_BACVINH</t>
        </is>
      </c>
      <c r="K41" s="23" t="inlineStr">
        <is>
          <t>Kho DC Vinh - KCN Bắc Vinh</t>
        </is>
      </c>
      <c r="L41" s="23" t="inlineStr">
        <is>
          <t>Bắc Trung Bộ</t>
        </is>
      </c>
      <c r="M41" s="23" t="inlineStr">
        <is>
          <t>06:00</t>
        </is>
      </c>
      <c r="N41" s="23" t="inlineStr">
        <is>
          <t>18:00</t>
        </is>
      </c>
      <c r="O41" s="24" t="n">
        <v>10</v>
      </c>
      <c r="P41" s="32" t="n">
        <v>3</v>
      </c>
      <c r="Q41" s="33" t="n">
        <v>0.39</v>
      </c>
      <c r="R41" s="34">
        <f>Q41*'03_Cost_Constraints'!$B$3</f>
        <v/>
      </c>
      <c r="S41" s="34">
        <f>R41*1.15</f>
        <v/>
      </c>
      <c r="T41" s="35" t="n">
        <v>1100000</v>
      </c>
      <c r="U41" s="35" t="n">
        <v>650000</v>
      </c>
      <c r="V41" s="32" t="n">
        <v>50</v>
      </c>
      <c r="W41" s="23" t="inlineStr">
        <is>
          <t>No</t>
        </is>
      </c>
      <c r="X41" s="23" t="inlineStr">
        <is>
          <t>Main-road only</t>
        </is>
      </c>
      <c r="Y41" s="23" t="inlineStr">
        <is>
          <t>Available</t>
        </is>
      </c>
      <c r="Z41" s="23" t="inlineStr">
        <is>
          <t>2026-06-05</t>
        </is>
      </c>
      <c r="AA41" s="24" t="n">
        <v>18.733</v>
      </c>
      <c r="AB41" s="24" t="n">
        <v>105.681</v>
      </c>
      <c r="AC41" s="23" t="inlineStr">
        <is>
          <t>OK</t>
        </is>
      </c>
      <c r="AD41" s="23" t="inlineStr">
        <is>
          <t>Sẵn sàng lập kế hoạch ngày hôm sau</t>
        </is>
      </c>
    </row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2"/>
    <col width="15" customWidth="1" style="17" min="2" max="2"/>
    <col width="18" customWidth="1" style="17" min="3" max="3"/>
    <col width="16" customWidth="1" style="17" min="4" max="4"/>
    <col width="34" customWidth="1" style="17" min="5" max="5"/>
    <col width="16" customWidth="1" style="17" min="6" max="9"/>
    <col width="13" customWidth="1" style="17" min="7" max="7"/>
    <col width="30" customWidth="1" style="17" min="8" max="8"/>
    <col width="16" customWidth="1" style="17" min="9" max="9"/>
    <col width="36" customWidth="1" style="17" min="10" max="10"/>
    <col width="17" customWidth="1" style="17" min="11" max="12"/>
    <col width="17" customWidth="1" style="17" min="12" max="12"/>
    <col width="15" customWidth="1" style="17" min="13" max="14"/>
    <col width="15" customWidth="1" style="17" min="14" max="14"/>
    <col width="18" customWidth="1" style="17" min="15" max="15"/>
    <col width="34" customWidth="1" style="17" min="16" max="16"/>
    <col width="19" customWidth="1" style="17" min="17" max="18"/>
    <col width="19" customWidth="1" style="17" min="18" max="18"/>
    <col width="14" customWidth="1" style="17" min="19" max="20"/>
    <col width="14" customWidth="1" style="17" min="20" max="20"/>
    <col width="18" customWidth="1" style="17" min="21" max="32"/>
    <col width="18" customWidth="1" style="17" min="22" max="22"/>
    <col width="20" customWidth="1" style="17" min="23" max="23"/>
    <col width="13" customWidth="1" style="17" min="24" max="24"/>
    <col width="13" customWidth="1" style="17" min="25" max="25"/>
    <col width="13" customWidth="1" style="17" min="26" max="26"/>
    <col width="18" customWidth="1" style="17" min="27" max="27"/>
    <col width="26" customWidth="1" style="17" min="28" max="28"/>
    <col width="24" customWidth="1" style="17" min="29" max="29"/>
    <col width="17" customWidth="1" style="17" min="30" max="30"/>
    <col width="19" customWidth="1" style="17" min="31" max="31"/>
    <col width="24" customWidth="1" style="17" min="32" max="32"/>
    <col width="36" customWidth="1" style="17" min="33" max="33"/>
    <col width="17" customWidth="1" style="17" min="34" max="46"/>
    <col width="15" customWidth="1" style="17" min="35" max="35"/>
    <col width="15" customWidth="1" style="17" min="36" max="36"/>
    <col width="13" customWidth="1" style="17" min="37" max="37"/>
    <col width="13" customWidth="1" style="17" min="38" max="38"/>
    <col width="20" customWidth="1" style="17" min="39" max="39"/>
    <col width="18" customWidth="1" style="17" min="40" max="40"/>
    <col width="15" customWidth="1" style="17" min="41" max="41"/>
    <col width="21" customWidth="1" style="17" min="42" max="42"/>
    <col width="20" customWidth="1" style="17" min="43" max="43"/>
    <col width="28" customWidth="1" style="17" min="44" max="44"/>
    <col width="26" customWidth="1" style="17" min="45" max="45"/>
    <col width="25" customWidth="1" style="17" min="46" max="46"/>
    <col width="19" customWidth="1" style="17" min="47" max="47"/>
    <col width="23" customWidth="1" style="17" min="48" max="50"/>
    <col width="17" customWidth="1" style="17" min="49" max="49"/>
    <col width="24" customWidth="1" style="17" min="50" max="50"/>
    <col width="44" customWidth="1" style="17" min="51" max="51"/>
    <col width="19" customWidth="1" style="17" min="52" max="58"/>
    <col width="36" customWidth="1" style="17" min="53" max="53"/>
    <col width="19" customWidth="1" style="17" min="54" max="54"/>
    <col width="18" customWidth="1" style="17" min="55" max="55"/>
    <col width="15" customWidth="1" style="17" min="56" max="56"/>
    <col width="16" customWidth="1" style="17" min="57" max="57"/>
    <col width="22" customWidth="1" style="17" min="58" max="58"/>
    <col width="44" customWidth="1" style="17" min="59" max="59"/>
  </cols>
  <sheetData>
    <row r="1" ht="26" customHeight="1" s="17">
      <c r="A1" s="20" t="inlineStr">
        <is>
          <t>Scenario_ID</t>
        </is>
      </c>
      <c r="B1" s="20" t="inlineStr">
        <is>
          <t>Planning_Date</t>
        </is>
      </c>
      <c r="C1" s="20" t="inlineStr">
        <is>
          <t>Order_ID</t>
        </is>
      </c>
      <c r="D1" s="20" t="inlineStr">
        <is>
          <t>Customer_Group</t>
        </is>
      </c>
      <c r="E1" s="20" t="inlineStr">
        <is>
          <t>Customer_Name</t>
        </is>
      </c>
      <c r="F1" s="20" t="inlineStr">
        <is>
          <t>Channel</t>
        </is>
      </c>
      <c r="G1" s="20" t="inlineStr">
        <is>
          <t>SKU_Code</t>
        </is>
      </c>
      <c r="H1" s="20" t="inlineStr">
        <is>
          <t>Product_Group</t>
        </is>
      </c>
      <c r="I1" s="20" t="inlineStr">
        <is>
          <t>Pickup_ID</t>
        </is>
      </c>
      <c r="J1" s="20" t="inlineStr">
        <is>
          <t>Pickup_Name</t>
        </is>
      </c>
      <c r="K1" s="20" t="inlineStr">
        <is>
          <t>Pickup_Province</t>
        </is>
      </c>
      <c r="L1" s="20" t="inlineStr">
        <is>
          <t>Pickup_District</t>
        </is>
      </c>
      <c r="M1" s="20" t="inlineStr">
        <is>
          <t>Pickup_Lat</t>
        </is>
      </c>
      <c r="N1" s="20" t="inlineStr">
        <is>
          <t>Pickup_Lon</t>
        </is>
      </c>
      <c r="O1" s="20" t="inlineStr">
        <is>
          <t>Delivery_ID</t>
        </is>
      </c>
      <c r="P1" s="20" t="inlineStr">
        <is>
          <t>Delivery_Name</t>
        </is>
      </c>
      <c r="Q1" s="20" t="inlineStr">
        <is>
          <t>Delivery_Province</t>
        </is>
      </c>
      <c r="R1" s="20" t="inlineStr">
        <is>
          <t>Delivery_District</t>
        </is>
      </c>
      <c r="S1" s="20" t="inlineStr">
        <is>
          <t>Delivery_Lat</t>
        </is>
      </c>
      <c r="T1" s="20" t="inlineStr">
        <is>
          <t>Delivery_Lon</t>
        </is>
      </c>
      <c r="U1" s="20" t="inlineStr">
        <is>
          <t>Corridor</t>
        </is>
      </c>
      <c r="V1" s="20" t="inlineStr">
        <is>
          <t>Route_Axis</t>
        </is>
      </c>
      <c r="W1" s="20" t="inlineStr">
        <is>
          <t>Direct_Distance_km</t>
        </is>
      </c>
      <c r="X1" s="20" t="inlineStr">
        <is>
          <t>Weight_kg</t>
        </is>
      </c>
      <c r="Y1" s="20" t="inlineStr">
        <is>
          <t>Volume_m3</t>
        </is>
      </c>
      <c r="Z1" s="20" t="inlineStr">
        <is>
          <t>Pallet_Qty</t>
        </is>
      </c>
      <c r="AA1" s="20" t="inlineStr">
        <is>
          <t>Min_Vehicle_Type</t>
        </is>
      </c>
      <c r="AB1" s="20" t="inlineStr">
        <is>
          <t>Max_Vehicle_Type_Allowed</t>
        </is>
      </c>
      <c r="AC1" s="20" t="inlineStr">
        <is>
          <t>Required_Refrigeration</t>
        </is>
      </c>
      <c r="AD1" s="20" t="inlineStr">
        <is>
          <t>Can_Consolidate</t>
        </is>
      </c>
      <c r="AE1" s="20" t="inlineStr">
        <is>
          <t>Dedicated_Vehicle</t>
        </is>
      </c>
      <c r="AF1" s="20" t="inlineStr">
        <is>
          <t>Inner_City_Restriction</t>
        </is>
      </c>
      <c r="AG1" s="20" t="inlineStr">
        <is>
          <t>Access_Note</t>
        </is>
      </c>
      <c r="AH1" s="20" t="inlineStr">
        <is>
          <t>Pickup_TW_Start</t>
        </is>
      </c>
      <c r="AI1" s="20" t="inlineStr">
        <is>
          <t>Pickup_TW_End</t>
        </is>
      </c>
      <c r="AJ1" s="20" t="inlineStr">
        <is>
          <t>Drop_TW_Start</t>
        </is>
      </c>
      <c r="AK1" s="20" t="inlineStr">
        <is>
          <t>Drop_TW_End</t>
        </is>
      </c>
      <c r="AL1" s="20" t="inlineStr">
        <is>
          <t>TW_Flex_Min</t>
        </is>
      </c>
      <c r="AM1" s="20" t="inlineStr">
        <is>
          <t>Pickup_Service_Min</t>
        </is>
      </c>
      <c r="AN1" s="20" t="inlineStr">
        <is>
          <t>Drop_Service_Min</t>
        </is>
      </c>
      <c r="AO1" s="20" t="inlineStr">
        <is>
          <t>Lead_Time_Min</t>
        </is>
      </c>
      <c r="AP1" s="20" t="inlineStr">
        <is>
          <t>Freight_Revenue_VND</t>
        </is>
      </c>
      <c r="AQ1" s="20" t="inlineStr">
        <is>
          <t>Extra_Stop_Fee_VND</t>
        </is>
      </c>
      <c r="AR1" s="20" t="inlineStr">
        <is>
          <t>Waiting_Fee_Chargeable_VND</t>
        </is>
      </c>
      <c r="AS1" s="20" t="inlineStr">
        <is>
          <t>Late_Penalty_VND_per_30m</t>
        </is>
      </c>
      <c r="AT1" s="20" t="inlineStr">
        <is>
          <t>Customer_Priority</t>
        </is>
      </c>
      <c r="AU1" s="20" t="inlineStr">
        <is>
          <t>Contract_Route_ID</t>
        </is>
      </c>
      <c r="AV1" s="20" t="inlineStr">
        <is>
          <t>Source_System</t>
        </is>
      </c>
      <c r="AW1" s="20" t="inlineStr">
        <is>
          <t>Seed_Cluster_ID</t>
        </is>
      </c>
      <c r="AX1" s="20" t="inlineStr">
        <is>
          <t>Suggested_Vehicle_Type</t>
        </is>
      </c>
      <c r="AY1" s="20" t="inlineStr">
        <is>
          <t>Suggested_Action</t>
        </is>
      </c>
      <c r="AZ1" s="20" t="inlineStr">
        <is>
          <t>Validation_Status</t>
        </is>
      </c>
      <c r="BA1" s="20" t="inlineStr">
        <is>
          <t>Risk_Flag</t>
        </is>
      </c>
      <c r="BB1" s="20" t="inlineStr">
        <is>
          <t>Total_Service_Min</t>
        </is>
      </c>
      <c r="BC1" s="20" t="inlineStr">
        <is>
          <t>Direct_Drive_Min</t>
        </is>
      </c>
      <c r="BD1" s="20" t="inlineStr">
        <is>
          <t>Load_Class_kg</t>
        </is>
      </c>
      <c r="BE1" s="20" t="inlineStr">
        <is>
          <t>LeadTime_Check</t>
        </is>
      </c>
      <c r="BF1" s="20" t="inlineStr">
        <is>
          <t>Algorithm_Ready_Flag</t>
        </is>
      </c>
      <c r="BG1" s="20" t="inlineStr">
        <is>
          <t>Notes</t>
        </is>
      </c>
    </row>
    <row r="2" ht="18" customHeight="1" s="17">
      <c r="A2" s="21" t="inlineStr">
        <is>
          <t>S1</t>
        </is>
      </c>
      <c r="B2" s="21" t="inlineStr">
        <is>
          <t>2026-06-05</t>
        </is>
      </c>
      <c r="C2" s="21" t="inlineStr">
        <is>
          <t>S1-ORD-001</t>
        </is>
      </c>
      <c r="D2" s="21" t="inlineStr">
        <is>
          <t>Linfox</t>
        </is>
      </c>
      <c r="E2" s="21" t="inlineStr">
        <is>
          <t>VINMART Võ Thị Sáu</t>
        </is>
      </c>
      <c r="F2" s="21" t="inlineStr">
        <is>
          <t>ST</t>
        </is>
      </c>
      <c r="G2" s="21" t="inlineStr">
        <is>
          <t>PAT2</t>
        </is>
      </c>
      <c r="H2" s="21" t="inlineStr">
        <is>
          <t>Bia lon 333</t>
        </is>
      </c>
      <c r="I2" s="21" t="inlineStr">
        <is>
          <t>PK_HY_MYHAO</t>
        </is>
      </c>
      <c r="J2" s="21" t="inlineStr">
        <is>
          <t>Kho/Nhà máy khách hàng Mỹ Hào</t>
        </is>
      </c>
      <c r="K2" s="21" t="inlineStr">
        <is>
          <t>Hưng Yên</t>
        </is>
      </c>
      <c r="L2" s="21" t="inlineStr">
        <is>
          <t>Mỹ Hào</t>
        </is>
      </c>
      <c r="M2" s="22" t="n">
        <v>20.9329</v>
      </c>
      <c r="N2" s="22" t="n">
        <v>106.065</v>
      </c>
      <c r="O2" s="21" t="inlineStr">
        <is>
          <t>DL_HN_VOTHISAU</t>
        </is>
      </c>
      <c r="P2" s="21" t="inlineStr">
        <is>
          <t>VINMART Võ Thị Sáu</t>
        </is>
      </c>
      <c r="Q2" s="21" t="inlineStr">
        <is>
          <t>Hà Nội</t>
        </is>
      </c>
      <c r="R2" s="21" t="inlineStr">
        <is>
          <t>Hai Bà Trưng</t>
        </is>
      </c>
      <c r="S2" s="22" t="n">
        <v>21.00441</v>
      </c>
      <c r="T2" s="22" t="n">
        <v>105.855148</v>
      </c>
      <c r="U2" s="21" t="inlineStr">
        <is>
          <t>Nội thành Hà Nội</t>
        </is>
      </c>
      <c r="V2" s="21" t="inlineStr">
        <is>
          <t>Nội thành Hà Nội</t>
        </is>
      </c>
      <c r="W2" s="29" t="n">
        <v>41.3</v>
      </c>
      <c r="X2" s="28" t="n">
        <v>385</v>
      </c>
      <c r="Y2" s="29" t="n">
        <v>0.93</v>
      </c>
      <c r="Z2" s="28" t="n">
        <v>1</v>
      </c>
      <c r="AA2" s="21" t="inlineStr">
        <is>
          <t>5 tạ</t>
        </is>
      </c>
      <c r="AB2" s="21" t="inlineStr">
        <is>
          <t>1.25T</t>
        </is>
      </c>
      <c r="AC2" s="21" t="inlineStr">
        <is>
          <t>No</t>
        </is>
      </c>
      <c r="AD2" s="21" t="inlineStr">
        <is>
          <t>Yes</t>
        </is>
      </c>
      <c r="AE2" s="21" t="inlineStr">
        <is>
          <t>No</t>
        </is>
      </c>
      <c r="AF2" s="21" t="inlineStr">
        <is>
          <t>Yes</t>
        </is>
      </c>
      <c r="AG2" s="21" t="inlineStr">
        <is>
          <t>Giờ cấm tải, xe &lt;=1.25T</t>
        </is>
      </c>
      <c r="AH2" s="21" t="inlineStr">
        <is>
          <t>08:00</t>
        </is>
      </c>
      <c r="AI2" s="21" t="inlineStr">
        <is>
          <t>10:30</t>
        </is>
      </c>
      <c r="AJ2" s="21" t="inlineStr">
        <is>
          <t>10:55</t>
        </is>
      </c>
      <c r="AK2" s="21" t="inlineStr">
        <is>
          <t>12:25</t>
        </is>
      </c>
      <c r="AL2" s="22" t="n">
        <v>45</v>
      </c>
      <c r="AM2" s="22" t="n">
        <v>25</v>
      </c>
      <c r="AN2" s="22" t="n">
        <v>20</v>
      </c>
      <c r="AO2" s="22" t="n">
        <v>265</v>
      </c>
      <c r="AP2" s="31" t="n">
        <v>670000</v>
      </c>
      <c r="AQ2" s="31" t="n">
        <v>0</v>
      </c>
      <c r="AR2" s="31" t="n">
        <v>0</v>
      </c>
      <c r="AS2" s="28" t="n">
        <v>150000</v>
      </c>
      <c r="AT2" s="21" t="inlineStr">
        <is>
          <t>A - SLA chặt</t>
        </is>
      </c>
      <c r="AU2" s="21" t="inlineStr">
        <is>
          <t>CR-NỘIT-02</t>
        </is>
      </c>
      <c r="AV2" s="21" t="inlineStr">
        <is>
          <t>Manual nhập điều phối</t>
        </is>
      </c>
      <c r="AW2" s="21" t="inlineStr">
        <is>
          <t>S1-C01</t>
        </is>
      </c>
      <c r="AX2" s="21" t="inlineStr">
        <is>
          <t>5 tạ</t>
        </is>
      </c>
      <c r="AY2" s="21" t="inlineStr">
        <is>
          <t>Send to Clustering</t>
        </is>
      </c>
      <c r="AZ2" s="21" t="inlineStr">
        <is>
          <t>OK</t>
        </is>
      </c>
      <c r="BA2" s="21" t="inlineStr">
        <is>
          <t>Cấm tải/đường nhỏ - đã chọn xe nhỏ</t>
        </is>
      </c>
      <c r="BB2" s="21">
        <f>AM2+AN2</f>
        <v/>
      </c>
      <c r="BC2" s="21">
        <f>ROUND(W2/'03_Cost_Constraints'!$B$4*60,0)</f>
        <v/>
      </c>
      <c r="BD2" s="21">
        <f>IF(X2&lt;=500,"5 tạ",IF(X2&lt;=1250,"1.25T",IF(X2&lt;=5000,"5T",IF(X2&lt;=8000,"8T",IF(X2&lt;=15000,"3 chân","4 chân")))))</f>
        <v/>
      </c>
      <c r="BE2" s="21">
        <f>IF((BB2+BC2)&lt;=AO2,"OK","Risk")</f>
        <v/>
      </c>
      <c r="BF2" s="21">
        <f>IF(AND(AZ2="OK",BE2="OK"),"Ready","Review")</f>
        <v/>
      </c>
      <c r="BG2" s="21" t="n"/>
    </row>
    <row r="3" ht="18" customHeight="1" s="17">
      <c r="A3" s="23" t="inlineStr">
        <is>
          <t>S1</t>
        </is>
      </c>
      <c r="B3" s="23" t="inlineStr">
        <is>
          <t>2026-06-05</t>
        </is>
      </c>
      <c r="C3" s="23" t="inlineStr">
        <is>
          <t>S1-ORD-002</t>
        </is>
      </c>
      <c r="D3" s="23" t="inlineStr">
        <is>
          <t>Linfox</t>
        </is>
      </c>
      <c r="E3" s="23" t="inlineStr">
        <is>
          <t>VINMART Royal City</t>
        </is>
      </c>
      <c r="F3" s="23" t="inlineStr">
        <is>
          <t>MT</t>
        </is>
      </c>
      <c r="G3" s="23" t="inlineStr">
        <is>
          <t>PAT2</t>
        </is>
      </c>
      <c r="H3" s="23" t="inlineStr">
        <is>
          <t>Bia lon 333</t>
        </is>
      </c>
      <c r="I3" s="23" t="inlineStr">
        <is>
          <t>PK_HY_MYHAO</t>
        </is>
      </c>
      <c r="J3" s="23" t="inlineStr">
        <is>
          <t>Kho/Nhà máy khách hàng Mỹ Hào</t>
        </is>
      </c>
      <c r="K3" s="23" t="inlineStr">
        <is>
          <t>Hưng Yên</t>
        </is>
      </c>
      <c r="L3" s="23" t="inlineStr">
        <is>
          <t>Mỹ Hào</t>
        </is>
      </c>
      <c r="M3" s="24" t="n">
        <v>20.9329</v>
      </c>
      <c r="N3" s="24" t="n">
        <v>106.065</v>
      </c>
      <c r="O3" s="23" t="inlineStr">
        <is>
          <t>DL_HN_ROYAL</t>
        </is>
      </c>
      <c r="P3" s="23" t="inlineStr">
        <is>
          <t>VINMART Royal City</t>
        </is>
      </c>
      <c r="Q3" s="23" t="inlineStr">
        <is>
          <t>Hà Nội</t>
        </is>
      </c>
      <c r="R3" s="23" t="inlineStr">
        <is>
          <t>Thanh Xuân</t>
        </is>
      </c>
      <c r="S3" s="24" t="n">
        <v>21.003388</v>
      </c>
      <c r="T3" s="24" t="n">
        <v>105.816212</v>
      </c>
      <c r="U3" s="23" t="inlineStr">
        <is>
          <t>Nội thành Hà Nội</t>
        </is>
      </c>
      <c r="V3" s="23" t="inlineStr">
        <is>
          <t>Nội thành Hà Nội</t>
        </is>
      </c>
      <c r="W3" s="33" t="n">
        <v>42.8</v>
      </c>
      <c r="X3" s="32" t="n">
        <v>307</v>
      </c>
      <c r="Y3" s="33" t="n">
        <v>0.88</v>
      </c>
      <c r="Z3" s="32" t="n">
        <v>1</v>
      </c>
      <c r="AA3" s="23" t="inlineStr">
        <is>
          <t>5 tạ</t>
        </is>
      </c>
      <c r="AB3" s="23" t="inlineStr">
        <is>
          <t>1.25T</t>
        </is>
      </c>
      <c r="AC3" s="23" t="inlineStr">
        <is>
          <t>No</t>
        </is>
      </c>
      <c r="AD3" s="23" t="inlineStr">
        <is>
          <t>Yes</t>
        </is>
      </c>
      <c r="AE3" s="23" t="inlineStr">
        <is>
          <t>No</t>
        </is>
      </c>
      <c r="AF3" s="23" t="inlineStr">
        <is>
          <t>Yes</t>
        </is>
      </c>
      <c r="AG3" s="23" t="inlineStr">
        <is>
          <t>Hầm trung tâm thương mại</t>
        </is>
      </c>
      <c r="AH3" s="23" t="inlineStr">
        <is>
          <t>08:30</t>
        </is>
      </c>
      <c r="AI3" s="23" t="inlineStr">
        <is>
          <t>10:00</t>
        </is>
      </c>
      <c r="AJ3" s="23" t="inlineStr">
        <is>
          <t>11:58</t>
        </is>
      </c>
      <c r="AK3" s="23" t="inlineStr">
        <is>
          <t>13:58</t>
        </is>
      </c>
      <c r="AL3" s="24" t="n">
        <v>45</v>
      </c>
      <c r="AM3" s="24" t="n">
        <v>25</v>
      </c>
      <c r="AN3" s="24" t="n">
        <v>30</v>
      </c>
      <c r="AO3" s="24" t="n">
        <v>328</v>
      </c>
      <c r="AP3" s="35" t="n">
        <v>860000</v>
      </c>
      <c r="AQ3" s="35" t="n">
        <v>0</v>
      </c>
      <c r="AR3" s="35" t="n">
        <v>120000</v>
      </c>
      <c r="AS3" s="32" t="n">
        <v>80000</v>
      </c>
      <c r="AT3" s="23" t="inlineStr">
        <is>
          <t>B - Thường</t>
        </is>
      </c>
      <c r="AU3" s="23" t="inlineStr">
        <is>
          <t>CR-NỘIT-03</t>
        </is>
      </c>
      <c r="AV3" s="23" t="inlineStr">
        <is>
          <t>Excel khách hàng</t>
        </is>
      </c>
      <c r="AW3" s="23" t="inlineStr">
        <is>
          <t>S1-C02</t>
        </is>
      </c>
      <c r="AX3" s="23" t="inlineStr">
        <is>
          <t>5 tạ</t>
        </is>
      </c>
      <c r="AY3" s="23" t="inlineStr">
        <is>
          <t>Send to Clustering</t>
        </is>
      </c>
      <c r="AZ3" s="23" t="inlineStr">
        <is>
          <t>OK</t>
        </is>
      </c>
      <c r="BA3" s="23" t="inlineStr">
        <is>
          <t>Cấm tải/đường nhỏ - đã chọn xe nhỏ</t>
        </is>
      </c>
      <c r="BB3" s="23">
        <f>AM3+AN3</f>
        <v/>
      </c>
      <c r="BC3" s="23">
        <f>ROUND(W3/'03_Cost_Constraints'!$B$4*60,0)</f>
        <v/>
      </c>
      <c r="BD3" s="23">
        <f>IF(X3&lt;=500,"5 tạ",IF(X3&lt;=1250,"1.25T",IF(X3&lt;=5000,"5T",IF(X3&lt;=8000,"8T",IF(X3&lt;=15000,"3 chân","4 chân")))))</f>
        <v/>
      </c>
      <c r="BE3" s="23">
        <f>IF((BB3+BC3)&lt;=AO3,"OK","Risk")</f>
        <v/>
      </c>
      <c r="BF3" s="23">
        <f>IF(AND(AZ3="OK",BE3="OK"),"Ready","Review")</f>
        <v/>
      </c>
      <c r="BG3" s="23" t="n"/>
    </row>
    <row r="4" ht="18" customHeight="1" s="17">
      <c r="A4" s="21" t="inlineStr">
        <is>
          <t>S1</t>
        </is>
      </c>
      <c r="B4" s="21" t="inlineStr">
        <is>
          <t>2026-06-05</t>
        </is>
      </c>
      <c r="C4" s="21" t="inlineStr">
        <is>
          <t>S1-ORD-003</t>
        </is>
      </c>
      <c r="D4" s="21" t="inlineStr">
        <is>
          <t>MM Mega Market</t>
        </is>
      </c>
      <c r="E4" s="21" t="inlineStr">
        <is>
          <t>VINMART Quế Võ</t>
        </is>
      </c>
      <c r="F4" s="21" t="inlineStr">
        <is>
          <t>ST</t>
        </is>
      </c>
      <c r="G4" s="21" t="inlineStr">
        <is>
          <t>MILK</t>
        </is>
      </c>
      <c r="H4" s="21" t="inlineStr">
        <is>
          <t>Sữa hộp carton</t>
        </is>
      </c>
      <c r="I4" s="21" t="inlineStr">
        <is>
          <t>PK_LINFOX_VSIP</t>
        </is>
      </c>
      <c r="J4" s="21" t="inlineStr">
        <is>
          <t>Kho Linfox KCN VSIP Bắc Ninh</t>
        </is>
      </c>
      <c r="K4" s="21" t="inlineStr">
        <is>
          <t>Bắc Ninh</t>
        </is>
      </c>
      <c r="L4" s="21" t="inlineStr">
        <is>
          <t>Từ Sơn</t>
        </is>
      </c>
      <c r="M4" s="22" t="n">
        <v>21.082707</v>
      </c>
      <c r="N4" s="22" t="n">
        <v>105.997949</v>
      </c>
      <c r="O4" s="21" t="inlineStr">
        <is>
          <t>DL_BN_QUEVO_01</t>
        </is>
      </c>
      <c r="P4" s="21" t="inlineStr">
        <is>
          <t>VINMART Quế Võ</t>
        </is>
      </c>
      <c r="Q4" s="21" t="inlineStr">
        <is>
          <t>Bắc Ninh</t>
        </is>
      </c>
      <c r="R4" s="21" t="inlineStr">
        <is>
          <t>Quế Võ</t>
        </is>
      </c>
      <c r="S4" s="22" t="n">
        <v>21.170139</v>
      </c>
      <c r="T4" s="22" t="n">
        <v>106.102396</v>
      </c>
      <c r="U4" s="21" t="inlineStr">
        <is>
          <t>Đông Bắc</t>
        </is>
      </c>
      <c r="V4" s="21" t="inlineStr">
        <is>
          <t>Đông Bắc</t>
        </is>
      </c>
      <c r="W4" s="29" t="n">
        <v>25.1</v>
      </c>
      <c r="X4" s="28" t="n">
        <v>7751</v>
      </c>
      <c r="Y4" s="29" t="n">
        <v>16.16</v>
      </c>
      <c r="Z4" s="28" t="n">
        <v>13</v>
      </c>
      <c r="AA4" s="21" t="inlineStr">
        <is>
          <t>8T</t>
        </is>
      </c>
      <c r="AB4" s="21" t="inlineStr">
        <is>
          <t>8T</t>
        </is>
      </c>
      <c r="AC4" s="21" t="inlineStr">
        <is>
          <t>No</t>
        </is>
      </c>
      <c r="AD4" s="21" t="inlineStr">
        <is>
          <t>Yes</t>
        </is>
      </c>
      <c r="AE4" s="21" t="inlineStr">
        <is>
          <t>No</t>
        </is>
      </c>
      <c r="AF4" s="21" t="inlineStr">
        <is>
          <t>No</t>
        </is>
      </c>
      <c r="AG4" s="21" t="inlineStr">
        <is>
          <t>Đường rộng, xe 5T/8T vào được</t>
        </is>
      </c>
      <c r="AH4" s="21" t="inlineStr">
        <is>
          <t>07:30</t>
        </is>
      </c>
      <c r="AI4" s="21" t="inlineStr">
        <is>
          <t>09:00</t>
        </is>
      </c>
      <c r="AJ4" s="21" t="inlineStr">
        <is>
          <t>10:03</t>
        </is>
      </c>
      <c r="AK4" s="21" t="inlineStr">
        <is>
          <t>12:03</t>
        </is>
      </c>
      <c r="AL4" s="22" t="n">
        <v>30</v>
      </c>
      <c r="AM4" s="22" t="n">
        <v>40</v>
      </c>
      <c r="AN4" s="22" t="n">
        <v>35</v>
      </c>
      <c r="AO4" s="22" t="n">
        <v>273</v>
      </c>
      <c r="AP4" s="31" t="n">
        <v>1810000</v>
      </c>
      <c r="AQ4" s="31" t="n">
        <v>150000</v>
      </c>
      <c r="AR4" s="31" t="n">
        <v>0</v>
      </c>
      <c r="AS4" s="28" t="n">
        <v>80000</v>
      </c>
      <c r="AT4" s="21" t="inlineStr">
        <is>
          <t>C - Có thể thương lượng</t>
        </is>
      </c>
      <c r="AU4" s="21" t="inlineStr">
        <is>
          <t>CR-ĐÔNG-04</t>
        </is>
      </c>
      <c r="AV4" s="21" t="inlineStr">
        <is>
          <t>Hệ thống khách hàng</t>
        </is>
      </c>
      <c r="AW4" s="21" t="inlineStr">
        <is>
          <t>S1-C03</t>
        </is>
      </c>
      <c r="AX4" s="21" t="inlineStr">
        <is>
          <t>8T</t>
        </is>
      </c>
      <c r="AY4" s="21" t="inlineStr">
        <is>
          <t>Send to Clustering</t>
        </is>
      </c>
      <c r="AZ4" s="21" t="inlineStr">
        <is>
          <t>OK</t>
        </is>
      </c>
      <c r="BA4" s="21" t="inlineStr">
        <is>
          <t>OK</t>
        </is>
      </c>
      <c r="BB4" s="21">
        <f>AM4+AN4</f>
        <v/>
      </c>
      <c r="BC4" s="21">
        <f>ROUND(W4/'03_Cost_Constraints'!$B$4*60,0)</f>
        <v/>
      </c>
      <c r="BD4" s="21">
        <f>IF(X4&lt;=500,"5 tạ",IF(X4&lt;=1250,"1.25T",IF(X4&lt;=5000,"5T",IF(X4&lt;=8000,"8T",IF(X4&lt;=15000,"3 chân","4 chân")))))</f>
        <v/>
      </c>
      <c r="BE4" s="21">
        <f>IF((BB4+BC4)&lt;=AO4,"OK","Risk")</f>
        <v/>
      </c>
      <c r="BF4" s="21">
        <f>IF(AND(AZ4="OK",BE4="OK"),"Ready","Review")</f>
        <v/>
      </c>
      <c r="BG4" s="21" t="n"/>
    </row>
    <row r="5" ht="18" customHeight="1" s="17">
      <c r="A5" s="23" t="inlineStr">
        <is>
          <t>S1</t>
        </is>
      </c>
      <c r="B5" s="23" t="inlineStr">
        <is>
          <t>2026-06-05</t>
        </is>
      </c>
      <c r="C5" s="23" t="inlineStr">
        <is>
          <t>S1-ORD-004</t>
        </is>
      </c>
      <c r="D5" s="23" t="inlineStr">
        <is>
          <t>Bách Hóa Xanh</t>
        </is>
      </c>
      <c r="E5" s="23" t="inlineStr">
        <is>
          <t>VINMART Bắc Từ Liêm</t>
        </is>
      </c>
      <c r="F5" s="23" t="inlineStr">
        <is>
          <t>ST</t>
        </is>
      </c>
      <c r="G5" s="23" t="inlineStr">
        <is>
          <t>LVCA</t>
        </is>
      </c>
      <c r="H5" s="23" t="inlineStr">
        <is>
          <t>Bia lon Lạc Việt</t>
        </is>
      </c>
      <c r="I5" s="23" t="inlineStr">
        <is>
          <t>PK_HY_MYHAO</t>
        </is>
      </c>
      <c r="J5" s="23" t="inlineStr">
        <is>
          <t>Kho/Nhà máy khách hàng Mỹ Hào</t>
        </is>
      </c>
      <c r="K5" s="23" t="inlineStr">
        <is>
          <t>Hưng Yên</t>
        </is>
      </c>
      <c r="L5" s="23" t="inlineStr">
        <is>
          <t>Mỹ Hào</t>
        </is>
      </c>
      <c r="M5" s="24" t="n">
        <v>20.9329</v>
      </c>
      <c r="N5" s="24" t="n">
        <v>106.065</v>
      </c>
      <c r="O5" s="23" t="inlineStr">
        <is>
          <t>DL_HN_BACTULIEM</t>
        </is>
      </c>
      <c r="P5" s="23" t="inlineStr">
        <is>
          <t>VINMART Bắc Từ Liêm</t>
        </is>
      </c>
      <c r="Q5" s="23" t="inlineStr">
        <is>
          <t>Hà Nội</t>
        </is>
      </c>
      <c r="R5" s="23" t="inlineStr">
        <is>
          <t>Bắc Từ Liêm</t>
        </is>
      </c>
      <c r="S5" s="24" t="n">
        <v>21.052701</v>
      </c>
      <c r="T5" s="24" t="n">
        <v>105.780729</v>
      </c>
      <c r="U5" s="23" t="inlineStr">
        <is>
          <t>Nội thành Hà Nội</t>
        </is>
      </c>
      <c r="V5" s="23" t="inlineStr">
        <is>
          <t>Nội thành Hà Nội</t>
        </is>
      </c>
      <c r="W5" s="33" t="n">
        <v>54.1</v>
      </c>
      <c r="X5" s="32" t="n">
        <v>226</v>
      </c>
      <c r="Y5" s="33" t="n">
        <v>0.6</v>
      </c>
      <c r="Z5" s="32" t="n">
        <v>1</v>
      </c>
      <c r="AA5" s="23" t="inlineStr">
        <is>
          <t>5 tạ</t>
        </is>
      </c>
      <c r="AB5" s="23" t="inlineStr">
        <is>
          <t>1.25T</t>
        </is>
      </c>
      <c r="AC5" s="23" t="inlineStr">
        <is>
          <t>No</t>
        </is>
      </c>
      <c r="AD5" s="23" t="inlineStr">
        <is>
          <t>Yes</t>
        </is>
      </c>
      <c r="AE5" s="23" t="inlineStr">
        <is>
          <t>No</t>
        </is>
      </c>
      <c r="AF5" s="23" t="inlineStr">
        <is>
          <t>Yes</t>
        </is>
      </c>
      <c r="AG5" s="23" t="inlineStr">
        <is>
          <t>Nội đô, khung giờ hạn chế xe tải</t>
        </is>
      </c>
      <c r="AH5" s="23" t="inlineStr">
        <is>
          <t>07:00</t>
        </is>
      </c>
      <c r="AI5" s="23" t="inlineStr">
        <is>
          <t>09:00</t>
        </is>
      </c>
      <c r="AJ5" s="23" t="inlineStr">
        <is>
          <t>09:17</t>
        </is>
      </c>
      <c r="AK5" s="23" t="inlineStr">
        <is>
          <t>12:17</t>
        </is>
      </c>
      <c r="AL5" s="24" t="n">
        <v>45</v>
      </c>
      <c r="AM5" s="24" t="n">
        <v>25</v>
      </c>
      <c r="AN5" s="24" t="n">
        <v>20</v>
      </c>
      <c r="AO5" s="24" t="n">
        <v>317</v>
      </c>
      <c r="AP5" s="35" t="n">
        <v>850000</v>
      </c>
      <c r="AQ5" s="35" t="n">
        <v>0</v>
      </c>
      <c r="AR5" s="35" t="n">
        <v>0</v>
      </c>
      <c r="AS5" s="32" t="n">
        <v>80000</v>
      </c>
      <c r="AT5" s="23" t="inlineStr">
        <is>
          <t>C - Có thể thương lượng</t>
        </is>
      </c>
      <c r="AU5" s="23" t="inlineStr">
        <is>
          <t>CR-NỘIT-05</t>
        </is>
      </c>
      <c r="AV5" s="23" t="inlineStr">
        <is>
          <t>Zalo/Email plan 17:00</t>
        </is>
      </c>
      <c r="AW5" s="23" t="inlineStr">
        <is>
          <t>S1-C04</t>
        </is>
      </c>
      <c r="AX5" s="23" t="inlineStr">
        <is>
          <t>5 tạ</t>
        </is>
      </c>
      <c r="AY5" s="23" t="inlineStr">
        <is>
          <t>Send to Clustering</t>
        </is>
      </c>
      <c r="AZ5" s="23" t="inlineStr">
        <is>
          <t>OK</t>
        </is>
      </c>
      <c r="BA5" s="23" t="inlineStr">
        <is>
          <t>Cấm tải/đường nhỏ - đã chọn xe nhỏ</t>
        </is>
      </c>
      <c r="BB5" s="23">
        <f>AM5+AN5</f>
        <v/>
      </c>
      <c r="BC5" s="23">
        <f>ROUND(W5/'03_Cost_Constraints'!$B$4*60,0)</f>
        <v/>
      </c>
      <c r="BD5" s="23">
        <f>IF(X5&lt;=500,"5 tạ",IF(X5&lt;=1250,"1.25T",IF(X5&lt;=5000,"5T",IF(X5&lt;=8000,"8T",IF(X5&lt;=15000,"3 chân","4 chân")))))</f>
        <v/>
      </c>
      <c r="BE5" s="23">
        <f>IF((BB5+BC5)&lt;=AO5,"OK","Risk")</f>
        <v/>
      </c>
      <c r="BF5" s="23">
        <f>IF(AND(AZ5="OK",BE5="OK"),"Ready","Review")</f>
        <v/>
      </c>
      <c r="BG5" s="23" t="inlineStr">
        <is>
          <t>Kế hoạch ngày hôm sau; cần chốt trước 19:00 và gửi tài xế sau duyệt</t>
        </is>
      </c>
    </row>
    <row r="6" ht="18" customHeight="1" s="17">
      <c r="A6" s="21" t="inlineStr">
        <is>
          <t>S1</t>
        </is>
      </c>
      <c r="B6" s="21" t="inlineStr">
        <is>
          <t>2026-06-05</t>
        </is>
      </c>
      <c r="C6" s="21" t="inlineStr">
        <is>
          <t>S1-ORD-005</t>
        </is>
      </c>
      <c r="D6" s="21" t="inlineStr">
        <is>
          <t>Bách Hóa Xanh</t>
        </is>
      </c>
      <c r="E6" s="21" t="inlineStr">
        <is>
          <t>VINMART Võ Thị Sáu</t>
        </is>
      </c>
      <c r="F6" s="21" t="inlineStr">
        <is>
          <t>ST</t>
        </is>
      </c>
      <c r="G6" s="21" t="inlineStr">
        <is>
          <t>CHCA</t>
        </is>
      </c>
      <c r="H6" s="21" t="inlineStr">
        <is>
          <t>Bia lon Saigon Chill</t>
        </is>
      </c>
      <c r="I6" s="21" t="inlineStr">
        <is>
          <t>PK_HPL_LB</t>
        </is>
      </c>
      <c r="J6" s="21" t="inlineStr">
        <is>
          <t>HPL Depot Long Biên - 20 Thạch Bàn</t>
        </is>
      </c>
      <c r="K6" s="21" t="inlineStr">
        <is>
          <t>Hà Nội</t>
        </is>
      </c>
      <c r="L6" s="21" t="inlineStr">
        <is>
          <t>Long Biên</t>
        </is>
      </c>
      <c r="M6" s="22" t="n">
        <v>21.0261548385</v>
      </c>
      <c r="N6" s="22" t="n">
        <v>105.914182238</v>
      </c>
      <c r="O6" s="21" t="inlineStr">
        <is>
          <t>DL_HN_VOTHISAU</t>
        </is>
      </c>
      <c r="P6" s="21" t="inlineStr">
        <is>
          <t>VINMART Võ Thị Sáu</t>
        </is>
      </c>
      <c r="Q6" s="21" t="inlineStr">
        <is>
          <t>Hà Nội</t>
        </is>
      </c>
      <c r="R6" s="21" t="inlineStr">
        <is>
          <t>Hai Bà Trưng</t>
        </is>
      </c>
      <c r="S6" s="22" t="n">
        <v>21.00441</v>
      </c>
      <c r="T6" s="22" t="n">
        <v>105.855148</v>
      </c>
      <c r="U6" s="21" t="inlineStr">
        <is>
          <t>Nội thành Hà Nội</t>
        </is>
      </c>
      <c r="V6" s="21" t="inlineStr">
        <is>
          <t>Nội thành Hà Nội</t>
        </is>
      </c>
      <c r="W6" s="29" t="n">
        <v>15.8</v>
      </c>
      <c r="X6" s="28" t="n">
        <v>661</v>
      </c>
      <c r="Y6" s="29" t="n">
        <v>1.58</v>
      </c>
      <c r="Z6" s="28" t="n">
        <v>1</v>
      </c>
      <c r="AA6" s="21" t="inlineStr">
        <is>
          <t>1.25T</t>
        </is>
      </c>
      <c r="AB6" s="21" t="inlineStr">
        <is>
          <t>1.25T</t>
        </is>
      </c>
      <c r="AC6" s="21" t="inlineStr">
        <is>
          <t>No</t>
        </is>
      </c>
      <c r="AD6" s="21" t="inlineStr">
        <is>
          <t>Yes</t>
        </is>
      </c>
      <c r="AE6" s="21" t="inlineStr">
        <is>
          <t>No</t>
        </is>
      </c>
      <c r="AF6" s="21" t="inlineStr">
        <is>
          <t>Yes</t>
        </is>
      </c>
      <c r="AG6" s="21" t="inlineStr">
        <is>
          <t>Giờ cấm tải, xe &lt;=1.25T</t>
        </is>
      </c>
      <c r="AH6" s="21" t="inlineStr">
        <is>
          <t>07:00</t>
        </is>
      </c>
      <c r="AI6" s="21" t="inlineStr">
        <is>
          <t>09:30</t>
        </is>
      </c>
      <c r="AJ6" s="21" t="inlineStr">
        <is>
          <t>09:12</t>
        </is>
      </c>
      <c r="AK6" s="21" t="inlineStr">
        <is>
          <t>11:12</t>
        </is>
      </c>
      <c r="AL6" s="22" t="n">
        <v>45</v>
      </c>
      <c r="AM6" s="22" t="n">
        <v>25</v>
      </c>
      <c r="AN6" s="22" t="n">
        <v>20</v>
      </c>
      <c r="AO6" s="22" t="n">
        <v>252</v>
      </c>
      <c r="AP6" s="31" t="n">
        <v>490000</v>
      </c>
      <c r="AQ6" s="31" t="n">
        <v>0</v>
      </c>
      <c r="AR6" s="31" t="n">
        <v>0</v>
      </c>
      <c r="AS6" s="28" t="n">
        <v>80000</v>
      </c>
      <c r="AT6" s="21" t="inlineStr">
        <is>
          <t>B - Thường</t>
        </is>
      </c>
      <c r="AU6" s="21" t="inlineStr">
        <is>
          <t>CR-NỘIT-01</t>
        </is>
      </c>
      <c r="AV6" s="21" t="inlineStr">
        <is>
          <t>Manual nhập điều phối</t>
        </is>
      </c>
      <c r="AW6" s="21" t="inlineStr">
        <is>
          <t>S1-C05</t>
        </is>
      </c>
      <c r="AX6" s="21" t="inlineStr">
        <is>
          <t>1.25T</t>
        </is>
      </c>
      <c r="AY6" s="21" t="inlineStr">
        <is>
          <t>Send to Clustering</t>
        </is>
      </c>
      <c r="AZ6" s="21" t="inlineStr">
        <is>
          <t>OK</t>
        </is>
      </c>
      <c r="BA6" s="21" t="inlineStr">
        <is>
          <t>Cấm tải/đường nhỏ - đã chọn xe nhỏ</t>
        </is>
      </c>
      <c r="BB6" s="21">
        <f>AM6+AN6</f>
        <v/>
      </c>
      <c r="BC6" s="21">
        <f>ROUND(W6/'03_Cost_Constraints'!$B$4*60,0)</f>
        <v/>
      </c>
      <c r="BD6" s="21">
        <f>IF(X6&lt;=500,"5 tạ",IF(X6&lt;=1250,"1.25T",IF(X6&lt;=5000,"5T",IF(X6&lt;=8000,"8T",IF(X6&lt;=15000,"3 chân","4 chân")))))</f>
        <v/>
      </c>
      <c r="BE6" s="21">
        <f>IF((BB6+BC6)&lt;=AO6,"OK","Risk")</f>
        <v/>
      </c>
      <c r="BF6" s="21">
        <f>IF(AND(AZ6="OK",BE6="OK"),"Ready","Review")</f>
        <v/>
      </c>
      <c r="BG6" s="21" t="n"/>
    </row>
    <row r="7" ht="18" customHeight="1" s="17">
      <c r="A7" s="23" t="inlineStr">
        <is>
          <t>S1</t>
        </is>
      </c>
      <c r="B7" s="23" t="inlineStr">
        <is>
          <t>2026-06-05</t>
        </is>
      </c>
      <c r="C7" s="23" t="inlineStr">
        <is>
          <t>S1-ORD-006</t>
        </is>
      </c>
      <c r="D7" s="23" t="inlineStr">
        <is>
          <t>Masan</t>
        </is>
      </c>
      <c r="E7" s="23" t="inlineStr">
        <is>
          <t>Siêu thị Hải Dương</t>
        </is>
      </c>
      <c r="F7" s="23" t="inlineStr">
        <is>
          <t>ST</t>
        </is>
      </c>
      <c r="G7" s="23" t="inlineStr">
        <is>
          <t>POSM</t>
        </is>
      </c>
      <c r="H7" s="23" t="inlineStr">
        <is>
          <t>POSM trưng bày</t>
        </is>
      </c>
      <c r="I7" s="23" t="inlineStr">
        <is>
          <t>PK_HPL_LB</t>
        </is>
      </c>
      <c r="J7" s="23" t="inlineStr">
        <is>
          <t>HPL Depot Long Biên - 20 Thạch Bàn</t>
        </is>
      </c>
      <c r="K7" s="23" t="inlineStr">
        <is>
          <t>Hà Nội</t>
        </is>
      </c>
      <c r="L7" s="23" t="inlineStr">
        <is>
          <t>Long Biên</t>
        </is>
      </c>
      <c r="M7" s="24" t="n">
        <v>21.0261548385</v>
      </c>
      <c r="N7" s="24" t="n">
        <v>105.914182238</v>
      </c>
      <c r="O7" s="23" t="inlineStr">
        <is>
          <t>DL_HD_SIEUTHI</t>
        </is>
      </c>
      <c r="P7" s="23" t="inlineStr">
        <is>
          <t>Siêu thị Hải Dương</t>
        </is>
      </c>
      <c r="Q7" s="23" t="inlineStr">
        <is>
          <t>Hải Phòng</t>
        </is>
      </c>
      <c r="R7" s="23" t="inlineStr">
        <is>
          <t>Hải Dương</t>
        </is>
      </c>
      <c r="S7" s="24" t="n">
        <v>20.937341</v>
      </c>
      <c r="T7" s="24" t="n">
        <v>106.314555</v>
      </c>
      <c r="U7" s="23" t="inlineStr">
        <is>
          <t>Đông Bắc</t>
        </is>
      </c>
      <c r="V7" s="23" t="inlineStr">
        <is>
          <t>Đông Bắc</t>
        </is>
      </c>
      <c r="W7" s="33" t="n">
        <v>62.1</v>
      </c>
      <c r="X7" s="32" t="n">
        <v>7814</v>
      </c>
      <c r="Y7" s="33" t="n">
        <v>172.96</v>
      </c>
      <c r="Z7" s="32" t="n">
        <v>144</v>
      </c>
      <c r="AA7" s="23" t="inlineStr">
        <is>
          <t>Container</t>
        </is>
      </c>
      <c r="AB7" s="23" t="inlineStr">
        <is>
          <t>8T</t>
        </is>
      </c>
      <c r="AC7" s="23" t="inlineStr">
        <is>
          <t>No</t>
        </is>
      </c>
      <c r="AD7" s="23" t="inlineStr">
        <is>
          <t>Yes</t>
        </is>
      </c>
      <c r="AE7" s="23" t="inlineStr">
        <is>
          <t>No</t>
        </is>
      </c>
      <c r="AF7" s="23" t="inlineStr">
        <is>
          <t>No</t>
        </is>
      </c>
      <c r="AG7" s="23" t="inlineStr">
        <is>
          <t>Quốc lộ 5, xe 8T vào được</t>
        </is>
      </c>
      <c r="AH7" s="23" t="inlineStr">
        <is>
          <t>07:00</t>
        </is>
      </c>
      <c r="AI7" s="23" t="inlineStr">
        <is>
          <t>09:30</t>
        </is>
      </c>
      <c r="AJ7" s="23" t="inlineStr">
        <is>
          <t>12:12</t>
        </is>
      </c>
      <c r="AK7" s="23" t="inlineStr">
        <is>
          <t>14:12</t>
        </is>
      </c>
      <c r="AL7" s="24" t="n">
        <v>30</v>
      </c>
      <c r="AM7" s="24" t="n">
        <v>120</v>
      </c>
      <c r="AN7" s="24" t="n">
        <v>90</v>
      </c>
      <c r="AO7" s="24" t="n">
        <v>432</v>
      </c>
      <c r="AP7" s="35" t="n">
        <v>3320000</v>
      </c>
      <c r="AQ7" s="35" t="n">
        <v>150000</v>
      </c>
      <c r="AR7" s="35" t="n">
        <v>0</v>
      </c>
      <c r="AS7" s="32" t="n">
        <v>80000</v>
      </c>
      <c r="AT7" s="23" t="inlineStr">
        <is>
          <t>C - Có thể thương lượng</t>
        </is>
      </c>
      <c r="AU7" s="23" t="inlineStr">
        <is>
          <t>CR-ĐÔNG-02</t>
        </is>
      </c>
      <c r="AV7" s="23" t="inlineStr">
        <is>
          <t>Excel khách hàng</t>
        </is>
      </c>
      <c r="AW7" s="23" t="inlineStr">
        <is>
          <t>S1-C06</t>
        </is>
      </c>
      <c r="AX7" s="23" t="inlineStr">
        <is>
          <t>Split/Chuyển tải</t>
        </is>
      </c>
      <c r="AY7" s="23" t="inlineStr">
        <is>
          <t>Split Order/Chuyển tải hoặc xin xe nhỏ nhiều chuyến</t>
        </is>
      </c>
      <c r="AZ7" s="23" t="inlineStr">
        <is>
          <t>Review</t>
        </is>
      </c>
      <c r="BA7" s="23" t="inlineStr">
        <is>
          <t>Vehicle Mismatch</t>
        </is>
      </c>
      <c r="BB7" s="23">
        <f>AM7+AN7</f>
        <v/>
      </c>
      <c r="BC7" s="23">
        <f>ROUND(W7/'03_Cost_Constraints'!$B$4*60,0)</f>
        <v/>
      </c>
      <c r="BD7" s="23">
        <f>IF(X7&lt;=500,"5 tạ",IF(X7&lt;=1250,"1.25T",IF(X7&lt;=5000,"5T",IF(X7&lt;=8000,"8T",IF(X7&lt;=15000,"3 chân","4 chân")))))</f>
        <v/>
      </c>
      <c r="BE7" s="23">
        <f>IF((BB7+BC7)&lt;=AO7,"OK","Risk")</f>
        <v/>
      </c>
      <c r="BF7" s="23">
        <f>IF(AND(AZ7="OK",BE7="OK"),"Ready","Review")</f>
        <v/>
      </c>
      <c r="BG7" s="23" t="n"/>
    </row>
    <row r="8" ht="18" customHeight="1" s="17">
      <c r="A8" s="21" t="inlineStr">
        <is>
          <t>S1</t>
        </is>
      </c>
      <c r="B8" s="21" t="inlineStr">
        <is>
          <t>2026-06-05</t>
        </is>
      </c>
      <c r="C8" s="21" t="inlineStr">
        <is>
          <t>S1-ORD-007</t>
        </is>
      </c>
      <c r="D8" s="21" t="inlineStr">
        <is>
          <t>Masan</t>
        </is>
      </c>
      <c r="E8" s="21" t="inlineStr">
        <is>
          <t>Thái Dương</t>
        </is>
      </c>
      <c r="F8" s="21" t="inlineStr">
        <is>
          <t>Đại lý</t>
        </is>
      </c>
      <c r="G8" s="21" t="inlineStr">
        <is>
          <t>POSM</t>
        </is>
      </c>
      <c r="H8" s="21" t="inlineStr">
        <is>
          <t>POSM trưng bày</t>
        </is>
      </c>
      <c r="I8" s="21" t="inlineStr">
        <is>
          <t>PK_HY_MYHAO</t>
        </is>
      </c>
      <c r="J8" s="21" t="inlineStr">
        <is>
          <t>Kho/Nhà máy khách hàng Mỹ Hào</t>
        </is>
      </c>
      <c r="K8" s="21" t="inlineStr">
        <is>
          <t>Hưng Yên</t>
        </is>
      </c>
      <c r="L8" s="21" t="inlineStr">
        <is>
          <t>Mỹ Hào</t>
        </is>
      </c>
      <c r="M8" s="22" t="n">
        <v>20.9329</v>
      </c>
      <c r="N8" s="22" t="n">
        <v>106.065</v>
      </c>
      <c r="O8" s="21" t="inlineStr">
        <is>
          <t>DL_HN_THAIDUONG</t>
        </is>
      </c>
      <c r="P8" s="21" t="inlineStr">
        <is>
          <t>Thái Dương</t>
        </is>
      </c>
      <c r="Q8" s="21" t="inlineStr">
        <is>
          <t>Hà Nội</t>
        </is>
      </c>
      <c r="R8" s="21" t="inlineStr">
        <is>
          <t>Hà Nội</t>
        </is>
      </c>
      <c r="S8" s="22" t="n">
        <v>20.929215</v>
      </c>
      <c r="T8" s="22" t="n">
        <v>105.869998</v>
      </c>
      <c r="U8" s="21" t="inlineStr">
        <is>
          <t>Nội thành Hà Nội</t>
        </is>
      </c>
      <c r="V8" s="21" t="inlineStr">
        <is>
          <t>Nội thành Hà Nội</t>
        </is>
      </c>
      <c r="W8" s="29" t="n">
        <v>31.3</v>
      </c>
      <c r="X8" s="28" t="n">
        <v>1470</v>
      </c>
      <c r="Y8" s="29" t="n">
        <v>33.65</v>
      </c>
      <c r="Z8" s="28" t="n">
        <v>28</v>
      </c>
      <c r="AA8" s="21" t="inlineStr">
        <is>
          <t>8T</t>
        </is>
      </c>
      <c r="AB8" s="21" t="inlineStr">
        <is>
          <t>1.25T</t>
        </is>
      </c>
      <c r="AC8" s="21" t="inlineStr">
        <is>
          <t>No</t>
        </is>
      </c>
      <c r="AD8" s="21" t="inlineStr">
        <is>
          <t>Yes</t>
        </is>
      </c>
      <c r="AE8" s="21" t="inlineStr">
        <is>
          <t>No</t>
        </is>
      </c>
      <c r="AF8" s="21" t="inlineStr">
        <is>
          <t>Yes</t>
        </is>
      </c>
      <c r="AG8" s="21" t="inlineStr">
        <is>
          <t>Đường nhỏ, ưu tiên xe &lt;=1.25T</t>
        </is>
      </c>
      <c r="AH8" s="21" t="inlineStr">
        <is>
          <t>07:00</t>
        </is>
      </c>
      <c r="AI8" s="21" t="inlineStr">
        <is>
          <t>09:00</t>
        </is>
      </c>
      <c r="AJ8" s="21" t="inlineStr">
        <is>
          <t>09:23</t>
        </is>
      </c>
      <c r="AK8" s="21" t="inlineStr">
        <is>
          <t>11:23</t>
        </is>
      </c>
      <c r="AL8" s="22" t="n">
        <v>30</v>
      </c>
      <c r="AM8" s="22" t="n">
        <v>40</v>
      </c>
      <c r="AN8" s="22" t="n">
        <v>35</v>
      </c>
      <c r="AO8" s="22" t="n">
        <v>263</v>
      </c>
      <c r="AP8" s="31" t="n">
        <v>660000</v>
      </c>
      <c r="AQ8" s="31" t="n">
        <v>0</v>
      </c>
      <c r="AR8" s="31" t="n">
        <v>0</v>
      </c>
      <c r="AS8" s="28" t="n">
        <v>80000</v>
      </c>
      <c r="AT8" s="21" t="inlineStr">
        <is>
          <t>B - Thường</t>
        </is>
      </c>
      <c r="AU8" s="21" t="inlineStr">
        <is>
          <t>CR-NỘIT-03</t>
        </is>
      </c>
      <c r="AV8" s="21" t="inlineStr">
        <is>
          <t>Hệ thống khách hàng</t>
        </is>
      </c>
      <c r="AW8" s="21" t="inlineStr">
        <is>
          <t>S1-C07</t>
        </is>
      </c>
      <c r="AX8" s="21" t="inlineStr">
        <is>
          <t>Split/Chuyển tải</t>
        </is>
      </c>
      <c r="AY8" s="21" t="inlineStr">
        <is>
          <t>Split Order/Chuyển tải hoặc xin xe nhỏ nhiều chuyến</t>
        </is>
      </c>
      <c r="AZ8" s="21" t="inlineStr">
        <is>
          <t>Review</t>
        </is>
      </c>
      <c r="BA8" s="21" t="inlineStr">
        <is>
          <t>Vehicle Mismatch</t>
        </is>
      </c>
      <c r="BB8" s="21">
        <f>AM8+AN8</f>
        <v/>
      </c>
      <c r="BC8" s="21">
        <f>ROUND(W8/'03_Cost_Constraints'!$B$4*60,0)</f>
        <v/>
      </c>
      <c r="BD8" s="21">
        <f>IF(X8&lt;=500,"5 tạ",IF(X8&lt;=1250,"1.25T",IF(X8&lt;=5000,"5T",IF(X8&lt;=8000,"8T",IF(X8&lt;=15000,"3 chân","4 chân")))))</f>
        <v/>
      </c>
      <c r="BE8" s="21">
        <f>IF((BB8+BC8)&lt;=AO8,"OK","Risk")</f>
        <v/>
      </c>
      <c r="BF8" s="21">
        <f>IF(AND(AZ8="OK",BE8="OK"),"Ready","Review")</f>
        <v/>
      </c>
      <c r="BG8" s="21" t="n"/>
    </row>
    <row r="9" ht="18" customHeight="1" s="17">
      <c r="A9" s="23" t="inlineStr">
        <is>
          <t>S1</t>
        </is>
      </c>
      <c r="B9" s="23" t="inlineStr">
        <is>
          <t>2026-06-05</t>
        </is>
      </c>
      <c r="C9" s="23" t="inlineStr">
        <is>
          <t>S1-ORD-008</t>
        </is>
      </c>
      <c r="D9" s="23" t="inlineStr">
        <is>
          <t>Acecook</t>
        </is>
      </c>
      <c r="E9" s="23" t="inlineStr">
        <is>
          <t>VINMART Võ Thị Sáu</t>
        </is>
      </c>
      <c r="F9" s="23" t="inlineStr">
        <is>
          <t>ST</t>
        </is>
      </c>
      <c r="G9" s="23" t="inlineStr">
        <is>
          <t>POSM</t>
        </is>
      </c>
      <c r="H9" s="23" t="inlineStr">
        <is>
          <t>POSM trưng bày</t>
        </is>
      </c>
      <c r="I9" s="23" t="inlineStr">
        <is>
          <t>PK_LINFOX_VSIP</t>
        </is>
      </c>
      <c r="J9" s="23" t="inlineStr">
        <is>
          <t>Kho Linfox KCN VSIP Bắc Ninh</t>
        </is>
      </c>
      <c r="K9" s="23" t="inlineStr">
        <is>
          <t>Bắc Ninh</t>
        </is>
      </c>
      <c r="L9" s="23" t="inlineStr">
        <is>
          <t>Từ Sơn</t>
        </is>
      </c>
      <c r="M9" s="24" t="n">
        <v>21.082707</v>
      </c>
      <c r="N9" s="24" t="n">
        <v>105.997949</v>
      </c>
      <c r="O9" s="23" t="inlineStr">
        <is>
          <t>DL_HN_VOTHISAU</t>
        </is>
      </c>
      <c r="P9" s="23" t="inlineStr">
        <is>
          <t>VINMART Võ Thị Sáu</t>
        </is>
      </c>
      <c r="Q9" s="23" t="inlineStr">
        <is>
          <t>Hà Nội</t>
        </is>
      </c>
      <c r="R9" s="23" t="inlineStr">
        <is>
          <t>Hai Bà Trưng</t>
        </is>
      </c>
      <c r="S9" s="24" t="n">
        <v>21.00441</v>
      </c>
      <c r="T9" s="24" t="n">
        <v>105.855148</v>
      </c>
      <c r="U9" s="23" t="inlineStr">
        <is>
          <t>Nội thành Hà Nội</t>
        </is>
      </c>
      <c r="V9" s="23" t="inlineStr">
        <is>
          <t>Nội thành Hà Nội</t>
        </is>
      </c>
      <c r="W9" s="33" t="n">
        <v>31.9</v>
      </c>
      <c r="X9" s="32" t="n">
        <v>1371</v>
      </c>
      <c r="Y9" s="33" t="n">
        <v>32.73</v>
      </c>
      <c r="Z9" s="32" t="n">
        <v>27</v>
      </c>
      <c r="AA9" s="23" t="inlineStr">
        <is>
          <t>8T</t>
        </is>
      </c>
      <c r="AB9" s="23" t="inlineStr">
        <is>
          <t>1.25T</t>
        </is>
      </c>
      <c r="AC9" s="23" t="inlineStr">
        <is>
          <t>No</t>
        </is>
      </c>
      <c r="AD9" s="23" t="inlineStr">
        <is>
          <t>Yes</t>
        </is>
      </c>
      <c r="AE9" s="23" t="inlineStr">
        <is>
          <t>No</t>
        </is>
      </c>
      <c r="AF9" s="23" t="inlineStr">
        <is>
          <t>Yes</t>
        </is>
      </c>
      <c r="AG9" s="23" t="inlineStr">
        <is>
          <t>Giờ cấm tải, xe &lt;=1.25T</t>
        </is>
      </c>
      <c r="AH9" s="23" t="inlineStr">
        <is>
          <t>09:00</t>
        </is>
      </c>
      <c r="AI9" s="23" t="inlineStr">
        <is>
          <t>10:30</t>
        </is>
      </c>
      <c r="AJ9" s="23" t="inlineStr">
        <is>
          <t>12:24</t>
        </is>
      </c>
      <c r="AK9" s="23" t="inlineStr">
        <is>
          <t>14:24</t>
        </is>
      </c>
      <c r="AL9" s="24" t="n">
        <v>45</v>
      </c>
      <c r="AM9" s="24" t="n">
        <v>40</v>
      </c>
      <c r="AN9" s="24" t="n">
        <v>35</v>
      </c>
      <c r="AO9" s="24" t="n">
        <v>324</v>
      </c>
      <c r="AP9" s="35" t="n">
        <v>650000</v>
      </c>
      <c r="AQ9" s="35" t="n">
        <v>0</v>
      </c>
      <c r="AR9" s="35" t="n">
        <v>0</v>
      </c>
      <c r="AS9" s="32" t="n">
        <v>80000</v>
      </c>
      <c r="AT9" s="23" t="inlineStr">
        <is>
          <t>C - Có thể thương lượng</t>
        </is>
      </c>
      <c r="AU9" s="23" t="inlineStr">
        <is>
          <t>CR-NỘIT-04</t>
        </is>
      </c>
      <c r="AV9" s="23" t="inlineStr">
        <is>
          <t>Zalo/Email plan 17:00</t>
        </is>
      </c>
      <c r="AW9" s="23" t="inlineStr">
        <is>
          <t>S1-C07</t>
        </is>
      </c>
      <c r="AX9" s="23" t="inlineStr">
        <is>
          <t>Split/Chuyển tải</t>
        </is>
      </c>
      <c r="AY9" s="23" t="inlineStr">
        <is>
          <t>Split Order/Chuyển tải hoặc xin xe nhỏ nhiều chuyến</t>
        </is>
      </c>
      <c r="AZ9" s="23" t="inlineStr">
        <is>
          <t>Review</t>
        </is>
      </c>
      <c r="BA9" s="23" t="inlineStr">
        <is>
          <t>Vehicle Mismatch</t>
        </is>
      </c>
      <c r="BB9" s="23">
        <f>AM9+AN9</f>
        <v/>
      </c>
      <c r="BC9" s="23">
        <f>ROUND(W9/'03_Cost_Constraints'!$B$4*60,0)</f>
        <v/>
      </c>
      <c r="BD9" s="23">
        <f>IF(X9&lt;=500,"5 tạ",IF(X9&lt;=1250,"1.25T",IF(X9&lt;=5000,"5T",IF(X9&lt;=8000,"8T",IF(X9&lt;=15000,"3 chân","4 chân")))))</f>
        <v/>
      </c>
      <c r="BE9" s="23">
        <f>IF((BB9+BC9)&lt;=AO9,"OK","Risk")</f>
        <v/>
      </c>
      <c r="BF9" s="23">
        <f>IF(AND(AZ9="OK",BE9="OK"),"Ready","Review")</f>
        <v/>
      </c>
      <c r="BG9" s="23" t="inlineStr">
        <is>
          <t>Kế hoạch ngày hôm sau; cần chốt trước 19:00 và gửi tài xế sau duyệt</t>
        </is>
      </c>
    </row>
    <row r="10" ht="18" customHeight="1" s="17">
      <c r="A10" s="21" t="inlineStr">
        <is>
          <t>S1</t>
        </is>
      </c>
      <c r="B10" s="21" t="inlineStr">
        <is>
          <t>2026-06-05</t>
        </is>
      </c>
      <c r="C10" s="21" t="inlineStr">
        <is>
          <t>S1-ORD-009</t>
        </is>
      </c>
      <c r="D10" s="21" t="inlineStr">
        <is>
          <t>MM Mega Market</t>
        </is>
      </c>
      <c r="E10" s="21" t="inlineStr">
        <is>
          <t>VINMART Hoài Đức</t>
        </is>
      </c>
      <c r="F10" s="21" t="inlineStr">
        <is>
          <t>ST</t>
        </is>
      </c>
      <c r="G10" s="21" t="inlineStr">
        <is>
          <t>EXPL</t>
        </is>
      </c>
      <c r="H10" s="21" t="inlineStr">
        <is>
          <t>Bia lon Saigon Export</t>
        </is>
      </c>
      <c r="I10" s="21" t="inlineStr">
        <is>
          <t>PK_HPL_LB</t>
        </is>
      </c>
      <c r="J10" s="21" t="inlineStr">
        <is>
          <t>HPL Depot Long Biên - 20 Thạch Bàn</t>
        </is>
      </c>
      <c r="K10" s="21" t="inlineStr">
        <is>
          <t>Hà Nội</t>
        </is>
      </c>
      <c r="L10" s="21" t="inlineStr">
        <is>
          <t>Long Biên</t>
        </is>
      </c>
      <c r="M10" s="22" t="n">
        <v>21.0261548385</v>
      </c>
      <c r="N10" s="22" t="n">
        <v>105.914182238</v>
      </c>
      <c r="O10" s="21" t="inlineStr">
        <is>
          <t>DL_HN_HOAIDUC</t>
        </is>
      </c>
      <c r="P10" s="21" t="inlineStr">
        <is>
          <t>VINMART Hoài Đức</t>
        </is>
      </c>
      <c r="Q10" s="21" t="inlineStr">
        <is>
          <t>Hà Nội</t>
        </is>
      </c>
      <c r="R10" s="21" t="inlineStr">
        <is>
          <t>Hoài Đức</t>
        </is>
      </c>
      <c r="S10" s="22" t="n">
        <v>21.005046</v>
      </c>
      <c r="T10" s="22" t="n">
        <v>105.728286</v>
      </c>
      <c r="U10" s="21" t="inlineStr">
        <is>
          <t>Tây Bắc</t>
        </is>
      </c>
      <c r="V10" s="21" t="inlineStr">
        <is>
          <t>Tây Bắc</t>
        </is>
      </c>
      <c r="W10" s="29" t="n">
        <v>28.9</v>
      </c>
      <c r="X10" s="28" t="n">
        <v>4822</v>
      </c>
      <c r="Y10" s="29" t="n">
        <v>12.04</v>
      </c>
      <c r="Z10" s="28" t="n">
        <v>10</v>
      </c>
      <c r="AA10" s="21" t="inlineStr">
        <is>
          <t>5T</t>
        </is>
      </c>
      <c r="AB10" s="21" t="inlineStr">
        <is>
          <t>5T</t>
        </is>
      </c>
      <c r="AC10" s="21" t="inlineStr">
        <is>
          <t>No</t>
        </is>
      </c>
      <c r="AD10" s="21" t="inlineStr">
        <is>
          <t>Yes</t>
        </is>
      </c>
      <c r="AE10" s="21" t="inlineStr">
        <is>
          <t>No</t>
        </is>
      </c>
      <c r="AF10" s="21" t="inlineStr">
        <is>
          <t>No</t>
        </is>
      </c>
      <c r="AG10" s="21" t="inlineStr">
        <is>
          <t>Ngoại thành, xe 5T vào được</t>
        </is>
      </c>
      <c r="AH10" s="21" t="inlineStr">
        <is>
          <t>08:00</t>
        </is>
      </c>
      <c r="AI10" s="21" t="inlineStr">
        <is>
          <t>10:30</t>
        </is>
      </c>
      <c r="AJ10" s="21" t="inlineStr">
        <is>
          <t>09:38</t>
        </is>
      </c>
      <c r="AK10" s="21" t="inlineStr">
        <is>
          <t>12:38</t>
        </is>
      </c>
      <c r="AL10" s="22" t="n">
        <v>30</v>
      </c>
      <c r="AM10" s="22" t="n">
        <v>40</v>
      </c>
      <c r="AN10" s="22" t="n">
        <v>35</v>
      </c>
      <c r="AO10" s="22" t="n">
        <v>278</v>
      </c>
      <c r="AP10" s="31" t="n">
        <v>1170000</v>
      </c>
      <c r="AQ10" s="31" t="n">
        <v>150000</v>
      </c>
      <c r="AR10" s="31" t="n">
        <v>0</v>
      </c>
      <c r="AS10" s="28" t="n">
        <v>80000</v>
      </c>
      <c r="AT10" s="21" t="inlineStr">
        <is>
          <t>C - Có thể thương lượng</t>
        </is>
      </c>
      <c r="AU10" s="21" t="inlineStr">
        <is>
          <t>CR-TÂYB-05</t>
        </is>
      </c>
      <c r="AV10" s="21" t="inlineStr">
        <is>
          <t>Manual nhập điều phối</t>
        </is>
      </c>
      <c r="AW10" s="21" t="inlineStr">
        <is>
          <t>S1-C09</t>
        </is>
      </c>
      <c r="AX10" s="21" t="inlineStr">
        <is>
          <t>5T</t>
        </is>
      </c>
      <c r="AY10" s="21" t="inlineStr">
        <is>
          <t>Send to Clustering</t>
        </is>
      </c>
      <c r="AZ10" s="21" t="inlineStr">
        <is>
          <t>OK</t>
        </is>
      </c>
      <c r="BA10" s="21" t="inlineStr">
        <is>
          <t>OK</t>
        </is>
      </c>
      <c r="BB10" s="21">
        <f>AM10+AN10</f>
        <v/>
      </c>
      <c r="BC10" s="21">
        <f>ROUND(W10/'03_Cost_Constraints'!$B$4*60,0)</f>
        <v/>
      </c>
      <c r="BD10" s="21">
        <f>IF(X10&lt;=500,"5 tạ",IF(X10&lt;=1250,"1.25T",IF(X10&lt;=5000,"5T",IF(X10&lt;=8000,"8T",IF(X10&lt;=15000,"3 chân","4 chân")))))</f>
        <v/>
      </c>
      <c r="BE10" s="21">
        <f>IF((BB10+BC10)&lt;=AO10,"OK","Risk")</f>
        <v/>
      </c>
      <c r="BF10" s="21">
        <f>IF(AND(AZ10="OK",BE10="OK"),"Ready","Review")</f>
        <v/>
      </c>
      <c r="BG10" s="21" t="n"/>
    </row>
    <row r="11" ht="18" customHeight="1" s="17">
      <c r="A11" s="23" t="inlineStr">
        <is>
          <t>S1</t>
        </is>
      </c>
      <c r="B11" s="23" t="inlineStr">
        <is>
          <t>2026-06-05</t>
        </is>
      </c>
      <c r="C11" s="23" t="inlineStr">
        <is>
          <t>S1-ORD-010</t>
        </is>
      </c>
      <c r="D11" s="23" t="inlineStr">
        <is>
          <t>Acecook</t>
        </is>
      </c>
      <c r="E11" s="23" t="inlineStr">
        <is>
          <t>Thái Dương</t>
        </is>
      </c>
      <c r="F11" s="23" t="inlineStr">
        <is>
          <t>Đại lý</t>
        </is>
      </c>
      <c r="G11" s="23" t="inlineStr">
        <is>
          <t>SP33</t>
        </is>
      </c>
      <c r="H11" s="23" t="inlineStr">
        <is>
          <t>Bia lon Saigon Special</t>
        </is>
      </c>
      <c r="I11" s="23" t="inlineStr">
        <is>
          <t>PK_LINFOX_VSIP</t>
        </is>
      </c>
      <c r="J11" s="23" t="inlineStr">
        <is>
          <t>Kho Linfox KCN VSIP Bắc Ninh</t>
        </is>
      </c>
      <c r="K11" s="23" t="inlineStr">
        <is>
          <t>Bắc Ninh</t>
        </is>
      </c>
      <c r="L11" s="23" t="inlineStr">
        <is>
          <t>Từ Sơn</t>
        </is>
      </c>
      <c r="M11" s="24" t="n">
        <v>21.082707</v>
      </c>
      <c r="N11" s="24" t="n">
        <v>105.997949</v>
      </c>
      <c r="O11" s="23" t="inlineStr">
        <is>
          <t>DL_HN_THAIDUONG</t>
        </is>
      </c>
      <c r="P11" s="23" t="inlineStr">
        <is>
          <t>Thái Dương</t>
        </is>
      </c>
      <c r="Q11" s="23" t="inlineStr">
        <is>
          <t>Hà Nội</t>
        </is>
      </c>
      <c r="R11" s="23" t="inlineStr">
        <is>
          <t>Hà Nội</t>
        </is>
      </c>
      <c r="S11" s="24" t="n">
        <v>20.929215</v>
      </c>
      <c r="T11" s="24" t="n">
        <v>105.869998</v>
      </c>
      <c r="U11" s="23" t="inlineStr">
        <is>
          <t>Nội thành Hà Nội</t>
        </is>
      </c>
      <c r="V11" s="23" t="inlineStr">
        <is>
          <t>Nội thành Hà Nội</t>
        </is>
      </c>
      <c r="W11" s="33" t="n">
        <v>35.5</v>
      </c>
      <c r="X11" s="32" t="n">
        <v>909</v>
      </c>
      <c r="Y11" s="33" t="n">
        <v>1.5</v>
      </c>
      <c r="Z11" s="32" t="n">
        <v>1</v>
      </c>
      <c r="AA11" s="23" t="inlineStr">
        <is>
          <t>1.25T</t>
        </is>
      </c>
      <c r="AB11" s="23" t="inlineStr">
        <is>
          <t>1.25T</t>
        </is>
      </c>
      <c r="AC11" s="23" t="inlineStr">
        <is>
          <t>No</t>
        </is>
      </c>
      <c r="AD11" s="23" t="inlineStr">
        <is>
          <t>Yes</t>
        </is>
      </c>
      <c r="AE11" s="23" t="inlineStr">
        <is>
          <t>No</t>
        </is>
      </c>
      <c r="AF11" s="23" t="inlineStr">
        <is>
          <t>Yes</t>
        </is>
      </c>
      <c r="AG11" s="23" t="inlineStr">
        <is>
          <t>Đường nhỏ, ưu tiên xe &lt;=1.25T</t>
        </is>
      </c>
      <c r="AH11" s="23" t="inlineStr">
        <is>
          <t>07:00</t>
        </is>
      </c>
      <c r="AI11" s="23" t="inlineStr">
        <is>
          <t>08:30</t>
        </is>
      </c>
      <c r="AJ11" s="23" t="inlineStr">
        <is>
          <t>09:15</t>
        </is>
      </c>
      <c r="AK11" s="23" t="inlineStr">
        <is>
          <t>10:45</t>
        </is>
      </c>
      <c r="AL11" s="24" t="n">
        <v>45</v>
      </c>
      <c r="AM11" s="24" t="n">
        <v>25</v>
      </c>
      <c r="AN11" s="24" t="n">
        <v>20</v>
      </c>
      <c r="AO11" s="24" t="n">
        <v>225</v>
      </c>
      <c r="AP11" s="35" t="n">
        <v>600000</v>
      </c>
      <c r="AQ11" s="35" t="n">
        <v>0</v>
      </c>
      <c r="AR11" s="35" t="n">
        <v>0</v>
      </c>
      <c r="AS11" s="32" t="n">
        <v>80000</v>
      </c>
      <c r="AT11" s="23" t="inlineStr">
        <is>
          <t>C - Có thể thương lượng</t>
        </is>
      </c>
      <c r="AU11" s="23" t="inlineStr">
        <is>
          <t>CR-NỘIT-01</t>
        </is>
      </c>
      <c r="AV11" s="23" t="inlineStr">
        <is>
          <t>Excel khách hàng</t>
        </is>
      </c>
      <c r="AW11" s="23" t="inlineStr">
        <is>
          <t>S1-C10</t>
        </is>
      </c>
      <c r="AX11" s="23" t="inlineStr">
        <is>
          <t>1.25T</t>
        </is>
      </c>
      <c r="AY11" s="23" t="inlineStr">
        <is>
          <t>Send to Clustering</t>
        </is>
      </c>
      <c r="AZ11" s="23" t="inlineStr">
        <is>
          <t>OK</t>
        </is>
      </c>
      <c r="BA11" s="23" t="inlineStr">
        <is>
          <t>Cấm tải/đường nhỏ - đã chọn xe nhỏ</t>
        </is>
      </c>
      <c r="BB11" s="23">
        <f>AM11+AN11</f>
        <v/>
      </c>
      <c r="BC11" s="23">
        <f>ROUND(W11/'03_Cost_Constraints'!$B$4*60,0)</f>
        <v/>
      </c>
      <c r="BD11" s="23">
        <f>IF(X11&lt;=500,"5 tạ",IF(X11&lt;=1250,"1.25T",IF(X11&lt;=5000,"5T",IF(X11&lt;=8000,"8T",IF(X11&lt;=15000,"3 chân","4 chân")))))</f>
        <v/>
      </c>
      <c r="BE11" s="23">
        <f>IF((BB11+BC11)&lt;=AO11,"OK","Risk")</f>
        <v/>
      </c>
      <c r="BF11" s="23">
        <f>IF(AND(AZ11="OK",BE11="OK"),"Ready","Review")</f>
        <v/>
      </c>
      <c r="BG11" s="23" t="n"/>
    </row>
    <row r="12" ht="18" customHeight="1" s="17">
      <c r="A12" s="21" t="inlineStr">
        <is>
          <t>S1</t>
        </is>
      </c>
      <c r="B12" s="21" t="inlineStr">
        <is>
          <t>2026-06-05</t>
        </is>
      </c>
      <c r="C12" s="21" t="inlineStr">
        <is>
          <t>S1-ORD-011</t>
        </is>
      </c>
      <c r="D12" s="21" t="inlineStr">
        <is>
          <t>MM Mega Market</t>
        </is>
      </c>
      <c r="E12" s="21" t="inlineStr">
        <is>
          <t>VINMART Bắc Từ Liêm</t>
        </is>
      </c>
      <c r="F12" s="21" t="inlineStr">
        <is>
          <t>ST</t>
        </is>
      </c>
      <c r="G12" s="21" t="inlineStr">
        <is>
          <t>SP33</t>
        </is>
      </c>
      <c r="H12" s="21" t="inlineStr">
        <is>
          <t>Bia lon Saigon Special</t>
        </is>
      </c>
      <c r="I12" s="21" t="inlineStr">
        <is>
          <t>PK_HPL_LB</t>
        </is>
      </c>
      <c r="J12" s="21" t="inlineStr">
        <is>
          <t>HPL Depot Long Biên - 20 Thạch Bàn</t>
        </is>
      </c>
      <c r="K12" s="21" t="inlineStr">
        <is>
          <t>Hà Nội</t>
        </is>
      </c>
      <c r="L12" s="21" t="inlineStr">
        <is>
          <t>Long Biên</t>
        </is>
      </c>
      <c r="M12" s="22" t="n">
        <v>21.0261548385</v>
      </c>
      <c r="N12" s="22" t="n">
        <v>105.914182238</v>
      </c>
      <c r="O12" s="21" t="inlineStr">
        <is>
          <t>DL_HN_BACTULIEM</t>
        </is>
      </c>
      <c r="P12" s="21" t="inlineStr">
        <is>
          <t>VINMART Bắc Từ Liêm</t>
        </is>
      </c>
      <c r="Q12" s="21" t="inlineStr">
        <is>
          <t>Hà Nội</t>
        </is>
      </c>
      <c r="R12" s="21" t="inlineStr">
        <is>
          <t>Bắc Từ Liêm</t>
        </is>
      </c>
      <c r="S12" s="22" t="n">
        <v>21.052701</v>
      </c>
      <c r="T12" s="22" t="n">
        <v>105.780729</v>
      </c>
      <c r="U12" s="21" t="inlineStr">
        <is>
          <t>Nội thành Hà Nội</t>
        </is>
      </c>
      <c r="V12" s="21" t="inlineStr">
        <is>
          <t>Nội thành Hà Nội</t>
        </is>
      </c>
      <c r="W12" s="29" t="n">
        <v>26.2</v>
      </c>
      <c r="X12" s="28" t="n">
        <v>945</v>
      </c>
      <c r="Y12" s="29" t="n">
        <v>2.06</v>
      </c>
      <c r="Z12" s="28" t="n">
        <v>1</v>
      </c>
      <c r="AA12" s="21" t="inlineStr">
        <is>
          <t>1.25T</t>
        </is>
      </c>
      <c r="AB12" s="21" t="inlineStr">
        <is>
          <t>1.25T</t>
        </is>
      </c>
      <c r="AC12" s="21" t="inlineStr">
        <is>
          <t>No</t>
        </is>
      </c>
      <c r="AD12" s="21" t="inlineStr">
        <is>
          <t>Yes</t>
        </is>
      </c>
      <c r="AE12" s="21" t="inlineStr">
        <is>
          <t>No</t>
        </is>
      </c>
      <c r="AF12" s="21" t="inlineStr">
        <is>
          <t>Yes</t>
        </is>
      </c>
      <c r="AG12" s="21" t="inlineStr">
        <is>
          <t>Nội đô, khung giờ hạn chế xe tải</t>
        </is>
      </c>
      <c r="AH12" s="21" t="inlineStr">
        <is>
          <t>07:00</t>
        </is>
      </c>
      <c r="AI12" s="21" t="inlineStr">
        <is>
          <t>09:00</t>
        </is>
      </c>
      <c r="AJ12" s="21" t="inlineStr">
        <is>
          <t>09:29</t>
        </is>
      </c>
      <c r="AK12" s="21" t="inlineStr">
        <is>
          <t>10:59</t>
        </is>
      </c>
      <c r="AL12" s="22" t="n">
        <v>30</v>
      </c>
      <c r="AM12" s="22" t="n">
        <v>25</v>
      </c>
      <c r="AN12" s="22" t="n">
        <v>20</v>
      </c>
      <c r="AO12" s="22" t="n">
        <v>239</v>
      </c>
      <c r="AP12" s="31" t="n">
        <v>910000</v>
      </c>
      <c r="AQ12" s="31" t="n">
        <v>0</v>
      </c>
      <c r="AR12" s="31" t="n">
        <v>0</v>
      </c>
      <c r="AS12" s="28" t="n">
        <v>80000</v>
      </c>
      <c r="AT12" s="21" t="inlineStr">
        <is>
          <t>B - Thường</t>
        </is>
      </c>
      <c r="AU12" s="21" t="inlineStr">
        <is>
          <t>CR-NỘIT-02</t>
        </is>
      </c>
      <c r="AV12" s="21" t="inlineStr">
        <is>
          <t>Hệ thống khách hàng</t>
        </is>
      </c>
      <c r="AW12" s="21" t="inlineStr">
        <is>
          <t>S1-C11</t>
        </is>
      </c>
      <c r="AX12" s="21" t="inlineStr">
        <is>
          <t>1.25T</t>
        </is>
      </c>
      <c r="AY12" s="21" t="inlineStr">
        <is>
          <t>Send to Clustering</t>
        </is>
      </c>
      <c r="AZ12" s="21" t="inlineStr">
        <is>
          <t>OK</t>
        </is>
      </c>
      <c r="BA12" s="21" t="inlineStr">
        <is>
          <t>Cấm tải/đường nhỏ - đã chọn xe nhỏ</t>
        </is>
      </c>
      <c r="BB12" s="21">
        <f>AM12+AN12</f>
        <v/>
      </c>
      <c r="BC12" s="21">
        <f>ROUND(W12/'03_Cost_Constraints'!$B$4*60,0)</f>
        <v/>
      </c>
      <c r="BD12" s="21">
        <f>IF(X12&lt;=500,"5 tạ",IF(X12&lt;=1250,"1.25T",IF(X12&lt;=5000,"5T",IF(X12&lt;=8000,"8T",IF(X12&lt;=15000,"3 chân","4 chân")))))</f>
        <v/>
      </c>
      <c r="BE12" s="21">
        <f>IF((BB12+BC12)&lt;=AO12,"OK","Risk")</f>
        <v/>
      </c>
      <c r="BF12" s="21">
        <f>IF(AND(AZ12="OK",BE12="OK"),"Ready","Review")</f>
        <v/>
      </c>
      <c r="BG12" s="21" t="n"/>
    </row>
    <row r="13" ht="18" customHeight="1" s="17">
      <c r="A13" s="23" t="inlineStr">
        <is>
          <t>S1</t>
        </is>
      </c>
      <c r="B13" s="23" t="inlineStr">
        <is>
          <t>2026-06-05</t>
        </is>
      </c>
      <c r="C13" s="23" t="inlineStr">
        <is>
          <t>S1-ORD-012</t>
        </is>
      </c>
      <c r="D13" s="23" t="inlineStr">
        <is>
          <t>VinCommerce</t>
        </is>
      </c>
      <c r="E13" s="23" t="inlineStr">
        <is>
          <t>TOPS MARKET Garden Mall</t>
        </is>
      </c>
      <c r="F13" s="23" t="inlineStr">
        <is>
          <t>MT</t>
        </is>
      </c>
      <c r="G13" s="23" t="inlineStr">
        <is>
          <t>EXPL</t>
        </is>
      </c>
      <c r="H13" s="23" t="inlineStr">
        <is>
          <t>Bia lon Saigon Export</t>
        </is>
      </c>
      <c r="I13" s="23" t="inlineStr">
        <is>
          <t>PK_LINFOX_VSIP</t>
        </is>
      </c>
      <c r="J13" s="23" t="inlineStr">
        <is>
          <t>Kho Linfox KCN VSIP Bắc Ninh</t>
        </is>
      </c>
      <c r="K13" s="23" t="inlineStr">
        <is>
          <t>Bắc Ninh</t>
        </is>
      </c>
      <c r="L13" s="23" t="inlineStr">
        <is>
          <t>Từ Sơn</t>
        </is>
      </c>
      <c r="M13" s="24" t="n">
        <v>21.082707</v>
      </c>
      <c r="N13" s="24" t="n">
        <v>105.997949</v>
      </c>
      <c r="O13" s="23" t="inlineStr">
        <is>
          <t>DL_HN_GARDEN</t>
        </is>
      </c>
      <c r="P13" s="23" t="inlineStr">
        <is>
          <t>TOPS MARKET Garden Mall</t>
        </is>
      </c>
      <c r="Q13" s="23" t="inlineStr">
        <is>
          <t>Hà Nội</t>
        </is>
      </c>
      <c r="R13" s="23" t="inlineStr">
        <is>
          <t>Nam Từ Liêm</t>
        </is>
      </c>
      <c r="S13" s="24" t="n">
        <v>21.015324</v>
      </c>
      <c r="T13" s="24" t="n">
        <v>105.777839</v>
      </c>
      <c r="U13" s="23" t="inlineStr">
        <is>
          <t>Nội thành Hà Nội</t>
        </is>
      </c>
      <c r="V13" s="23" t="inlineStr">
        <is>
          <t>Nội thành Hà Nội</t>
        </is>
      </c>
      <c r="W13" s="33" t="n">
        <v>39.8</v>
      </c>
      <c r="X13" s="32" t="n">
        <v>349</v>
      </c>
      <c r="Y13" s="33" t="n">
        <v>0.89</v>
      </c>
      <c r="Z13" s="32" t="n">
        <v>1</v>
      </c>
      <c r="AA13" s="23" t="inlineStr">
        <is>
          <t>5 tạ</t>
        </is>
      </c>
      <c r="AB13" s="23" t="inlineStr">
        <is>
          <t>1.25T</t>
        </is>
      </c>
      <c r="AC13" s="23" t="inlineStr">
        <is>
          <t>No</t>
        </is>
      </c>
      <c r="AD13" s="23" t="inlineStr">
        <is>
          <t>Yes</t>
        </is>
      </c>
      <c r="AE13" s="23" t="inlineStr">
        <is>
          <t>No</t>
        </is>
      </c>
      <c r="AF13" s="23" t="inlineStr">
        <is>
          <t>Yes</t>
        </is>
      </c>
      <c r="AG13" s="23" t="inlineStr">
        <is>
          <t>Khung giờ nhập kho cố định</t>
        </is>
      </c>
      <c r="AH13" s="23" t="inlineStr">
        <is>
          <t>08:00</t>
        </is>
      </c>
      <c r="AI13" s="23" t="inlineStr">
        <is>
          <t>10:00</t>
        </is>
      </c>
      <c r="AJ13" s="23" t="inlineStr">
        <is>
          <t>10:23</t>
        </is>
      </c>
      <c r="AK13" s="23" t="inlineStr">
        <is>
          <t>13:23</t>
        </is>
      </c>
      <c r="AL13" s="24" t="n">
        <v>45</v>
      </c>
      <c r="AM13" s="24" t="n">
        <v>25</v>
      </c>
      <c r="AN13" s="24" t="n">
        <v>30</v>
      </c>
      <c r="AO13" s="24" t="n">
        <v>323</v>
      </c>
      <c r="AP13" s="35" t="n">
        <v>510000</v>
      </c>
      <c r="AQ13" s="35" t="n">
        <v>150000</v>
      </c>
      <c r="AR13" s="35" t="n">
        <v>120000</v>
      </c>
      <c r="AS13" s="32" t="n">
        <v>80000</v>
      </c>
      <c r="AT13" s="23" t="inlineStr">
        <is>
          <t>B - Thường</t>
        </is>
      </c>
      <c r="AU13" s="23" t="inlineStr">
        <is>
          <t>CR-NỘIT-03</t>
        </is>
      </c>
      <c r="AV13" s="23" t="inlineStr">
        <is>
          <t>Zalo/Email plan 17:00</t>
        </is>
      </c>
      <c r="AW13" s="23" t="inlineStr">
        <is>
          <t>S1-C12</t>
        </is>
      </c>
      <c r="AX13" s="23" t="inlineStr">
        <is>
          <t>5 tạ</t>
        </is>
      </c>
      <c r="AY13" s="23" t="inlineStr">
        <is>
          <t>Send to Clustering</t>
        </is>
      </c>
      <c r="AZ13" s="23" t="inlineStr">
        <is>
          <t>OK</t>
        </is>
      </c>
      <c r="BA13" s="23" t="inlineStr">
        <is>
          <t>Cấm tải/đường nhỏ - đã chọn xe nhỏ</t>
        </is>
      </c>
      <c r="BB13" s="23">
        <f>AM13+AN13</f>
        <v/>
      </c>
      <c r="BC13" s="23">
        <f>ROUND(W13/'03_Cost_Constraints'!$B$4*60,0)</f>
        <v/>
      </c>
      <c r="BD13" s="23">
        <f>IF(X13&lt;=500,"5 tạ",IF(X13&lt;=1250,"1.25T",IF(X13&lt;=5000,"5T",IF(X13&lt;=8000,"8T",IF(X13&lt;=15000,"3 chân","4 chân")))))</f>
        <v/>
      </c>
      <c r="BE13" s="23">
        <f>IF((BB13+BC13)&lt;=AO13,"OK","Risk")</f>
        <v/>
      </c>
      <c r="BF13" s="23">
        <f>IF(AND(AZ13="OK",BE13="OK"),"Ready","Review")</f>
        <v/>
      </c>
      <c r="BG13" s="23" t="inlineStr">
        <is>
          <t>Kế hoạch ngày hôm sau; cần chốt trước 19:00 và gửi tài xế sau duyệt</t>
        </is>
      </c>
    </row>
    <row r="14" ht="18" customHeight="1" s="17">
      <c r="A14" s="21" t="inlineStr">
        <is>
          <t>S1</t>
        </is>
      </c>
      <c r="B14" s="21" t="inlineStr">
        <is>
          <t>2026-06-05</t>
        </is>
      </c>
      <c r="C14" s="21" t="inlineStr">
        <is>
          <t>S1-ORD-013</t>
        </is>
      </c>
      <c r="D14" s="21" t="inlineStr">
        <is>
          <t>VinCommerce</t>
        </is>
      </c>
      <c r="E14" s="21" t="inlineStr">
        <is>
          <t>Siêu thị Hải Dương</t>
        </is>
      </c>
      <c r="F14" s="21" t="inlineStr">
        <is>
          <t>ST</t>
        </is>
      </c>
      <c r="G14" s="21" t="inlineStr">
        <is>
          <t>CHCA</t>
        </is>
      </c>
      <c r="H14" s="21" t="inlineStr">
        <is>
          <t>Bia lon Saigon Chill</t>
        </is>
      </c>
      <c r="I14" s="21" t="inlineStr">
        <is>
          <t>PK_LINFOX_VSIP</t>
        </is>
      </c>
      <c r="J14" s="21" t="inlineStr">
        <is>
          <t>Kho Linfox KCN VSIP Bắc Ninh</t>
        </is>
      </c>
      <c r="K14" s="21" t="inlineStr">
        <is>
          <t>Bắc Ninh</t>
        </is>
      </c>
      <c r="L14" s="21" t="inlineStr">
        <is>
          <t>Từ Sơn</t>
        </is>
      </c>
      <c r="M14" s="22" t="n">
        <v>21.082707</v>
      </c>
      <c r="N14" s="22" t="n">
        <v>105.997949</v>
      </c>
      <c r="O14" s="21" t="inlineStr">
        <is>
          <t>DL_HD_SIEUTHI</t>
        </is>
      </c>
      <c r="P14" s="21" t="inlineStr">
        <is>
          <t>Siêu thị Hải Dương</t>
        </is>
      </c>
      <c r="Q14" s="21" t="inlineStr">
        <is>
          <t>Hải Phòng</t>
        </is>
      </c>
      <c r="R14" s="21" t="inlineStr">
        <is>
          <t>Hải Dương</t>
        </is>
      </c>
      <c r="S14" s="22" t="n">
        <v>20.937341</v>
      </c>
      <c r="T14" s="22" t="n">
        <v>106.314555</v>
      </c>
      <c r="U14" s="21" t="inlineStr">
        <is>
          <t>Đông Bắc</t>
        </is>
      </c>
      <c r="V14" s="21" t="inlineStr">
        <is>
          <t>Đông Bắc</t>
        </is>
      </c>
      <c r="W14" s="29" t="n">
        <v>49.4</v>
      </c>
      <c r="X14" s="28" t="n">
        <v>1820</v>
      </c>
      <c r="Y14" s="29" t="n">
        <v>2.93</v>
      </c>
      <c r="Z14" s="28" t="n">
        <v>2</v>
      </c>
      <c r="AA14" s="21" t="inlineStr">
        <is>
          <t>5T</t>
        </is>
      </c>
      <c r="AB14" s="21" t="inlineStr">
        <is>
          <t>8T</t>
        </is>
      </c>
      <c r="AC14" s="21" t="inlineStr">
        <is>
          <t>No</t>
        </is>
      </c>
      <c r="AD14" s="21" t="inlineStr">
        <is>
          <t>Yes</t>
        </is>
      </c>
      <c r="AE14" s="21" t="inlineStr">
        <is>
          <t>No</t>
        </is>
      </c>
      <c r="AF14" s="21" t="inlineStr">
        <is>
          <t>No</t>
        </is>
      </c>
      <c r="AG14" s="21" t="inlineStr">
        <is>
          <t>Quốc lộ 5, xe 8T vào được</t>
        </is>
      </c>
      <c r="AH14" s="21" t="inlineStr">
        <is>
          <t>08:30</t>
        </is>
      </c>
      <c r="AI14" s="21" t="inlineStr">
        <is>
          <t>10:30</t>
        </is>
      </c>
      <c r="AJ14" s="21" t="inlineStr">
        <is>
          <t>12:05</t>
        </is>
      </c>
      <c r="AK14" s="21" t="inlineStr">
        <is>
          <t>15:05</t>
        </is>
      </c>
      <c r="AL14" s="22" t="n">
        <v>45</v>
      </c>
      <c r="AM14" s="22" t="n">
        <v>40</v>
      </c>
      <c r="AN14" s="22" t="n">
        <v>35</v>
      </c>
      <c r="AO14" s="22" t="n">
        <v>395</v>
      </c>
      <c r="AP14" s="31" t="n">
        <v>910000</v>
      </c>
      <c r="AQ14" s="31" t="n">
        <v>0</v>
      </c>
      <c r="AR14" s="31" t="n">
        <v>0</v>
      </c>
      <c r="AS14" s="28" t="n">
        <v>80000</v>
      </c>
      <c r="AT14" s="21" t="inlineStr">
        <is>
          <t>C - Có thể thương lượng</t>
        </is>
      </c>
      <c r="AU14" s="21" t="inlineStr">
        <is>
          <t>CR-ĐÔNG-04</t>
        </is>
      </c>
      <c r="AV14" s="21" t="inlineStr">
        <is>
          <t>Manual nhập điều phối</t>
        </is>
      </c>
      <c r="AW14" s="21" t="inlineStr">
        <is>
          <t>S1-C13</t>
        </is>
      </c>
      <c r="AX14" s="21" t="inlineStr">
        <is>
          <t>5T</t>
        </is>
      </c>
      <c r="AY14" s="21" t="inlineStr">
        <is>
          <t>Send to Clustering</t>
        </is>
      </c>
      <c r="AZ14" s="21" t="inlineStr">
        <is>
          <t>OK</t>
        </is>
      </c>
      <c r="BA14" s="21" t="inlineStr">
        <is>
          <t>OK</t>
        </is>
      </c>
      <c r="BB14" s="21">
        <f>AM14+AN14</f>
        <v/>
      </c>
      <c r="BC14" s="21">
        <f>ROUND(W14/'03_Cost_Constraints'!$B$4*60,0)</f>
        <v/>
      </c>
      <c r="BD14" s="21">
        <f>IF(X14&lt;=500,"5 tạ",IF(X14&lt;=1250,"1.25T",IF(X14&lt;=5000,"5T",IF(X14&lt;=8000,"8T",IF(X14&lt;=15000,"3 chân","4 chân")))))</f>
        <v/>
      </c>
      <c r="BE14" s="21">
        <f>IF((BB14+BC14)&lt;=AO14,"OK","Risk")</f>
        <v/>
      </c>
      <c r="BF14" s="21">
        <f>IF(AND(AZ14="OK",BE14="OK"),"Ready","Review")</f>
        <v/>
      </c>
      <c r="BG14" s="21" t="n"/>
    </row>
    <row r="15" ht="18" customHeight="1" s="17">
      <c r="A15" s="23" t="inlineStr">
        <is>
          <t>S1</t>
        </is>
      </c>
      <c r="B15" s="23" t="inlineStr">
        <is>
          <t>2026-06-05</t>
        </is>
      </c>
      <c r="C15" s="23" t="inlineStr">
        <is>
          <t>S1-ORD-014</t>
        </is>
      </c>
      <c r="D15" s="23" t="inlineStr">
        <is>
          <t>Sabeco</t>
        </is>
      </c>
      <c r="E15" s="23" t="inlineStr">
        <is>
          <t>LOTTE MART Ba Đình</t>
        </is>
      </c>
      <c r="F15" s="23" t="inlineStr">
        <is>
          <t>MT</t>
        </is>
      </c>
      <c r="G15" s="23" t="inlineStr">
        <is>
          <t>FMCG</t>
        </is>
      </c>
      <c r="H15" s="23" t="inlineStr">
        <is>
          <t>Hàng tiêu dùng nhanh hỗn hợp</t>
        </is>
      </c>
      <c r="I15" s="23" t="inlineStr">
        <is>
          <t>PK_HY_MYHAO</t>
        </is>
      </c>
      <c r="J15" s="23" t="inlineStr">
        <is>
          <t>Kho/Nhà máy khách hàng Mỹ Hào</t>
        </is>
      </c>
      <c r="K15" s="23" t="inlineStr">
        <is>
          <t>Hưng Yên</t>
        </is>
      </c>
      <c r="L15" s="23" t="inlineStr">
        <is>
          <t>Mỹ Hào</t>
        </is>
      </c>
      <c r="M15" s="24" t="n">
        <v>20.9329</v>
      </c>
      <c r="N15" s="24" t="n">
        <v>106.065</v>
      </c>
      <c r="O15" s="23" t="inlineStr">
        <is>
          <t>DL_HN_LOTTE_BD</t>
        </is>
      </c>
      <c r="P15" s="23" t="inlineStr">
        <is>
          <t>LOTTE MART Ba Đình</t>
        </is>
      </c>
      <c r="Q15" s="23" t="inlineStr">
        <is>
          <t>Hà Nội</t>
        </is>
      </c>
      <c r="R15" s="23" t="inlineStr">
        <is>
          <t>Ba Đình</t>
        </is>
      </c>
      <c r="S15" s="24" t="n">
        <v>21.032177</v>
      </c>
      <c r="T15" s="24" t="n">
        <v>105.812441</v>
      </c>
      <c r="U15" s="23" t="inlineStr">
        <is>
          <t>Nội thành Hà Nội</t>
        </is>
      </c>
      <c r="V15" s="23" t="inlineStr">
        <is>
          <t>Nội thành Hà Nội</t>
        </is>
      </c>
      <c r="W15" s="33" t="n">
        <v>47.7</v>
      </c>
      <c r="X15" s="32" t="n">
        <v>1392</v>
      </c>
      <c r="Y15" s="33" t="n">
        <v>4.83</v>
      </c>
      <c r="Z15" s="32" t="n">
        <v>4</v>
      </c>
      <c r="AA15" s="23" t="inlineStr">
        <is>
          <t>5T</t>
        </is>
      </c>
      <c r="AB15" s="23" t="inlineStr">
        <is>
          <t>1.25T</t>
        </is>
      </c>
      <c r="AC15" s="23" t="inlineStr">
        <is>
          <t>No</t>
        </is>
      </c>
      <c r="AD15" s="23" t="inlineStr">
        <is>
          <t>Yes</t>
        </is>
      </c>
      <c r="AE15" s="23" t="inlineStr">
        <is>
          <t>No</t>
        </is>
      </c>
      <c r="AF15" s="23" t="inlineStr">
        <is>
          <t>Yes</t>
        </is>
      </c>
      <c r="AG15" s="23" t="inlineStr">
        <is>
          <t>Giờ cấm tải, ưu tiên xe 1.25T</t>
        </is>
      </c>
      <c r="AH15" s="23" t="inlineStr">
        <is>
          <t>09:00</t>
        </is>
      </c>
      <c r="AI15" s="23" t="inlineStr">
        <is>
          <t>11:30</t>
        </is>
      </c>
      <c r="AJ15" s="23" t="inlineStr">
        <is>
          <t>11:21</t>
        </is>
      </c>
      <c r="AK15" s="23" t="inlineStr">
        <is>
          <t>12:51</t>
        </is>
      </c>
      <c r="AL15" s="24" t="n">
        <v>30</v>
      </c>
      <c r="AM15" s="24" t="n">
        <v>40</v>
      </c>
      <c r="AN15" s="24" t="n">
        <v>45</v>
      </c>
      <c r="AO15" s="24" t="n">
        <v>231</v>
      </c>
      <c r="AP15" s="35" t="n">
        <v>910000</v>
      </c>
      <c r="AQ15" s="35" t="n">
        <v>0</v>
      </c>
      <c r="AR15" s="35" t="n">
        <v>120000</v>
      </c>
      <c r="AS15" s="32" t="n">
        <v>80000</v>
      </c>
      <c r="AT15" s="23" t="inlineStr">
        <is>
          <t>C - Có thể thương lượng</t>
        </is>
      </c>
      <c r="AU15" s="23" t="inlineStr">
        <is>
          <t>CR-NỘIT-05</t>
        </is>
      </c>
      <c r="AV15" s="23" t="inlineStr">
        <is>
          <t>Excel khách hàng</t>
        </is>
      </c>
      <c r="AW15" s="23" t="inlineStr">
        <is>
          <t>S1-C14</t>
        </is>
      </c>
      <c r="AX15" s="23" t="inlineStr">
        <is>
          <t>Split/Chuyển tải</t>
        </is>
      </c>
      <c r="AY15" s="23" t="inlineStr">
        <is>
          <t>Split Order/Chuyển tải hoặc xin xe nhỏ nhiều chuyến</t>
        </is>
      </c>
      <c r="AZ15" s="23" t="inlineStr">
        <is>
          <t>Review</t>
        </is>
      </c>
      <c r="BA15" s="23" t="inlineStr">
        <is>
          <t>Vehicle Mismatch</t>
        </is>
      </c>
      <c r="BB15" s="23">
        <f>AM15+AN15</f>
        <v/>
      </c>
      <c r="BC15" s="23">
        <f>ROUND(W15/'03_Cost_Constraints'!$B$4*60,0)</f>
        <v/>
      </c>
      <c r="BD15" s="23">
        <f>IF(X15&lt;=500,"5 tạ",IF(X15&lt;=1250,"1.25T",IF(X15&lt;=5000,"5T",IF(X15&lt;=8000,"8T",IF(X15&lt;=15000,"3 chân","4 chân")))))</f>
        <v/>
      </c>
      <c r="BE15" s="23">
        <f>IF((BB15+BC15)&lt;=AO15,"OK","Risk")</f>
        <v/>
      </c>
      <c r="BF15" s="23">
        <f>IF(AND(AZ15="OK",BE15="OK"),"Ready","Review")</f>
        <v/>
      </c>
      <c r="BG15" s="23" t="n"/>
    </row>
    <row r="16" ht="18" customHeight="1" s="17">
      <c r="A16" s="21" t="inlineStr">
        <is>
          <t>S1</t>
        </is>
      </c>
      <c r="B16" s="21" t="inlineStr">
        <is>
          <t>2026-06-05</t>
        </is>
      </c>
      <c r="C16" s="21" t="inlineStr">
        <is>
          <t>S1-ORD-015</t>
        </is>
      </c>
      <c r="D16" s="21" t="inlineStr">
        <is>
          <t>Acecook</t>
        </is>
      </c>
      <c r="E16" s="21" t="inlineStr">
        <is>
          <t>VINMART Trương Định</t>
        </is>
      </c>
      <c r="F16" s="21" t="inlineStr">
        <is>
          <t>ST</t>
        </is>
      </c>
      <c r="G16" s="21" t="inlineStr">
        <is>
          <t>CHCA</t>
        </is>
      </c>
      <c r="H16" s="21" t="inlineStr">
        <is>
          <t>Bia lon Saigon Chill</t>
        </is>
      </c>
      <c r="I16" s="21" t="inlineStr">
        <is>
          <t>PK_HPL_LB</t>
        </is>
      </c>
      <c r="J16" s="21" t="inlineStr">
        <is>
          <t>HPL Depot Long Biên - 20 Thạch Bàn</t>
        </is>
      </c>
      <c r="K16" s="21" t="inlineStr">
        <is>
          <t>Hà Nội</t>
        </is>
      </c>
      <c r="L16" s="21" t="inlineStr">
        <is>
          <t>Long Biên</t>
        </is>
      </c>
      <c r="M16" s="22" t="n">
        <v>21.0261548385</v>
      </c>
      <c r="N16" s="22" t="n">
        <v>105.914182238</v>
      </c>
      <c r="O16" s="21" t="inlineStr">
        <is>
          <t>DL_HN_TRUONGDINH</t>
        </is>
      </c>
      <c r="P16" s="21" t="inlineStr">
        <is>
          <t>VINMART Trương Định</t>
        </is>
      </c>
      <c r="Q16" s="21" t="inlineStr">
        <is>
          <t>Hà Nội</t>
        </is>
      </c>
      <c r="R16" s="21" t="inlineStr">
        <is>
          <t>Hoàng Mai</t>
        </is>
      </c>
      <c r="S16" s="22" t="n">
        <v>20.979293</v>
      </c>
      <c r="T16" s="22" t="n">
        <v>105.844708</v>
      </c>
      <c r="U16" s="21" t="inlineStr">
        <is>
          <t>Nội thành Hà Nội</t>
        </is>
      </c>
      <c r="V16" s="21" t="inlineStr">
        <is>
          <t>Nội thành Hà Nội</t>
        </is>
      </c>
      <c r="W16" s="29" t="n">
        <v>17</v>
      </c>
      <c r="X16" s="28" t="n">
        <v>914</v>
      </c>
      <c r="Y16" s="29" t="n">
        <v>2</v>
      </c>
      <c r="Z16" s="28" t="n">
        <v>1</v>
      </c>
      <c r="AA16" s="21" t="inlineStr">
        <is>
          <t>1.25T</t>
        </is>
      </c>
      <c r="AB16" s="21" t="inlineStr">
        <is>
          <t>1.25T</t>
        </is>
      </c>
      <c r="AC16" s="21" t="inlineStr">
        <is>
          <t>No</t>
        </is>
      </c>
      <c r="AD16" s="21" t="inlineStr">
        <is>
          <t>Yes</t>
        </is>
      </c>
      <c r="AE16" s="21" t="inlineStr">
        <is>
          <t>No</t>
        </is>
      </c>
      <c r="AF16" s="21" t="inlineStr">
        <is>
          <t>Yes</t>
        </is>
      </c>
      <c r="AG16" s="21" t="inlineStr">
        <is>
          <t>Đường nhỏ, khó quay đầu</t>
        </is>
      </c>
      <c r="AH16" s="21" t="inlineStr">
        <is>
          <t>09:00</t>
        </is>
      </c>
      <c r="AI16" s="21" t="inlineStr">
        <is>
          <t>10:30</t>
        </is>
      </c>
      <c r="AJ16" s="21" t="inlineStr">
        <is>
          <t>11:44</t>
        </is>
      </c>
      <c r="AK16" s="21" t="inlineStr">
        <is>
          <t>13:14</t>
        </is>
      </c>
      <c r="AL16" s="22" t="n">
        <v>45</v>
      </c>
      <c r="AM16" s="22" t="n">
        <v>25</v>
      </c>
      <c r="AN16" s="22" t="n">
        <v>20</v>
      </c>
      <c r="AO16" s="22" t="n">
        <v>254</v>
      </c>
      <c r="AP16" s="31" t="n">
        <v>520000</v>
      </c>
      <c r="AQ16" s="31" t="n">
        <v>150000</v>
      </c>
      <c r="AR16" s="31" t="n">
        <v>0</v>
      </c>
      <c r="AS16" s="28" t="n">
        <v>80000</v>
      </c>
      <c r="AT16" s="21" t="inlineStr">
        <is>
          <t>C - Có thể thương lượng</t>
        </is>
      </c>
      <c r="AU16" s="21" t="inlineStr">
        <is>
          <t>CR-NỘIT-01</t>
        </is>
      </c>
      <c r="AV16" s="21" t="inlineStr">
        <is>
          <t>Hệ thống khách hàng</t>
        </is>
      </c>
      <c r="AW16" s="21" t="inlineStr">
        <is>
          <t>S1-C15</t>
        </is>
      </c>
      <c r="AX16" s="21" t="inlineStr">
        <is>
          <t>1.25T</t>
        </is>
      </c>
      <c r="AY16" s="21" t="inlineStr">
        <is>
          <t>Send to Clustering</t>
        </is>
      </c>
      <c r="AZ16" s="21" t="inlineStr">
        <is>
          <t>OK</t>
        </is>
      </c>
      <c r="BA16" s="21" t="inlineStr">
        <is>
          <t>Cấm tải/đường nhỏ - đã chọn xe nhỏ</t>
        </is>
      </c>
      <c r="BB16" s="21">
        <f>AM16+AN16</f>
        <v/>
      </c>
      <c r="BC16" s="21">
        <f>ROUND(W16/'03_Cost_Constraints'!$B$4*60,0)</f>
        <v/>
      </c>
      <c r="BD16" s="21">
        <f>IF(X16&lt;=500,"5 tạ",IF(X16&lt;=1250,"1.25T",IF(X16&lt;=5000,"5T",IF(X16&lt;=8000,"8T",IF(X16&lt;=15000,"3 chân","4 chân")))))</f>
        <v/>
      </c>
      <c r="BE16" s="21">
        <f>IF((BB16+BC16)&lt;=AO16,"OK","Risk")</f>
        <v/>
      </c>
      <c r="BF16" s="21">
        <f>IF(AND(AZ16="OK",BE16="OK"),"Ready","Review")</f>
        <v/>
      </c>
      <c r="BG16" s="21" t="n"/>
    </row>
    <row r="17" ht="18" customHeight="1" s="17">
      <c r="A17" s="23" t="inlineStr">
        <is>
          <t>S1</t>
        </is>
      </c>
      <c r="B17" s="23" t="inlineStr">
        <is>
          <t>2026-06-05</t>
        </is>
      </c>
      <c r="C17" s="23" t="inlineStr">
        <is>
          <t>S1-ORD-016</t>
        </is>
      </c>
      <c r="D17" s="23" t="inlineStr">
        <is>
          <t>Linfox</t>
        </is>
      </c>
      <c r="E17" s="23" t="inlineStr">
        <is>
          <t>VINMART Hoài Đức</t>
        </is>
      </c>
      <c r="F17" s="23" t="inlineStr">
        <is>
          <t>ST</t>
        </is>
      </c>
      <c r="G17" s="23" t="inlineStr">
        <is>
          <t>NOODLE</t>
        </is>
      </c>
      <c r="H17" s="23" t="inlineStr">
        <is>
          <t>Mì gói/Acecook carton</t>
        </is>
      </c>
      <c r="I17" s="23" t="inlineStr">
        <is>
          <t>PK_LINFOX_VSIP</t>
        </is>
      </c>
      <c r="J17" s="23" t="inlineStr">
        <is>
          <t>Kho Linfox KCN VSIP Bắc Ninh</t>
        </is>
      </c>
      <c r="K17" s="23" t="inlineStr">
        <is>
          <t>Bắc Ninh</t>
        </is>
      </c>
      <c r="L17" s="23" t="inlineStr">
        <is>
          <t>Từ Sơn</t>
        </is>
      </c>
      <c r="M17" s="24" t="n">
        <v>21.082707</v>
      </c>
      <c r="N17" s="24" t="n">
        <v>105.997949</v>
      </c>
      <c r="O17" s="23" t="inlineStr">
        <is>
          <t>DL_HN_HOAIDUC</t>
        </is>
      </c>
      <c r="P17" s="23" t="inlineStr">
        <is>
          <t>VINMART Hoài Đức</t>
        </is>
      </c>
      <c r="Q17" s="23" t="inlineStr">
        <is>
          <t>Hà Nội</t>
        </is>
      </c>
      <c r="R17" s="23" t="inlineStr">
        <is>
          <t>Hoài Đức</t>
        </is>
      </c>
      <c r="S17" s="24" t="n">
        <v>21.005046</v>
      </c>
      <c r="T17" s="24" t="n">
        <v>105.728286</v>
      </c>
      <c r="U17" s="23" t="inlineStr">
        <is>
          <t>Tây Bắc</t>
        </is>
      </c>
      <c r="V17" s="23" t="inlineStr">
        <is>
          <t>Tây Bắc</t>
        </is>
      </c>
      <c r="W17" s="33" t="n">
        <v>43.7</v>
      </c>
      <c r="X17" s="32" t="n">
        <v>7741</v>
      </c>
      <c r="Y17" s="33" t="n">
        <v>70.3</v>
      </c>
      <c r="Z17" s="32" t="n">
        <v>58</v>
      </c>
      <c r="AA17" s="23" t="inlineStr">
        <is>
          <t>4 chân</t>
        </is>
      </c>
      <c r="AB17" s="23" t="inlineStr">
        <is>
          <t>5T</t>
        </is>
      </c>
      <c r="AC17" s="23" t="inlineStr">
        <is>
          <t>No</t>
        </is>
      </c>
      <c r="AD17" s="23" t="inlineStr">
        <is>
          <t>Yes</t>
        </is>
      </c>
      <c r="AE17" s="23" t="inlineStr">
        <is>
          <t>No</t>
        </is>
      </c>
      <c r="AF17" s="23" t="inlineStr">
        <is>
          <t>No</t>
        </is>
      </c>
      <c r="AG17" s="23" t="inlineStr">
        <is>
          <t>Ngoại thành, xe 5T vào được</t>
        </is>
      </c>
      <c r="AH17" s="23" t="inlineStr">
        <is>
          <t>08:30</t>
        </is>
      </c>
      <c r="AI17" s="23" t="inlineStr">
        <is>
          <t>11:00</t>
        </is>
      </c>
      <c r="AJ17" s="23" t="inlineStr">
        <is>
          <t>13:18</t>
        </is>
      </c>
      <c r="AK17" s="23" t="inlineStr">
        <is>
          <t>15:48</t>
        </is>
      </c>
      <c r="AL17" s="24" t="n">
        <v>45</v>
      </c>
      <c r="AM17" s="24" t="n">
        <v>120</v>
      </c>
      <c r="AN17" s="24" t="n">
        <v>90</v>
      </c>
      <c r="AO17" s="24" t="n">
        <v>438</v>
      </c>
      <c r="AP17" s="35" t="n">
        <v>2200000</v>
      </c>
      <c r="AQ17" s="35" t="n">
        <v>0</v>
      </c>
      <c r="AR17" s="35" t="n">
        <v>0</v>
      </c>
      <c r="AS17" s="32" t="n">
        <v>80000</v>
      </c>
      <c r="AT17" s="23" t="inlineStr">
        <is>
          <t>B - Thường</t>
        </is>
      </c>
      <c r="AU17" s="23" t="inlineStr">
        <is>
          <t>CR-TÂYB-02</t>
        </is>
      </c>
      <c r="AV17" s="23" t="inlineStr">
        <is>
          <t>Zalo/Email plan 17:00</t>
        </is>
      </c>
      <c r="AW17" s="23" t="inlineStr">
        <is>
          <t>S1-C16</t>
        </is>
      </c>
      <c r="AX17" s="23" t="inlineStr">
        <is>
          <t>Split/Chuyển tải</t>
        </is>
      </c>
      <c r="AY17" s="23" t="inlineStr">
        <is>
          <t>Split Order/Chuyển tải hoặc xin xe nhỏ nhiều chuyến</t>
        </is>
      </c>
      <c r="AZ17" s="23" t="inlineStr">
        <is>
          <t>Review</t>
        </is>
      </c>
      <c r="BA17" s="23" t="inlineStr">
        <is>
          <t>Vehicle Mismatch</t>
        </is>
      </c>
      <c r="BB17" s="23">
        <f>AM17+AN17</f>
        <v/>
      </c>
      <c r="BC17" s="23">
        <f>ROUND(W17/'03_Cost_Constraints'!$B$4*60,0)</f>
        <v/>
      </c>
      <c r="BD17" s="23">
        <f>IF(X17&lt;=500,"5 tạ",IF(X17&lt;=1250,"1.25T",IF(X17&lt;=5000,"5T",IF(X17&lt;=8000,"8T",IF(X17&lt;=15000,"3 chân","4 chân")))))</f>
        <v/>
      </c>
      <c r="BE17" s="23">
        <f>IF((BB17+BC17)&lt;=AO17,"OK","Risk")</f>
        <v/>
      </c>
      <c r="BF17" s="23">
        <f>IF(AND(AZ17="OK",BE17="OK"),"Ready","Review")</f>
        <v/>
      </c>
      <c r="BG17" s="23" t="inlineStr">
        <is>
          <t>Kế hoạch ngày hôm sau; cần chốt trước 19:00 và gửi tài xế sau duyệt</t>
        </is>
      </c>
    </row>
    <row r="18" ht="18" customHeight="1" s="17">
      <c r="A18" s="21" t="inlineStr">
        <is>
          <t>S1</t>
        </is>
      </c>
      <c r="B18" s="21" t="inlineStr">
        <is>
          <t>2026-06-05</t>
        </is>
      </c>
      <c r="C18" s="21" t="inlineStr">
        <is>
          <t>S1-ORD-017</t>
        </is>
      </c>
      <c r="D18" s="21" t="inlineStr">
        <is>
          <t>MM Mega Market</t>
        </is>
      </c>
      <c r="E18" s="21" t="inlineStr">
        <is>
          <t>Nam Dương</t>
        </is>
      </c>
      <c r="F18" s="21" t="inlineStr">
        <is>
          <t>Đại lý</t>
        </is>
      </c>
      <c r="G18" s="21" t="inlineStr">
        <is>
          <t>MILK</t>
        </is>
      </c>
      <c r="H18" s="21" t="inlineStr">
        <is>
          <t>Sữa hộp carton</t>
        </is>
      </c>
      <c r="I18" s="21" t="inlineStr">
        <is>
          <t>PK_HPL_LB</t>
        </is>
      </c>
      <c r="J18" s="21" t="inlineStr">
        <is>
          <t>HPL Depot Long Biên - 20 Thạch Bàn</t>
        </is>
      </c>
      <c r="K18" s="21" t="inlineStr">
        <is>
          <t>Hà Nội</t>
        </is>
      </c>
      <c r="L18" s="21" t="inlineStr">
        <is>
          <t>Long Biên</t>
        </is>
      </c>
      <c r="M18" s="22" t="n">
        <v>21.0261548385</v>
      </c>
      <c r="N18" s="22" t="n">
        <v>105.914182238</v>
      </c>
      <c r="O18" s="21" t="inlineStr">
        <is>
          <t>DL_HN_NAMDUONG</t>
        </is>
      </c>
      <c r="P18" s="21" t="inlineStr">
        <is>
          <t>Nam Dương</t>
        </is>
      </c>
      <c r="Q18" s="21" t="inlineStr">
        <is>
          <t>Hà Nội</t>
        </is>
      </c>
      <c r="R18" s="21" t="inlineStr">
        <is>
          <t>Hà Nội</t>
        </is>
      </c>
      <c r="S18" s="22" t="n">
        <v>21.062911</v>
      </c>
      <c r="T18" s="22" t="n">
        <v>105.832351</v>
      </c>
      <c r="U18" s="21" t="inlineStr">
        <is>
          <t>Nội thành Hà Nội</t>
        </is>
      </c>
      <c r="V18" s="21" t="inlineStr">
        <is>
          <t>Nội thành Hà Nội</t>
        </is>
      </c>
      <c r="W18" s="29" t="n">
        <v>18.4</v>
      </c>
      <c r="X18" s="28" t="n">
        <v>1076</v>
      </c>
      <c r="Y18" s="29" t="n">
        <v>2.93</v>
      </c>
      <c r="Z18" s="28" t="n">
        <v>2</v>
      </c>
      <c r="AA18" s="21" t="inlineStr">
        <is>
          <t>1.25T</t>
        </is>
      </c>
      <c r="AB18" s="21" t="inlineStr">
        <is>
          <t>1.25T</t>
        </is>
      </c>
      <c r="AC18" s="21" t="inlineStr">
        <is>
          <t>No</t>
        </is>
      </c>
      <c r="AD18" s="21" t="inlineStr">
        <is>
          <t>Yes</t>
        </is>
      </c>
      <c r="AE18" s="21" t="inlineStr">
        <is>
          <t>No</t>
        </is>
      </c>
      <c r="AF18" s="21" t="inlineStr">
        <is>
          <t>Yes</t>
        </is>
      </c>
      <c r="AG18" s="21" t="inlineStr">
        <is>
          <t>Đường nội đô, có khung giờ cấm tải</t>
        </is>
      </c>
      <c r="AH18" s="21" t="inlineStr">
        <is>
          <t>07:30</t>
        </is>
      </c>
      <c r="AI18" s="21" t="inlineStr">
        <is>
          <t>09:30</t>
        </is>
      </c>
      <c r="AJ18" s="21" t="inlineStr">
        <is>
          <t>10:16</t>
        </is>
      </c>
      <c r="AK18" s="21" t="inlineStr">
        <is>
          <t>12:16</t>
        </is>
      </c>
      <c r="AL18" s="22" t="n">
        <v>30</v>
      </c>
      <c r="AM18" s="22" t="n">
        <v>25</v>
      </c>
      <c r="AN18" s="22" t="n">
        <v>20</v>
      </c>
      <c r="AO18" s="22" t="n">
        <v>286</v>
      </c>
      <c r="AP18" s="31" t="n">
        <v>890000</v>
      </c>
      <c r="AQ18" s="31" t="n">
        <v>0</v>
      </c>
      <c r="AR18" s="31" t="n">
        <v>0</v>
      </c>
      <c r="AS18" s="28" t="n">
        <v>80000</v>
      </c>
      <c r="AT18" s="21" t="inlineStr">
        <is>
          <t>B - Thường</t>
        </is>
      </c>
      <c r="AU18" s="21" t="inlineStr">
        <is>
          <t>CR-NỘIT-03</t>
        </is>
      </c>
      <c r="AV18" s="21" t="inlineStr">
        <is>
          <t>Manual nhập điều phối</t>
        </is>
      </c>
      <c r="AW18" s="21" t="inlineStr">
        <is>
          <t>S1-C16</t>
        </is>
      </c>
      <c r="AX18" s="21" t="inlineStr">
        <is>
          <t>1.25T</t>
        </is>
      </c>
      <c r="AY18" s="21" t="inlineStr">
        <is>
          <t>Send to Clustering</t>
        </is>
      </c>
      <c r="AZ18" s="21" t="inlineStr">
        <is>
          <t>OK</t>
        </is>
      </c>
      <c r="BA18" s="21" t="inlineStr">
        <is>
          <t>Cấm tải/đường nhỏ - đã chọn xe nhỏ</t>
        </is>
      </c>
      <c r="BB18" s="21">
        <f>AM18+AN18</f>
        <v/>
      </c>
      <c r="BC18" s="21">
        <f>ROUND(W18/'03_Cost_Constraints'!$B$4*60,0)</f>
        <v/>
      </c>
      <c r="BD18" s="21">
        <f>IF(X18&lt;=500,"5 tạ",IF(X18&lt;=1250,"1.25T",IF(X18&lt;=5000,"5T",IF(X18&lt;=8000,"8T",IF(X18&lt;=15000,"3 chân","4 chân")))))</f>
        <v/>
      </c>
      <c r="BE18" s="21">
        <f>IF((BB18+BC18)&lt;=AO18,"OK","Risk")</f>
        <v/>
      </c>
      <c r="BF18" s="21">
        <f>IF(AND(AZ18="OK",BE18="OK"),"Ready","Review")</f>
        <v/>
      </c>
      <c r="BG18" s="21" t="n"/>
    </row>
    <row r="19" ht="18" customHeight="1" s="17">
      <c r="A19" s="23" t="inlineStr">
        <is>
          <t>S1</t>
        </is>
      </c>
      <c r="B19" s="23" t="inlineStr">
        <is>
          <t>2026-06-05</t>
        </is>
      </c>
      <c r="C19" s="23" t="inlineStr">
        <is>
          <t>S1-ORD-018</t>
        </is>
      </c>
      <c r="D19" s="23" t="inlineStr">
        <is>
          <t>Linfox</t>
        </is>
      </c>
      <c r="E19" s="23" t="inlineStr">
        <is>
          <t>LOTTE MART Ba Đình</t>
        </is>
      </c>
      <c r="F19" s="23" t="inlineStr">
        <is>
          <t>MT</t>
        </is>
      </c>
      <c r="G19" s="23" t="inlineStr">
        <is>
          <t>PAT2</t>
        </is>
      </c>
      <c r="H19" s="23" t="inlineStr">
        <is>
          <t>Bia lon 333</t>
        </is>
      </c>
      <c r="I19" s="23" t="inlineStr">
        <is>
          <t>PK_HY_MYHAO</t>
        </is>
      </c>
      <c r="J19" s="23" t="inlineStr">
        <is>
          <t>Kho/Nhà máy khách hàng Mỹ Hào</t>
        </is>
      </c>
      <c r="K19" s="23" t="inlineStr">
        <is>
          <t>Hưng Yên</t>
        </is>
      </c>
      <c r="L19" s="23" t="inlineStr">
        <is>
          <t>Mỹ Hào</t>
        </is>
      </c>
      <c r="M19" s="24" t="n">
        <v>20.9329</v>
      </c>
      <c r="N19" s="24" t="n">
        <v>106.065</v>
      </c>
      <c r="O19" s="23" t="inlineStr">
        <is>
          <t>DL_HN_LOTTE_BD</t>
        </is>
      </c>
      <c r="P19" s="23" t="inlineStr">
        <is>
          <t>LOTTE MART Ba Đình</t>
        </is>
      </c>
      <c r="Q19" s="23" t="inlineStr">
        <is>
          <t>Hà Nội</t>
        </is>
      </c>
      <c r="R19" s="23" t="inlineStr">
        <is>
          <t>Ba Đình</t>
        </is>
      </c>
      <c r="S19" s="24" t="n">
        <v>21.032177</v>
      </c>
      <c r="T19" s="24" t="n">
        <v>105.812441</v>
      </c>
      <c r="U19" s="23" t="inlineStr">
        <is>
          <t>Nội thành Hà Nội</t>
        </is>
      </c>
      <c r="V19" s="23" t="inlineStr">
        <is>
          <t>Nội thành Hà Nội</t>
        </is>
      </c>
      <c r="W19" s="33" t="n">
        <v>48.9</v>
      </c>
      <c r="X19" s="32" t="n">
        <v>670</v>
      </c>
      <c r="Y19" s="33" t="n">
        <v>1.57</v>
      </c>
      <c r="Z19" s="32" t="n">
        <v>1</v>
      </c>
      <c r="AA19" s="23" t="inlineStr">
        <is>
          <t>1.25T</t>
        </is>
      </c>
      <c r="AB19" s="23" t="inlineStr">
        <is>
          <t>1.25T</t>
        </is>
      </c>
      <c r="AC19" s="23" t="inlineStr">
        <is>
          <t>No</t>
        </is>
      </c>
      <c r="AD19" s="23" t="inlineStr">
        <is>
          <t>Yes</t>
        </is>
      </c>
      <c r="AE19" s="23" t="inlineStr">
        <is>
          <t>No</t>
        </is>
      </c>
      <c r="AF19" s="23" t="inlineStr">
        <is>
          <t>Yes</t>
        </is>
      </c>
      <c r="AG19" s="23" t="inlineStr">
        <is>
          <t>Giờ cấm tải, ưu tiên xe 1.25T</t>
        </is>
      </c>
      <c r="AH19" s="23" t="inlineStr">
        <is>
          <t>07:30</t>
        </is>
      </c>
      <c r="AI19" s="23" t="inlineStr">
        <is>
          <t>09:00</t>
        </is>
      </c>
      <c r="AJ19" s="23" t="inlineStr">
        <is>
          <t>09:38</t>
        </is>
      </c>
      <c r="AK19" s="23" t="inlineStr">
        <is>
          <t>12:08</t>
        </is>
      </c>
      <c r="AL19" s="24" t="n">
        <v>45</v>
      </c>
      <c r="AM19" s="24" t="n">
        <v>25</v>
      </c>
      <c r="AN19" s="24" t="n">
        <v>30</v>
      </c>
      <c r="AO19" s="24" t="n">
        <v>278</v>
      </c>
      <c r="AP19" s="35" t="n">
        <v>750000</v>
      </c>
      <c r="AQ19" s="35" t="n">
        <v>150000</v>
      </c>
      <c r="AR19" s="35" t="n">
        <v>120000</v>
      </c>
      <c r="AS19" s="32" t="n">
        <v>80000</v>
      </c>
      <c r="AT19" s="23" t="inlineStr">
        <is>
          <t>B - Thường</t>
        </is>
      </c>
      <c r="AU19" s="23" t="inlineStr">
        <is>
          <t>CR-NỘIT-04</t>
        </is>
      </c>
      <c r="AV19" s="23" t="inlineStr">
        <is>
          <t>Excel khách hàng</t>
        </is>
      </c>
      <c r="AW19" s="23" t="inlineStr">
        <is>
          <t>S1-C18</t>
        </is>
      </c>
      <c r="AX19" s="23" t="inlineStr">
        <is>
          <t>1.25T</t>
        </is>
      </c>
      <c r="AY19" s="23" t="inlineStr">
        <is>
          <t>Send to Clustering</t>
        </is>
      </c>
      <c r="AZ19" s="23" t="inlineStr">
        <is>
          <t>OK</t>
        </is>
      </c>
      <c r="BA19" s="23" t="inlineStr">
        <is>
          <t>Cấm tải/đường nhỏ - đã chọn xe nhỏ</t>
        </is>
      </c>
      <c r="BB19" s="23">
        <f>AM19+AN19</f>
        <v/>
      </c>
      <c r="BC19" s="23">
        <f>ROUND(W19/'03_Cost_Constraints'!$B$4*60,0)</f>
        <v/>
      </c>
      <c r="BD19" s="23">
        <f>IF(X19&lt;=500,"5 tạ",IF(X19&lt;=1250,"1.25T",IF(X19&lt;=5000,"5T",IF(X19&lt;=8000,"8T",IF(X19&lt;=15000,"3 chân","4 chân")))))</f>
        <v/>
      </c>
      <c r="BE19" s="23">
        <f>IF((BB19+BC19)&lt;=AO19,"OK","Risk")</f>
        <v/>
      </c>
      <c r="BF19" s="23">
        <f>IF(AND(AZ19="OK",BE19="OK"),"Ready","Review")</f>
        <v/>
      </c>
      <c r="BG19" s="23" t="n"/>
    </row>
    <row r="20" ht="18" customHeight="1" s="17">
      <c r="A20" s="21" t="inlineStr">
        <is>
          <t>S1</t>
        </is>
      </c>
      <c r="B20" s="21" t="inlineStr">
        <is>
          <t>2026-06-05</t>
        </is>
      </c>
      <c r="C20" s="21" t="inlineStr">
        <is>
          <t>S1-ORD-019</t>
        </is>
      </c>
      <c r="D20" s="21" t="inlineStr">
        <is>
          <t>Bách Hóa Xanh</t>
        </is>
      </c>
      <c r="E20" s="21" t="inlineStr">
        <is>
          <t>VINMART Royal City</t>
        </is>
      </c>
      <c r="F20" s="21" t="inlineStr">
        <is>
          <t>MT</t>
        </is>
      </c>
      <c r="G20" s="21" t="inlineStr">
        <is>
          <t>PAT2</t>
        </is>
      </c>
      <c r="H20" s="21" t="inlineStr">
        <is>
          <t>Bia lon 333</t>
        </is>
      </c>
      <c r="I20" s="21" t="inlineStr">
        <is>
          <t>PK_HPL_LB</t>
        </is>
      </c>
      <c r="J20" s="21" t="inlineStr">
        <is>
          <t>HPL Depot Long Biên - 20 Thạch Bàn</t>
        </is>
      </c>
      <c r="K20" s="21" t="inlineStr">
        <is>
          <t>Hà Nội</t>
        </is>
      </c>
      <c r="L20" s="21" t="inlineStr">
        <is>
          <t>Long Biên</t>
        </is>
      </c>
      <c r="M20" s="22" t="n">
        <v>21.0261548385</v>
      </c>
      <c r="N20" s="22" t="n">
        <v>105.914182238</v>
      </c>
      <c r="O20" s="21" t="inlineStr">
        <is>
          <t>DL_HN_ROYAL</t>
        </is>
      </c>
      <c r="P20" s="21" t="inlineStr">
        <is>
          <t>VINMART Royal City</t>
        </is>
      </c>
      <c r="Q20" s="21" t="inlineStr">
        <is>
          <t>Hà Nội</t>
        </is>
      </c>
      <c r="R20" s="21" t="inlineStr">
        <is>
          <t>Thanh Xuân</t>
        </is>
      </c>
      <c r="S20" s="22" t="n">
        <v>21.003388</v>
      </c>
      <c r="T20" s="22" t="n">
        <v>105.816212</v>
      </c>
      <c r="U20" s="21" t="inlineStr">
        <is>
          <t>Nội thành Hà Nội</t>
        </is>
      </c>
      <c r="V20" s="21" t="inlineStr">
        <is>
          <t>Nội thành Hà Nội</t>
        </is>
      </c>
      <c r="W20" s="29" t="n">
        <v>22.1</v>
      </c>
      <c r="X20" s="28" t="n">
        <v>1179</v>
      </c>
      <c r="Y20" s="29" t="n">
        <v>2.33</v>
      </c>
      <c r="Z20" s="28" t="n">
        <v>1</v>
      </c>
      <c r="AA20" s="21" t="inlineStr">
        <is>
          <t>1.25T</t>
        </is>
      </c>
      <c r="AB20" s="21" t="inlineStr">
        <is>
          <t>1.25T</t>
        </is>
      </c>
      <c r="AC20" s="21" t="inlineStr">
        <is>
          <t>No</t>
        </is>
      </c>
      <c r="AD20" s="21" t="inlineStr">
        <is>
          <t>Yes</t>
        </is>
      </c>
      <c r="AE20" s="21" t="inlineStr">
        <is>
          <t>No</t>
        </is>
      </c>
      <c r="AF20" s="21" t="inlineStr">
        <is>
          <t>Yes</t>
        </is>
      </c>
      <c r="AG20" s="21" t="inlineStr">
        <is>
          <t>Hầm trung tâm thương mại</t>
        </is>
      </c>
      <c r="AH20" s="21" t="inlineStr">
        <is>
          <t>08:30</t>
        </is>
      </c>
      <c r="AI20" s="21" t="inlineStr">
        <is>
          <t>10:30</t>
        </is>
      </c>
      <c r="AJ20" s="21" t="inlineStr">
        <is>
          <t>09:52</t>
        </is>
      </c>
      <c r="AK20" s="21" t="inlineStr">
        <is>
          <t>11:52</t>
        </is>
      </c>
      <c r="AL20" s="22" t="n">
        <v>45</v>
      </c>
      <c r="AM20" s="22" t="n">
        <v>25</v>
      </c>
      <c r="AN20" s="22" t="n">
        <v>30</v>
      </c>
      <c r="AO20" s="22" t="n">
        <v>202</v>
      </c>
      <c r="AP20" s="31" t="n">
        <v>720000</v>
      </c>
      <c r="AQ20" s="31" t="n">
        <v>0</v>
      </c>
      <c r="AR20" s="31" t="n">
        <v>120000</v>
      </c>
      <c r="AS20" s="28" t="n">
        <v>150000</v>
      </c>
      <c r="AT20" s="21" t="inlineStr">
        <is>
          <t>A - SLA chặt</t>
        </is>
      </c>
      <c r="AU20" s="21" t="inlineStr">
        <is>
          <t>CR-NỘIT-05</t>
        </is>
      </c>
      <c r="AV20" s="21" t="inlineStr">
        <is>
          <t>Hệ thống khách hàng</t>
        </is>
      </c>
      <c r="AW20" s="21" t="inlineStr">
        <is>
          <t>S1-C19</t>
        </is>
      </c>
      <c r="AX20" s="21" t="inlineStr">
        <is>
          <t>1.25T</t>
        </is>
      </c>
      <c r="AY20" s="21" t="inlineStr">
        <is>
          <t>Send to Clustering</t>
        </is>
      </c>
      <c r="AZ20" s="21" t="inlineStr">
        <is>
          <t>OK</t>
        </is>
      </c>
      <c r="BA20" s="21" t="inlineStr">
        <is>
          <t>Cấm tải/đường nhỏ - đã chọn xe nhỏ</t>
        </is>
      </c>
      <c r="BB20" s="21">
        <f>AM20+AN20</f>
        <v/>
      </c>
      <c r="BC20" s="21">
        <f>ROUND(W20/'03_Cost_Constraints'!$B$4*60,0)</f>
        <v/>
      </c>
      <c r="BD20" s="21">
        <f>IF(X20&lt;=500,"5 tạ",IF(X20&lt;=1250,"1.25T",IF(X20&lt;=5000,"5T",IF(X20&lt;=8000,"8T",IF(X20&lt;=15000,"3 chân","4 chân")))))</f>
        <v/>
      </c>
      <c r="BE20" s="21">
        <f>IF((BB20+BC20)&lt;=AO20,"OK","Risk")</f>
        <v/>
      </c>
      <c r="BF20" s="21">
        <f>IF(AND(AZ20="OK",BE20="OK"),"Ready","Review")</f>
        <v/>
      </c>
      <c r="BG20" s="21" t="n"/>
    </row>
    <row r="21" ht="18" customHeight="1" s="17">
      <c r="A21" s="23" t="inlineStr">
        <is>
          <t>S1</t>
        </is>
      </c>
      <c r="B21" s="23" t="inlineStr">
        <is>
          <t>2026-06-05</t>
        </is>
      </c>
      <c r="C21" s="23" t="inlineStr">
        <is>
          <t>S1-ORD-020</t>
        </is>
      </c>
      <c r="D21" s="23" t="inlineStr">
        <is>
          <t>MM Mega Market</t>
        </is>
      </c>
      <c r="E21" s="23" t="inlineStr">
        <is>
          <t>Siêu thị Hải Dương</t>
        </is>
      </c>
      <c r="F21" s="23" t="inlineStr">
        <is>
          <t>ST</t>
        </is>
      </c>
      <c r="G21" s="23" t="inlineStr">
        <is>
          <t>EXPL</t>
        </is>
      </c>
      <c r="H21" s="23" t="inlineStr">
        <is>
          <t>Bia lon Saigon Export</t>
        </is>
      </c>
      <c r="I21" s="23" t="inlineStr">
        <is>
          <t>PK_LINFOX_VSIP</t>
        </is>
      </c>
      <c r="J21" s="23" t="inlineStr">
        <is>
          <t>Kho Linfox KCN VSIP Bắc Ninh</t>
        </is>
      </c>
      <c r="K21" s="23" t="inlineStr">
        <is>
          <t>Bắc Ninh</t>
        </is>
      </c>
      <c r="L21" s="23" t="inlineStr">
        <is>
          <t>Từ Sơn</t>
        </is>
      </c>
      <c r="M21" s="24" t="n">
        <v>21.082707</v>
      </c>
      <c r="N21" s="24" t="n">
        <v>105.997949</v>
      </c>
      <c r="O21" s="23" t="inlineStr">
        <is>
          <t>DL_HD_SIEUTHI</t>
        </is>
      </c>
      <c r="P21" s="23" t="inlineStr">
        <is>
          <t>Siêu thị Hải Dương</t>
        </is>
      </c>
      <c r="Q21" s="23" t="inlineStr">
        <is>
          <t>Hải Phòng</t>
        </is>
      </c>
      <c r="R21" s="23" t="inlineStr">
        <is>
          <t>Hải Dương</t>
        </is>
      </c>
      <c r="S21" s="24" t="n">
        <v>20.937341</v>
      </c>
      <c r="T21" s="24" t="n">
        <v>106.314555</v>
      </c>
      <c r="U21" s="23" t="inlineStr">
        <is>
          <t>Đông Bắc</t>
        </is>
      </c>
      <c r="V21" s="23" t="inlineStr">
        <is>
          <t>Đông Bắc</t>
        </is>
      </c>
      <c r="W21" s="33" t="n">
        <v>51</v>
      </c>
      <c r="X21" s="32" t="n">
        <v>6453</v>
      </c>
      <c r="Y21" s="33" t="n">
        <v>16.2</v>
      </c>
      <c r="Z21" s="32" t="n">
        <v>13</v>
      </c>
      <c r="AA21" s="23" t="inlineStr">
        <is>
          <t>8T</t>
        </is>
      </c>
      <c r="AB21" s="23" t="inlineStr">
        <is>
          <t>8T</t>
        </is>
      </c>
      <c r="AC21" s="23" t="inlineStr">
        <is>
          <t>No</t>
        </is>
      </c>
      <c r="AD21" s="23" t="inlineStr">
        <is>
          <t>Yes</t>
        </is>
      </c>
      <c r="AE21" s="23" t="inlineStr">
        <is>
          <t>No</t>
        </is>
      </c>
      <c r="AF21" s="23" t="inlineStr">
        <is>
          <t>No</t>
        </is>
      </c>
      <c r="AG21" s="23" t="inlineStr">
        <is>
          <t>Quốc lộ 5, xe 8T vào được</t>
        </is>
      </c>
      <c r="AH21" s="23" t="inlineStr">
        <is>
          <t>08:30</t>
        </is>
      </c>
      <c r="AI21" s="23" t="inlineStr">
        <is>
          <t>10:30</t>
        </is>
      </c>
      <c r="AJ21" s="23" t="inlineStr">
        <is>
          <t>11:08</t>
        </is>
      </c>
      <c r="AK21" s="23" t="inlineStr">
        <is>
          <t>13:08</t>
        </is>
      </c>
      <c r="AL21" s="24" t="n">
        <v>30</v>
      </c>
      <c r="AM21" s="24" t="n">
        <v>40</v>
      </c>
      <c r="AN21" s="24" t="n">
        <v>35</v>
      </c>
      <c r="AO21" s="24" t="n">
        <v>278</v>
      </c>
      <c r="AP21" s="35" t="n">
        <v>2510000</v>
      </c>
      <c r="AQ21" s="35" t="n">
        <v>0</v>
      </c>
      <c r="AR21" s="35" t="n">
        <v>0</v>
      </c>
      <c r="AS21" s="32" t="n">
        <v>150000</v>
      </c>
      <c r="AT21" s="23" t="inlineStr">
        <is>
          <t>A - SLA chặt</t>
        </is>
      </c>
      <c r="AU21" s="23" t="inlineStr">
        <is>
          <t>CR-ĐÔNG-01</t>
        </is>
      </c>
      <c r="AV21" s="23" t="inlineStr">
        <is>
          <t>Zalo/Email plan 17:00</t>
        </is>
      </c>
      <c r="AW21" s="23" t="inlineStr">
        <is>
          <t>S1-C20</t>
        </is>
      </c>
      <c r="AX21" s="23" t="inlineStr">
        <is>
          <t>8T</t>
        </is>
      </c>
      <c r="AY21" s="23" t="inlineStr">
        <is>
          <t>Send to Clustering</t>
        </is>
      </c>
      <c r="AZ21" s="23" t="inlineStr">
        <is>
          <t>OK</t>
        </is>
      </c>
      <c r="BA21" s="23" t="inlineStr">
        <is>
          <t>OK</t>
        </is>
      </c>
      <c r="BB21" s="23">
        <f>AM21+AN21</f>
        <v/>
      </c>
      <c r="BC21" s="23">
        <f>ROUND(W21/'03_Cost_Constraints'!$B$4*60,0)</f>
        <v/>
      </c>
      <c r="BD21" s="23">
        <f>IF(X21&lt;=500,"5 tạ",IF(X21&lt;=1250,"1.25T",IF(X21&lt;=5000,"5T",IF(X21&lt;=8000,"8T",IF(X21&lt;=15000,"3 chân","4 chân")))))</f>
        <v/>
      </c>
      <c r="BE21" s="23">
        <f>IF((BB21+BC21)&lt;=AO21,"OK","Risk")</f>
        <v/>
      </c>
      <c r="BF21" s="23">
        <f>IF(AND(AZ21="OK",BE21="OK"),"Ready","Review")</f>
        <v/>
      </c>
      <c r="BG21" s="23" t="inlineStr">
        <is>
          <t>Kế hoạch ngày hôm sau; cần chốt trước 19:00 và gửi tài xế sau duyệt</t>
        </is>
      </c>
    </row>
    <row r="22" ht="18" customHeight="1" s="17">
      <c r="A22" s="21" t="inlineStr">
        <is>
          <t>S1</t>
        </is>
      </c>
      <c r="B22" s="21" t="inlineStr">
        <is>
          <t>2026-06-05</t>
        </is>
      </c>
      <c r="C22" s="21" t="inlineStr">
        <is>
          <t>S1-ORD-021</t>
        </is>
      </c>
      <c r="D22" s="21" t="inlineStr">
        <is>
          <t>Unilever</t>
        </is>
      </c>
      <c r="E22" s="21" t="inlineStr">
        <is>
          <t>VINMART Uông Bí</t>
        </is>
      </c>
      <c r="F22" s="21" t="inlineStr">
        <is>
          <t>ST</t>
        </is>
      </c>
      <c r="G22" s="21" t="inlineStr">
        <is>
          <t>PAT2</t>
        </is>
      </c>
      <c r="H22" s="21" t="inlineStr">
        <is>
          <t>Bia lon 333</t>
        </is>
      </c>
      <c r="I22" s="21" t="inlineStr">
        <is>
          <t>PK_LINFOX_VSIP</t>
        </is>
      </c>
      <c r="J22" s="21" t="inlineStr">
        <is>
          <t>Kho Linfox KCN VSIP Bắc Ninh</t>
        </is>
      </c>
      <c r="K22" s="21" t="inlineStr">
        <is>
          <t>Bắc Ninh</t>
        </is>
      </c>
      <c r="L22" s="21" t="inlineStr">
        <is>
          <t>Từ Sơn</t>
        </is>
      </c>
      <c r="M22" s="22" t="n">
        <v>21.082707</v>
      </c>
      <c r="N22" s="22" t="n">
        <v>105.997949</v>
      </c>
      <c r="O22" s="21" t="inlineStr">
        <is>
          <t>DL_QN_UONGBI</t>
        </is>
      </c>
      <c r="P22" s="21" t="inlineStr">
        <is>
          <t>VINMART Uông Bí</t>
        </is>
      </c>
      <c r="Q22" s="21" t="inlineStr">
        <is>
          <t>Quảng Ninh</t>
        </is>
      </c>
      <c r="R22" s="21" t="inlineStr">
        <is>
          <t>Uông Bí</t>
        </is>
      </c>
      <c r="S22" s="22" t="n">
        <v>21.031495</v>
      </c>
      <c r="T22" s="22" t="n">
        <v>106.76688</v>
      </c>
      <c r="U22" s="21" t="inlineStr">
        <is>
          <t>Đông Bắc</t>
        </is>
      </c>
      <c r="V22" s="21" t="inlineStr">
        <is>
          <t>Đông Bắc</t>
        </is>
      </c>
      <c r="W22" s="29" t="n">
        <v>105.5</v>
      </c>
      <c r="X22" s="28" t="n">
        <v>1872</v>
      </c>
      <c r="Y22" s="29" t="n">
        <v>3.67</v>
      </c>
      <c r="Z22" s="28" t="n">
        <v>3</v>
      </c>
      <c r="AA22" s="21" t="inlineStr">
        <is>
          <t>5T</t>
        </is>
      </c>
      <c r="AB22" s="21" t="inlineStr">
        <is>
          <t>8T</t>
        </is>
      </c>
      <c r="AC22" s="21" t="inlineStr">
        <is>
          <t>No</t>
        </is>
      </c>
      <c r="AD22" s="21" t="inlineStr">
        <is>
          <t>Yes</t>
        </is>
      </c>
      <c r="AE22" s="21" t="inlineStr">
        <is>
          <t>No</t>
        </is>
      </c>
      <c r="AF22" s="21" t="inlineStr">
        <is>
          <t>No</t>
        </is>
      </c>
      <c r="AG22" s="21" t="inlineStr">
        <is>
          <t>Đường tỉnh, xe 5T/8T vào được</t>
        </is>
      </c>
      <c r="AH22" s="21" t="inlineStr">
        <is>
          <t>08:30</t>
        </is>
      </c>
      <c r="AI22" s="21" t="inlineStr">
        <is>
          <t>10:30</t>
        </is>
      </c>
      <c r="AJ22" s="21" t="inlineStr">
        <is>
          <t>13:20</t>
        </is>
      </c>
      <c r="AK22" s="21" t="inlineStr">
        <is>
          <t>14:50</t>
        </is>
      </c>
      <c r="AL22" s="22" t="n">
        <v>45</v>
      </c>
      <c r="AM22" s="22" t="n">
        <v>40</v>
      </c>
      <c r="AN22" s="22" t="n">
        <v>35</v>
      </c>
      <c r="AO22" s="22" t="n">
        <v>380</v>
      </c>
      <c r="AP22" s="31" t="n">
        <v>1820000</v>
      </c>
      <c r="AQ22" s="31" t="n">
        <v>150000</v>
      </c>
      <c r="AR22" s="31" t="n">
        <v>0</v>
      </c>
      <c r="AS22" s="28" t="n">
        <v>80000</v>
      </c>
      <c r="AT22" s="21" t="inlineStr">
        <is>
          <t>C - Có thể thương lượng</t>
        </is>
      </c>
      <c r="AU22" s="21" t="inlineStr">
        <is>
          <t>CR-ĐÔNG-02</t>
        </is>
      </c>
      <c r="AV22" s="21" t="inlineStr">
        <is>
          <t>Manual nhập điều phối</t>
        </is>
      </c>
      <c r="AW22" s="21" t="inlineStr">
        <is>
          <t>S1-C21</t>
        </is>
      </c>
      <c r="AX22" s="21" t="inlineStr">
        <is>
          <t>5T</t>
        </is>
      </c>
      <c r="AY22" s="21" t="inlineStr">
        <is>
          <t>Send to Clustering</t>
        </is>
      </c>
      <c r="AZ22" s="21" t="inlineStr">
        <is>
          <t>OK</t>
        </is>
      </c>
      <c r="BA22" s="21" t="inlineStr">
        <is>
          <t>Empty-run &gt;100km cần tìm chuyến về</t>
        </is>
      </c>
      <c r="BB22" s="21">
        <f>AM22+AN22</f>
        <v/>
      </c>
      <c r="BC22" s="21">
        <f>ROUND(W22/'03_Cost_Constraints'!$B$4*60,0)</f>
        <v/>
      </c>
      <c r="BD22" s="21">
        <f>IF(X22&lt;=500,"5 tạ",IF(X22&lt;=1250,"1.25T",IF(X22&lt;=5000,"5T",IF(X22&lt;=8000,"8T",IF(X22&lt;=15000,"3 chân","4 chân")))))</f>
        <v/>
      </c>
      <c r="BE22" s="21">
        <f>IF((BB22+BC22)&lt;=AO22,"OK","Risk")</f>
        <v/>
      </c>
      <c r="BF22" s="21">
        <f>IF(AND(AZ22="OK",BE22="OK"),"Ready","Review")</f>
        <v/>
      </c>
      <c r="BG22" s="21" t="n"/>
    </row>
    <row r="23" ht="18" customHeight="1" s="17">
      <c r="A23" s="23" t="inlineStr">
        <is>
          <t>S1</t>
        </is>
      </c>
      <c r="B23" s="23" t="inlineStr">
        <is>
          <t>2026-06-05</t>
        </is>
      </c>
      <c r="C23" s="23" t="inlineStr">
        <is>
          <t>S1-ORD-022</t>
        </is>
      </c>
      <c r="D23" s="23" t="inlineStr">
        <is>
          <t>VinCommerce</t>
        </is>
      </c>
      <c r="E23" s="23" t="inlineStr">
        <is>
          <t>TOPS MARKET Garden Mall</t>
        </is>
      </c>
      <c r="F23" s="23" t="inlineStr">
        <is>
          <t>MT</t>
        </is>
      </c>
      <c r="G23" s="23" t="inlineStr">
        <is>
          <t>LVCA</t>
        </is>
      </c>
      <c r="H23" s="23" t="inlineStr">
        <is>
          <t>Bia lon Lạc Việt</t>
        </is>
      </c>
      <c r="I23" s="23" t="inlineStr">
        <is>
          <t>PK_LINFOX_VSIP</t>
        </is>
      </c>
      <c r="J23" s="23" t="inlineStr">
        <is>
          <t>Kho Linfox KCN VSIP Bắc Ninh</t>
        </is>
      </c>
      <c r="K23" s="23" t="inlineStr">
        <is>
          <t>Bắc Ninh</t>
        </is>
      </c>
      <c r="L23" s="23" t="inlineStr">
        <is>
          <t>Từ Sơn</t>
        </is>
      </c>
      <c r="M23" s="24" t="n">
        <v>21.082707</v>
      </c>
      <c r="N23" s="24" t="n">
        <v>105.997949</v>
      </c>
      <c r="O23" s="23" t="inlineStr">
        <is>
          <t>DL_HN_GARDEN</t>
        </is>
      </c>
      <c r="P23" s="23" t="inlineStr">
        <is>
          <t>TOPS MARKET Garden Mall</t>
        </is>
      </c>
      <c r="Q23" s="23" t="inlineStr">
        <is>
          <t>Hà Nội</t>
        </is>
      </c>
      <c r="R23" s="23" t="inlineStr">
        <is>
          <t>Nam Từ Liêm</t>
        </is>
      </c>
      <c r="S23" s="24" t="n">
        <v>21.015324</v>
      </c>
      <c r="T23" s="24" t="n">
        <v>105.777839</v>
      </c>
      <c r="U23" s="23" t="inlineStr">
        <is>
          <t>Nội thành Hà Nội</t>
        </is>
      </c>
      <c r="V23" s="23" t="inlineStr">
        <is>
          <t>Nội thành Hà Nội</t>
        </is>
      </c>
      <c r="W23" s="33" t="n">
        <v>38.4</v>
      </c>
      <c r="X23" s="32" t="n">
        <v>1345</v>
      </c>
      <c r="Y23" s="33" t="n">
        <v>3.52</v>
      </c>
      <c r="Z23" s="32" t="n">
        <v>2</v>
      </c>
      <c r="AA23" s="23" t="inlineStr">
        <is>
          <t>5T</t>
        </is>
      </c>
      <c r="AB23" s="23" t="inlineStr">
        <is>
          <t>1.25T</t>
        </is>
      </c>
      <c r="AC23" s="23" t="inlineStr">
        <is>
          <t>No</t>
        </is>
      </c>
      <c r="AD23" s="23" t="inlineStr">
        <is>
          <t>Yes</t>
        </is>
      </c>
      <c r="AE23" s="23" t="inlineStr">
        <is>
          <t>No</t>
        </is>
      </c>
      <c r="AF23" s="23" t="inlineStr">
        <is>
          <t>Yes</t>
        </is>
      </c>
      <c r="AG23" s="23" t="inlineStr">
        <is>
          <t>Khung giờ nhập kho cố định</t>
        </is>
      </c>
      <c r="AH23" s="23" t="inlineStr">
        <is>
          <t>09:00</t>
        </is>
      </c>
      <c r="AI23" s="23" t="inlineStr">
        <is>
          <t>10:30</t>
        </is>
      </c>
      <c r="AJ23" s="23" t="inlineStr">
        <is>
          <t>12:05</t>
        </is>
      </c>
      <c r="AK23" s="23" t="inlineStr">
        <is>
          <t>14:05</t>
        </is>
      </c>
      <c r="AL23" s="24" t="n">
        <v>45</v>
      </c>
      <c r="AM23" s="24" t="n">
        <v>40</v>
      </c>
      <c r="AN23" s="24" t="n">
        <v>45</v>
      </c>
      <c r="AO23" s="24" t="n">
        <v>305</v>
      </c>
      <c r="AP23" s="35" t="n">
        <v>690000</v>
      </c>
      <c r="AQ23" s="35" t="n">
        <v>0</v>
      </c>
      <c r="AR23" s="35" t="n">
        <v>120000</v>
      </c>
      <c r="AS23" s="32" t="n">
        <v>80000</v>
      </c>
      <c r="AT23" s="23" t="inlineStr">
        <is>
          <t>C - Có thể thương lượng</t>
        </is>
      </c>
      <c r="AU23" s="23" t="inlineStr">
        <is>
          <t>CR-NỘIT-03</t>
        </is>
      </c>
      <c r="AV23" s="23" t="inlineStr">
        <is>
          <t>Excel khách hàng</t>
        </is>
      </c>
      <c r="AW23" s="23" t="inlineStr">
        <is>
          <t>S1-C22</t>
        </is>
      </c>
      <c r="AX23" s="23" t="inlineStr">
        <is>
          <t>Split/Chuyển tải</t>
        </is>
      </c>
      <c r="AY23" s="23" t="inlineStr">
        <is>
          <t>Split Order/Chuyển tải hoặc xin xe nhỏ nhiều chuyến</t>
        </is>
      </c>
      <c r="AZ23" s="23" t="inlineStr">
        <is>
          <t>Review</t>
        </is>
      </c>
      <c r="BA23" s="23" t="inlineStr">
        <is>
          <t>Vehicle Mismatch</t>
        </is>
      </c>
      <c r="BB23" s="23">
        <f>AM23+AN23</f>
        <v/>
      </c>
      <c r="BC23" s="23">
        <f>ROUND(W23/'03_Cost_Constraints'!$B$4*60,0)</f>
        <v/>
      </c>
      <c r="BD23" s="23">
        <f>IF(X23&lt;=500,"5 tạ",IF(X23&lt;=1250,"1.25T",IF(X23&lt;=5000,"5T",IF(X23&lt;=8000,"8T",IF(X23&lt;=15000,"3 chân","4 chân")))))</f>
        <v/>
      </c>
      <c r="BE23" s="23">
        <f>IF((BB23+BC23)&lt;=AO23,"OK","Risk")</f>
        <v/>
      </c>
      <c r="BF23" s="23">
        <f>IF(AND(AZ23="OK",BE23="OK"),"Ready","Review")</f>
        <v/>
      </c>
      <c r="BG23" s="23" t="n"/>
    </row>
    <row r="24" ht="18" customHeight="1" s="17">
      <c r="A24" s="21" t="inlineStr">
        <is>
          <t>S1</t>
        </is>
      </c>
      <c r="B24" s="21" t="inlineStr">
        <is>
          <t>2026-06-05</t>
        </is>
      </c>
      <c r="C24" s="21" t="inlineStr">
        <is>
          <t>S1-ORD-023</t>
        </is>
      </c>
      <c r="D24" s="21" t="inlineStr">
        <is>
          <t>Acecook</t>
        </is>
      </c>
      <c r="E24" s="21" t="inlineStr">
        <is>
          <t>Siêu thị Hải Phòng</t>
        </is>
      </c>
      <c r="F24" s="21" t="inlineStr">
        <is>
          <t>MT</t>
        </is>
      </c>
      <c r="G24" s="21" t="inlineStr">
        <is>
          <t>EXPL</t>
        </is>
      </c>
      <c r="H24" s="21" t="inlineStr">
        <is>
          <t>Bia lon Saigon Export</t>
        </is>
      </c>
      <c r="I24" s="21" t="inlineStr">
        <is>
          <t>PK_HP_DINHVU</t>
        </is>
      </c>
      <c r="J24" s="21" t="inlineStr">
        <is>
          <t>Kho Hải Phòng - Đình Vũ</t>
        </is>
      </c>
      <c r="K24" s="21" t="inlineStr">
        <is>
          <t>Hải Phòng</t>
        </is>
      </c>
      <c r="L24" s="21" t="inlineStr">
        <is>
          <t>Hải An</t>
        </is>
      </c>
      <c r="M24" s="22" t="n">
        <v>20.8425</v>
      </c>
      <c r="N24" s="22" t="n">
        <v>106.77</v>
      </c>
      <c r="O24" s="21" t="inlineStr">
        <is>
          <t>DL_HP_SIEUTHI</t>
        </is>
      </c>
      <c r="P24" s="21" t="inlineStr">
        <is>
          <t>Siêu thị Hải Phòng</t>
        </is>
      </c>
      <c r="Q24" s="21" t="inlineStr">
        <is>
          <t>Hải Phòng</t>
        </is>
      </c>
      <c r="R24" s="21" t="inlineStr">
        <is>
          <t>Gia Viên</t>
        </is>
      </c>
      <c r="S24" s="22" t="n">
        <v>20.84442</v>
      </c>
      <c r="T24" s="22" t="n">
        <v>106.7011</v>
      </c>
      <c r="U24" s="21" t="inlineStr">
        <is>
          <t>Đông Bắc</t>
        </is>
      </c>
      <c r="V24" s="21" t="inlineStr">
        <is>
          <t>Đông Bắc</t>
        </is>
      </c>
      <c r="W24" s="29" t="n">
        <v>13.2</v>
      </c>
      <c r="X24" s="28" t="n">
        <v>1219</v>
      </c>
      <c r="Y24" s="29" t="n">
        <v>2.74</v>
      </c>
      <c r="Z24" s="28" t="n">
        <v>2</v>
      </c>
      <c r="AA24" s="21" t="inlineStr">
        <is>
          <t>1.25T</t>
        </is>
      </c>
      <c r="AB24" s="21" t="inlineStr">
        <is>
          <t>5T</t>
        </is>
      </c>
      <c r="AC24" s="21" t="inlineStr">
        <is>
          <t>No</t>
        </is>
      </c>
      <c r="AD24" s="21" t="inlineStr">
        <is>
          <t>Yes</t>
        </is>
      </c>
      <c r="AE24" s="21" t="inlineStr">
        <is>
          <t>No</t>
        </is>
      </c>
      <c r="AF24" s="21" t="inlineStr">
        <is>
          <t>No</t>
        </is>
      </c>
      <c r="AG24" s="21" t="inlineStr">
        <is>
          <t>Khung giờ nhập kho 13:00-16:00</t>
        </is>
      </c>
      <c r="AH24" s="21" t="inlineStr">
        <is>
          <t>08:00</t>
        </is>
      </c>
      <c r="AI24" s="21" t="inlineStr">
        <is>
          <t>10:30</t>
        </is>
      </c>
      <c r="AJ24" s="21" t="inlineStr">
        <is>
          <t>09:32</t>
        </is>
      </c>
      <c r="AK24" s="21" t="inlineStr">
        <is>
          <t>12:02</t>
        </is>
      </c>
      <c r="AL24" s="22" t="n">
        <v>45</v>
      </c>
      <c r="AM24" s="22" t="n">
        <v>25</v>
      </c>
      <c r="AN24" s="22" t="n">
        <v>30</v>
      </c>
      <c r="AO24" s="22" t="n">
        <v>242</v>
      </c>
      <c r="AP24" s="31" t="n">
        <v>530000</v>
      </c>
      <c r="AQ24" s="31" t="n">
        <v>0</v>
      </c>
      <c r="AR24" s="31" t="n">
        <v>120000</v>
      </c>
      <c r="AS24" s="28" t="n">
        <v>150000</v>
      </c>
      <c r="AT24" s="21" t="inlineStr">
        <is>
          <t>A - SLA chặt</t>
        </is>
      </c>
      <c r="AU24" s="21" t="inlineStr">
        <is>
          <t>CR-ĐÔNG-04</t>
        </is>
      </c>
      <c r="AV24" s="21" t="inlineStr">
        <is>
          <t>Hệ thống khách hàng</t>
        </is>
      </c>
      <c r="AW24" s="21" t="inlineStr">
        <is>
          <t>S1-C23</t>
        </is>
      </c>
      <c r="AX24" s="21" t="inlineStr">
        <is>
          <t>1.25T</t>
        </is>
      </c>
      <c r="AY24" s="21" t="inlineStr">
        <is>
          <t>Send to Clustering</t>
        </is>
      </c>
      <c r="AZ24" s="21" t="inlineStr">
        <is>
          <t>OK</t>
        </is>
      </c>
      <c r="BA24" s="21" t="inlineStr">
        <is>
          <t>OK</t>
        </is>
      </c>
      <c r="BB24" s="21">
        <f>AM24+AN24</f>
        <v/>
      </c>
      <c r="BC24" s="21">
        <f>ROUND(W24/'03_Cost_Constraints'!$B$4*60,0)</f>
        <v/>
      </c>
      <c r="BD24" s="21">
        <f>IF(X24&lt;=500,"5 tạ",IF(X24&lt;=1250,"1.25T",IF(X24&lt;=5000,"5T",IF(X24&lt;=8000,"8T",IF(X24&lt;=15000,"3 chân","4 chân")))))</f>
        <v/>
      </c>
      <c r="BE24" s="21">
        <f>IF((BB24+BC24)&lt;=AO24,"OK","Risk")</f>
        <v/>
      </c>
      <c r="BF24" s="21">
        <f>IF(AND(AZ24="OK",BE24="OK"),"Ready","Review")</f>
        <v/>
      </c>
      <c r="BG24" s="21" t="n"/>
    </row>
    <row r="25" ht="18" customHeight="1" s="17">
      <c r="A25" s="23" t="inlineStr">
        <is>
          <t>S1</t>
        </is>
      </c>
      <c r="B25" s="23" t="inlineStr">
        <is>
          <t>2026-06-05</t>
        </is>
      </c>
      <c r="C25" s="23" t="inlineStr">
        <is>
          <t>S1-ORD-024</t>
        </is>
      </c>
      <c r="D25" s="23" t="inlineStr">
        <is>
          <t>Acecook</t>
        </is>
      </c>
      <c r="E25" s="23" t="inlineStr">
        <is>
          <t>LOTTE MART Đống Đa</t>
        </is>
      </c>
      <c r="F25" s="23" t="inlineStr">
        <is>
          <t>MT</t>
        </is>
      </c>
      <c r="G25" s="23" t="inlineStr">
        <is>
          <t>NOODLE</t>
        </is>
      </c>
      <c r="H25" s="23" t="inlineStr">
        <is>
          <t>Mì gói/Acecook carton</t>
        </is>
      </c>
      <c r="I25" s="23" t="inlineStr">
        <is>
          <t>PK_HY_MYHAO</t>
        </is>
      </c>
      <c r="J25" s="23" t="inlineStr">
        <is>
          <t>Kho/Nhà máy khách hàng Mỹ Hào</t>
        </is>
      </c>
      <c r="K25" s="23" t="inlineStr">
        <is>
          <t>Hưng Yên</t>
        </is>
      </c>
      <c r="L25" s="23" t="inlineStr">
        <is>
          <t>Mỹ Hào</t>
        </is>
      </c>
      <c r="M25" s="24" t="n">
        <v>20.9329</v>
      </c>
      <c r="N25" s="24" t="n">
        <v>106.065</v>
      </c>
      <c r="O25" s="23" t="inlineStr">
        <is>
          <t>DL_HN_LOTTE_DD</t>
        </is>
      </c>
      <c r="P25" s="23" t="inlineStr">
        <is>
          <t>LOTTE MART Đống Đa</t>
        </is>
      </c>
      <c r="Q25" s="23" t="inlineStr">
        <is>
          <t>Hà Nội</t>
        </is>
      </c>
      <c r="R25" s="23" t="inlineStr">
        <is>
          <t>Đống Đa</t>
        </is>
      </c>
      <c r="S25" s="24" t="n">
        <v>21.005536</v>
      </c>
      <c r="T25" s="24" t="n">
        <v>105.823942</v>
      </c>
      <c r="U25" s="23" t="inlineStr">
        <is>
          <t>Nội thành Hà Nội</t>
        </is>
      </c>
      <c r="V25" s="23" t="inlineStr">
        <is>
          <t>Nội thành Hà Nội</t>
        </is>
      </c>
      <c r="W25" s="33" t="n">
        <v>44.3</v>
      </c>
      <c r="X25" s="32" t="n">
        <v>1402</v>
      </c>
      <c r="Y25" s="33" t="n">
        <v>8.84</v>
      </c>
      <c r="Z25" s="32" t="n">
        <v>7</v>
      </c>
      <c r="AA25" s="23" t="inlineStr">
        <is>
          <t>5T</t>
        </is>
      </c>
      <c r="AB25" s="23" t="inlineStr">
        <is>
          <t>1.25T</t>
        </is>
      </c>
      <c r="AC25" s="23" t="inlineStr">
        <is>
          <t>No</t>
        </is>
      </c>
      <c r="AD25" s="23" t="inlineStr">
        <is>
          <t>Yes</t>
        </is>
      </c>
      <c r="AE25" s="23" t="inlineStr">
        <is>
          <t>No</t>
        </is>
      </c>
      <c r="AF25" s="23" t="inlineStr">
        <is>
          <t>Yes</t>
        </is>
      </c>
      <c r="AG25" s="23" t="inlineStr">
        <is>
          <t>Hầm giao nhận, chỉ xe nhỏ/1.25T</t>
        </is>
      </c>
      <c r="AH25" s="23" t="inlineStr">
        <is>
          <t>07:00</t>
        </is>
      </c>
      <c r="AI25" s="23" t="inlineStr">
        <is>
          <t>08:30</t>
        </is>
      </c>
      <c r="AJ25" s="23" t="inlineStr">
        <is>
          <t>10:15</t>
        </is>
      </c>
      <c r="AK25" s="23" t="inlineStr">
        <is>
          <t>13:15</t>
        </is>
      </c>
      <c r="AL25" s="24" t="n">
        <v>45</v>
      </c>
      <c r="AM25" s="24" t="n">
        <v>40</v>
      </c>
      <c r="AN25" s="24" t="n">
        <v>45</v>
      </c>
      <c r="AO25" s="24" t="n">
        <v>375</v>
      </c>
      <c r="AP25" s="35" t="n">
        <v>1090000</v>
      </c>
      <c r="AQ25" s="35" t="n">
        <v>150000</v>
      </c>
      <c r="AR25" s="35" t="n">
        <v>120000</v>
      </c>
      <c r="AS25" s="32" t="n">
        <v>150000</v>
      </c>
      <c r="AT25" s="23" t="inlineStr">
        <is>
          <t>A - SLA chặt</t>
        </is>
      </c>
      <c r="AU25" s="23" t="inlineStr">
        <is>
          <t>CR-NỘIT-05</t>
        </is>
      </c>
      <c r="AV25" s="23" t="inlineStr">
        <is>
          <t>Zalo/Email plan 17:00</t>
        </is>
      </c>
      <c r="AW25" s="23" t="inlineStr">
        <is>
          <t>S1-C24</t>
        </is>
      </c>
      <c r="AX25" s="23" t="inlineStr">
        <is>
          <t>Split/Chuyển tải</t>
        </is>
      </c>
      <c r="AY25" s="23" t="inlineStr">
        <is>
          <t>Split Order/Chuyển tải hoặc xin xe nhỏ nhiều chuyến</t>
        </is>
      </c>
      <c r="AZ25" s="23" t="inlineStr">
        <is>
          <t>Review</t>
        </is>
      </c>
      <c r="BA25" s="23" t="inlineStr">
        <is>
          <t>Vehicle Mismatch</t>
        </is>
      </c>
      <c r="BB25" s="23">
        <f>AM25+AN25</f>
        <v/>
      </c>
      <c r="BC25" s="23">
        <f>ROUND(W25/'03_Cost_Constraints'!$B$4*60,0)</f>
        <v/>
      </c>
      <c r="BD25" s="23">
        <f>IF(X25&lt;=500,"5 tạ",IF(X25&lt;=1250,"1.25T",IF(X25&lt;=5000,"5T",IF(X25&lt;=8000,"8T",IF(X25&lt;=15000,"3 chân","4 chân")))))</f>
        <v/>
      </c>
      <c r="BE25" s="23">
        <f>IF((BB25+BC25)&lt;=AO25,"OK","Risk")</f>
        <v/>
      </c>
      <c r="BF25" s="23">
        <f>IF(AND(AZ25="OK",BE25="OK"),"Ready","Review")</f>
        <v/>
      </c>
      <c r="BG25" s="23" t="inlineStr">
        <is>
          <t>Kế hoạch ngày hôm sau; cần chốt trước 19:00 và gửi tài xế sau duyệt</t>
        </is>
      </c>
    </row>
    <row r="26" ht="18" customHeight="1" s="17">
      <c r="A26" s="21" t="inlineStr">
        <is>
          <t>S1</t>
        </is>
      </c>
      <c r="B26" s="21" t="inlineStr">
        <is>
          <t>2026-06-05</t>
        </is>
      </c>
      <c r="C26" s="21" t="inlineStr">
        <is>
          <t>S1-ORD-025</t>
        </is>
      </c>
      <c r="D26" s="21" t="inlineStr">
        <is>
          <t>MM Mega Market</t>
        </is>
      </c>
      <c r="E26" s="21" t="inlineStr">
        <is>
          <t>VINMART Bắc Từ Liêm</t>
        </is>
      </c>
      <c r="F26" s="21" t="inlineStr">
        <is>
          <t>ST</t>
        </is>
      </c>
      <c r="G26" s="21" t="inlineStr">
        <is>
          <t>CHCA</t>
        </is>
      </c>
      <c r="H26" s="21" t="inlineStr">
        <is>
          <t>Bia lon Saigon Chill</t>
        </is>
      </c>
      <c r="I26" s="21" t="inlineStr">
        <is>
          <t>PK_LINFOX_VSIP</t>
        </is>
      </c>
      <c r="J26" s="21" t="inlineStr">
        <is>
          <t>Kho Linfox KCN VSIP Bắc Ninh</t>
        </is>
      </c>
      <c r="K26" s="21" t="inlineStr">
        <is>
          <t>Bắc Ninh</t>
        </is>
      </c>
      <c r="L26" s="21" t="inlineStr">
        <is>
          <t>Từ Sơn</t>
        </is>
      </c>
      <c r="M26" s="22" t="n">
        <v>21.082707</v>
      </c>
      <c r="N26" s="22" t="n">
        <v>105.997949</v>
      </c>
      <c r="O26" s="21" t="inlineStr">
        <is>
          <t>DL_HN_BACTULIEM</t>
        </is>
      </c>
      <c r="P26" s="21" t="inlineStr">
        <is>
          <t>VINMART Bắc Từ Liêm</t>
        </is>
      </c>
      <c r="Q26" s="21" t="inlineStr">
        <is>
          <t>Hà Nội</t>
        </is>
      </c>
      <c r="R26" s="21" t="inlineStr">
        <is>
          <t>Bắc Từ Liêm</t>
        </is>
      </c>
      <c r="S26" s="22" t="n">
        <v>21.052701</v>
      </c>
      <c r="T26" s="22" t="n">
        <v>105.780729</v>
      </c>
      <c r="U26" s="21" t="inlineStr">
        <is>
          <t>Nội thành Hà Nội</t>
        </is>
      </c>
      <c r="V26" s="21" t="inlineStr">
        <is>
          <t>Nội thành Hà Nội</t>
        </is>
      </c>
      <c r="W26" s="29" t="n">
        <v>40.4</v>
      </c>
      <c r="X26" s="28" t="n">
        <v>988</v>
      </c>
      <c r="Y26" s="29" t="n">
        <v>1.61</v>
      </c>
      <c r="Z26" s="28" t="n">
        <v>1</v>
      </c>
      <c r="AA26" s="21" t="inlineStr">
        <is>
          <t>1.25T</t>
        </is>
      </c>
      <c r="AB26" s="21" t="inlineStr">
        <is>
          <t>1.25T</t>
        </is>
      </c>
      <c r="AC26" s="21" t="inlineStr">
        <is>
          <t>No</t>
        </is>
      </c>
      <c r="AD26" s="21" t="inlineStr">
        <is>
          <t>Yes</t>
        </is>
      </c>
      <c r="AE26" s="21" t="inlineStr">
        <is>
          <t>No</t>
        </is>
      </c>
      <c r="AF26" s="21" t="inlineStr">
        <is>
          <t>Yes</t>
        </is>
      </c>
      <c r="AG26" s="21" t="inlineStr">
        <is>
          <t>Nội đô, khung giờ hạn chế xe tải</t>
        </is>
      </c>
      <c r="AH26" s="21" t="inlineStr">
        <is>
          <t>09:00</t>
        </is>
      </c>
      <c r="AI26" s="21" t="inlineStr">
        <is>
          <t>11:30</t>
        </is>
      </c>
      <c r="AJ26" s="21" t="inlineStr">
        <is>
          <t>12:24</t>
        </is>
      </c>
      <c r="AK26" s="21" t="inlineStr">
        <is>
          <t>15:24</t>
        </is>
      </c>
      <c r="AL26" s="22" t="n">
        <v>30</v>
      </c>
      <c r="AM26" s="22" t="n">
        <v>25</v>
      </c>
      <c r="AN26" s="22" t="n">
        <v>20</v>
      </c>
      <c r="AO26" s="22" t="n">
        <v>384</v>
      </c>
      <c r="AP26" s="31" t="n">
        <v>780000</v>
      </c>
      <c r="AQ26" s="31" t="n">
        <v>0</v>
      </c>
      <c r="AR26" s="31" t="n">
        <v>0</v>
      </c>
      <c r="AS26" s="28" t="n">
        <v>80000</v>
      </c>
      <c r="AT26" s="21" t="inlineStr">
        <is>
          <t>B - Thường</t>
        </is>
      </c>
      <c r="AU26" s="21" t="inlineStr">
        <is>
          <t>CR-NỘIT-01</t>
        </is>
      </c>
      <c r="AV26" s="21" t="inlineStr">
        <is>
          <t>Manual nhập điều phối</t>
        </is>
      </c>
      <c r="AW26" s="21" t="inlineStr">
        <is>
          <t>S1-C25</t>
        </is>
      </c>
      <c r="AX26" s="21" t="inlineStr">
        <is>
          <t>1.25T</t>
        </is>
      </c>
      <c r="AY26" s="21" t="inlineStr">
        <is>
          <t>Send to Clustering</t>
        </is>
      </c>
      <c r="AZ26" s="21" t="inlineStr">
        <is>
          <t>OK</t>
        </is>
      </c>
      <c r="BA26" s="21" t="inlineStr">
        <is>
          <t>Cấm tải/đường nhỏ - đã chọn xe nhỏ</t>
        </is>
      </c>
      <c r="BB26" s="21">
        <f>AM26+AN26</f>
        <v/>
      </c>
      <c r="BC26" s="21">
        <f>ROUND(W26/'03_Cost_Constraints'!$B$4*60,0)</f>
        <v/>
      </c>
      <c r="BD26" s="21">
        <f>IF(X26&lt;=500,"5 tạ",IF(X26&lt;=1250,"1.25T",IF(X26&lt;=5000,"5T",IF(X26&lt;=8000,"8T",IF(X26&lt;=15000,"3 chân","4 chân")))))</f>
        <v/>
      </c>
      <c r="BE26" s="21">
        <f>IF((BB26+BC26)&lt;=AO26,"OK","Risk")</f>
        <v/>
      </c>
      <c r="BF26" s="21">
        <f>IF(AND(AZ26="OK",BE26="OK"),"Ready","Review")</f>
        <v/>
      </c>
      <c r="BG26" s="21" t="n"/>
    </row>
    <row r="27" ht="18" customHeight="1" s="17">
      <c r="A27" s="23" t="inlineStr">
        <is>
          <t>S1</t>
        </is>
      </c>
      <c r="B27" s="23" t="inlineStr">
        <is>
          <t>2026-06-05</t>
        </is>
      </c>
      <c r="C27" s="23" t="inlineStr">
        <is>
          <t>S1-ORD-026</t>
        </is>
      </c>
      <c r="D27" s="23" t="inlineStr">
        <is>
          <t>Linfox</t>
        </is>
      </c>
      <c r="E27" s="23" t="inlineStr">
        <is>
          <t>TOPS MARKET Garden Mall</t>
        </is>
      </c>
      <c r="F27" s="23" t="inlineStr">
        <is>
          <t>MT</t>
        </is>
      </c>
      <c r="G27" s="23" t="inlineStr">
        <is>
          <t>POSM</t>
        </is>
      </c>
      <c r="H27" s="23" t="inlineStr">
        <is>
          <t>POSM trưng bày</t>
        </is>
      </c>
      <c r="I27" s="23" t="inlineStr">
        <is>
          <t>PK_HPL_LB</t>
        </is>
      </c>
      <c r="J27" s="23" t="inlineStr">
        <is>
          <t>HPL Depot Long Biên - 20 Thạch Bàn</t>
        </is>
      </c>
      <c r="K27" s="23" t="inlineStr">
        <is>
          <t>Hà Nội</t>
        </is>
      </c>
      <c r="L27" s="23" t="inlineStr">
        <is>
          <t>Long Biên</t>
        </is>
      </c>
      <c r="M27" s="24" t="n">
        <v>21.0261548385</v>
      </c>
      <c r="N27" s="24" t="n">
        <v>105.914182238</v>
      </c>
      <c r="O27" s="23" t="inlineStr">
        <is>
          <t>DL_HN_GARDEN</t>
        </is>
      </c>
      <c r="P27" s="23" t="inlineStr">
        <is>
          <t>TOPS MARKET Garden Mall</t>
        </is>
      </c>
      <c r="Q27" s="23" t="inlineStr">
        <is>
          <t>Hà Nội</t>
        </is>
      </c>
      <c r="R27" s="23" t="inlineStr">
        <is>
          <t>Nam Từ Liêm</t>
        </is>
      </c>
      <c r="S27" s="24" t="n">
        <v>21.015324</v>
      </c>
      <c r="T27" s="24" t="n">
        <v>105.777839</v>
      </c>
      <c r="U27" s="23" t="inlineStr">
        <is>
          <t>Nội thành Hà Nội</t>
        </is>
      </c>
      <c r="V27" s="23" t="inlineStr">
        <is>
          <t>Nội thành Hà Nội</t>
        </is>
      </c>
      <c r="W27" s="33" t="n">
        <v>22.5</v>
      </c>
      <c r="X27" s="32" t="n">
        <v>1043</v>
      </c>
      <c r="Y27" s="33" t="n">
        <v>22.83</v>
      </c>
      <c r="Z27" s="32" t="n">
        <v>19</v>
      </c>
      <c r="AA27" s="23" t="inlineStr">
        <is>
          <t>5T</t>
        </is>
      </c>
      <c r="AB27" s="23" t="inlineStr">
        <is>
          <t>1.25T</t>
        </is>
      </c>
      <c r="AC27" s="23" t="inlineStr">
        <is>
          <t>No</t>
        </is>
      </c>
      <c r="AD27" s="23" t="inlineStr">
        <is>
          <t>Yes</t>
        </is>
      </c>
      <c r="AE27" s="23" t="inlineStr">
        <is>
          <t>No</t>
        </is>
      </c>
      <c r="AF27" s="23" t="inlineStr">
        <is>
          <t>Yes</t>
        </is>
      </c>
      <c r="AG27" s="23" t="inlineStr">
        <is>
          <t>Khung giờ nhập kho cố định</t>
        </is>
      </c>
      <c r="AH27" s="23" t="inlineStr">
        <is>
          <t>09:00</t>
        </is>
      </c>
      <c r="AI27" s="23" t="inlineStr">
        <is>
          <t>10:30</t>
        </is>
      </c>
      <c r="AJ27" s="23" t="inlineStr">
        <is>
          <t>10:38</t>
        </is>
      </c>
      <c r="AK27" s="23" t="inlineStr">
        <is>
          <t>13:08</t>
        </is>
      </c>
      <c r="AL27" s="24" t="n">
        <v>45</v>
      </c>
      <c r="AM27" s="24" t="n">
        <v>40</v>
      </c>
      <c r="AN27" s="24" t="n">
        <v>45</v>
      </c>
      <c r="AO27" s="24" t="n">
        <v>248</v>
      </c>
      <c r="AP27" s="35" t="n">
        <v>710000</v>
      </c>
      <c r="AQ27" s="35" t="n">
        <v>0</v>
      </c>
      <c r="AR27" s="35" t="n">
        <v>120000</v>
      </c>
      <c r="AS27" s="32" t="n">
        <v>80000</v>
      </c>
      <c r="AT27" s="23" t="inlineStr">
        <is>
          <t>C - Có thể thương lượng</t>
        </is>
      </c>
      <c r="AU27" s="23" t="inlineStr">
        <is>
          <t>CR-NỘIT-02</t>
        </is>
      </c>
      <c r="AV27" s="23" t="inlineStr">
        <is>
          <t>Excel khách hàng</t>
        </is>
      </c>
      <c r="AW27" s="23" t="inlineStr">
        <is>
          <t>S1-C26</t>
        </is>
      </c>
      <c r="AX27" s="23" t="inlineStr">
        <is>
          <t>Split/Chuyển tải</t>
        </is>
      </c>
      <c r="AY27" s="23" t="inlineStr">
        <is>
          <t>Split Order/Chuyển tải hoặc xin xe nhỏ nhiều chuyến</t>
        </is>
      </c>
      <c r="AZ27" s="23" t="inlineStr">
        <is>
          <t>Review</t>
        </is>
      </c>
      <c r="BA27" s="23" t="inlineStr">
        <is>
          <t>Vehicle Mismatch</t>
        </is>
      </c>
      <c r="BB27" s="23">
        <f>AM27+AN27</f>
        <v/>
      </c>
      <c r="BC27" s="23">
        <f>ROUND(W27/'03_Cost_Constraints'!$B$4*60,0)</f>
        <v/>
      </c>
      <c r="BD27" s="23">
        <f>IF(X27&lt;=500,"5 tạ",IF(X27&lt;=1250,"1.25T",IF(X27&lt;=5000,"5T",IF(X27&lt;=8000,"8T",IF(X27&lt;=15000,"3 chân","4 chân")))))</f>
        <v/>
      </c>
      <c r="BE27" s="23">
        <f>IF((BB27+BC27)&lt;=AO27,"OK","Risk")</f>
        <v/>
      </c>
      <c r="BF27" s="23">
        <f>IF(AND(AZ27="OK",BE27="OK"),"Ready","Review")</f>
        <v/>
      </c>
      <c r="BG27" s="23" t="n"/>
    </row>
    <row r="28" ht="18" customHeight="1" s="17">
      <c r="A28" s="21" t="inlineStr">
        <is>
          <t>S1</t>
        </is>
      </c>
      <c r="B28" s="21" t="inlineStr">
        <is>
          <t>2026-06-05</t>
        </is>
      </c>
      <c r="C28" s="21" t="inlineStr">
        <is>
          <t>S1-ORD-027</t>
        </is>
      </c>
      <c r="D28" s="21" t="inlineStr">
        <is>
          <t>Bách Hóa Xanh</t>
        </is>
      </c>
      <c r="E28" s="21" t="inlineStr">
        <is>
          <t>Siêu thị Hải Phòng</t>
        </is>
      </c>
      <c r="F28" s="21" t="inlineStr">
        <is>
          <t>MT</t>
        </is>
      </c>
      <c r="G28" s="21" t="inlineStr">
        <is>
          <t>FMCG</t>
        </is>
      </c>
      <c r="H28" s="21" t="inlineStr">
        <is>
          <t>Hàng tiêu dùng nhanh hỗn hợp</t>
        </is>
      </c>
      <c r="I28" s="21" t="inlineStr">
        <is>
          <t>PK_HP_DINHVU</t>
        </is>
      </c>
      <c r="J28" s="21" t="inlineStr">
        <is>
          <t>Kho Hải Phòng - Đình Vũ</t>
        </is>
      </c>
      <c r="K28" s="21" t="inlineStr">
        <is>
          <t>Hải Phòng</t>
        </is>
      </c>
      <c r="L28" s="21" t="inlineStr">
        <is>
          <t>Hải An</t>
        </is>
      </c>
      <c r="M28" s="22" t="n">
        <v>20.8425</v>
      </c>
      <c r="N28" s="22" t="n">
        <v>106.77</v>
      </c>
      <c r="O28" s="21" t="inlineStr">
        <is>
          <t>DL_HP_SIEUTHI</t>
        </is>
      </c>
      <c r="P28" s="21" t="inlineStr">
        <is>
          <t>Siêu thị Hải Phòng</t>
        </is>
      </c>
      <c r="Q28" s="21" t="inlineStr">
        <is>
          <t>Hải Phòng</t>
        </is>
      </c>
      <c r="R28" s="21" t="inlineStr">
        <is>
          <t>Gia Viên</t>
        </is>
      </c>
      <c r="S28" s="22" t="n">
        <v>20.84442</v>
      </c>
      <c r="T28" s="22" t="n">
        <v>106.7011</v>
      </c>
      <c r="U28" s="21" t="inlineStr">
        <is>
          <t>Đông Bắc</t>
        </is>
      </c>
      <c r="V28" s="21" t="inlineStr">
        <is>
          <t>Đông Bắc</t>
        </is>
      </c>
      <c r="W28" s="29" t="n">
        <v>13.1</v>
      </c>
      <c r="X28" s="28" t="n">
        <v>1775</v>
      </c>
      <c r="Y28" s="29" t="n">
        <v>9.34</v>
      </c>
      <c r="Z28" s="28" t="n">
        <v>7</v>
      </c>
      <c r="AA28" s="21" t="inlineStr">
        <is>
          <t>5T</t>
        </is>
      </c>
      <c r="AB28" s="21" t="inlineStr">
        <is>
          <t>5T</t>
        </is>
      </c>
      <c r="AC28" s="21" t="inlineStr">
        <is>
          <t>No</t>
        </is>
      </c>
      <c r="AD28" s="21" t="inlineStr">
        <is>
          <t>Yes</t>
        </is>
      </c>
      <c r="AE28" s="21" t="inlineStr">
        <is>
          <t>No</t>
        </is>
      </c>
      <c r="AF28" s="21" t="inlineStr">
        <is>
          <t>No</t>
        </is>
      </c>
      <c r="AG28" s="21" t="inlineStr">
        <is>
          <t>Khung giờ nhập kho 13:00-16:00</t>
        </is>
      </c>
      <c r="AH28" s="21" t="inlineStr">
        <is>
          <t>08:00</t>
        </is>
      </c>
      <c r="AI28" s="21" t="inlineStr">
        <is>
          <t>10:30</t>
        </is>
      </c>
      <c r="AJ28" s="21" t="inlineStr">
        <is>
          <t>10:17</t>
        </is>
      </c>
      <c r="AK28" s="21" t="inlineStr">
        <is>
          <t>12:47</t>
        </is>
      </c>
      <c r="AL28" s="22" t="n">
        <v>45</v>
      </c>
      <c r="AM28" s="22" t="n">
        <v>40</v>
      </c>
      <c r="AN28" s="22" t="n">
        <v>45</v>
      </c>
      <c r="AO28" s="22" t="n">
        <v>287</v>
      </c>
      <c r="AP28" s="31" t="n">
        <v>720000</v>
      </c>
      <c r="AQ28" s="31" t="n">
        <v>150000</v>
      </c>
      <c r="AR28" s="31" t="n">
        <v>120000</v>
      </c>
      <c r="AS28" s="28" t="n">
        <v>80000</v>
      </c>
      <c r="AT28" s="21" t="inlineStr">
        <is>
          <t>B - Thường</t>
        </is>
      </c>
      <c r="AU28" s="21" t="inlineStr">
        <is>
          <t>CR-ĐÔNG-03</t>
        </is>
      </c>
      <c r="AV28" s="21" t="inlineStr">
        <is>
          <t>Hệ thống khách hàng</t>
        </is>
      </c>
      <c r="AW28" s="21" t="inlineStr">
        <is>
          <t>S1-C27</t>
        </is>
      </c>
      <c r="AX28" s="21" t="inlineStr">
        <is>
          <t>5T</t>
        </is>
      </c>
      <c r="AY28" s="21" t="inlineStr">
        <is>
          <t>Send to Clustering</t>
        </is>
      </c>
      <c r="AZ28" s="21" t="inlineStr">
        <is>
          <t>OK</t>
        </is>
      </c>
      <c r="BA28" s="21" t="inlineStr">
        <is>
          <t>OK</t>
        </is>
      </c>
      <c r="BB28" s="21">
        <f>AM28+AN28</f>
        <v/>
      </c>
      <c r="BC28" s="21">
        <f>ROUND(W28/'03_Cost_Constraints'!$B$4*60,0)</f>
        <v/>
      </c>
      <c r="BD28" s="21">
        <f>IF(X28&lt;=500,"5 tạ",IF(X28&lt;=1250,"1.25T",IF(X28&lt;=5000,"5T",IF(X28&lt;=8000,"8T",IF(X28&lt;=15000,"3 chân","4 chân")))))</f>
        <v/>
      </c>
      <c r="BE28" s="21">
        <f>IF((BB28+BC28)&lt;=AO28,"OK","Risk")</f>
        <v/>
      </c>
      <c r="BF28" s="21">
        <f>IF(AND(AZ28="OK",BE28="OK"),"Ready","Review")</f>
        <v/>
      </c>
      <c r="BG28" s="21" t="n"/>
    </row>
    <row r="29" ht="18" customHeight="1" s="17">
      <c r="A29" s="23" t="inlineStr">
        <is>
          <t>S1</t>
        </is>
      </c>
      <c r="B29" s="23" t="inlineStr">
        <is>
          <t>2026-06-05</t>
        </is>
      </c>
      <c r="C29" s="23" t="inlineStr">
        <is>
          <t>S1-ORD-028</t>
        </is>
      </c>
      <c r="D29" s="23" t="inlineStr">
        <is>
          <t>MM Mega Market</t>
        </is>
      </c>
      <c r="E29" s="23" t="inlineStr">
        <is>
          <t>LOTTE MART Đống Đa</t>
        </is>
      </c>
      <c r="F29" s="23" t="inlineStr">
        <is>
          <t>MT</t>
        </is>
      </c>
      <c r="G29" s="23" t="inlineStr">
        <is>
          <t>POSM</t>
        </is>
      </c>
      <c r="H29" s="23" t="inlineStr">
        <is>
          <t>POSM trưng bày</t>
        </is>
      </c>
      <c r="I29" s="23" t="inlineStr">
        <is>
          <t>PK_HPL_LB</t>
        </is>
      </c>
      <c r="J29" s="23" t="inlineStr">
        <is>
          <t>HPL Depot Long Biên - 20 Thạch Bàn</t>
        </is>
      </c>
      <c r="K29" s="23" t="inlineStr">
        <is>
          <t>Hà Nội</t>
        </is>
      </c>
      <c r="L29" s="23" t="inlineStr">
        <is>
          <t>Long Biên</t>
        </is>
      </c>
      <c r="M29" s="24" t="n">
        <v>21.0261548385</v>
      </c>
      <c r="N29" s="24" t="n">
        <v>105.914182238</v>
      </c>
      <c r="O29" s="23" t="inlineStr">
        <is>
          <t>DL_HN_LOTTE_DD</t>
        </is>
      </c>
      <c r="P29" s="23" t="inlineStr">
        <is>
          <t>LOTTE MART Đống Đa</t>
        </is>
      </c>
      <c r="Q29" s="23" t="inlineStr">
        <is>
          <t>Hà Nội</t>
        </is>
      </c>
      <c r="R29" s="23" t="inlineStr">
        <is>
          <t>Đống Đa</t>
        </is>
      </c>
      <c r="S29" s="24" t="n">
        <v>21.005536</v>
      </c>
      <c r="T29" s="24" t="n">
        <v>105.823942</v>
      </c>
      <c r="U29" s="23" t="inlineStr">
        <is>
          <t>Nội thành Hà Nội</t>
        </is>
      </c>
      <c r="V29" s="23" t="inlineStr">
        <is>
          <t>Nội thành Hà Nội</t>
        </is>
      </c>
      <c r="W29" s="33" t="n">
        <v>16.1</v>
      </c>
      <c r="X29" s="32" t="n">
        <v>1438</v>
      </c>
      <c r="Y29" s="33" t="n">
        <v>37.08</v>
      </c>
      <c r="Z29" s="32" t="n">
        <v>30</v>
      </c>
      <c r="AA29" s="23" t="inlineStr">
        <is>
          <t>8T</t>
        </is>
      </c>
      <c r="AB29" s="23" t="inlineStr">
        <is>
          <t>1.25T</t>
        </is>
      </c>
      <c r="AC29" s="23" t="inlineStr">
        <is>
          <t>No</t>
        </is>
      </c>
      <c r="AD29" s="23" t="inlineStr">
        <is>
          <t>Yes</t>
        </is>
      </c>
      <c r="AE29" s="23" t="inlineStr">
        <is>
          <t>No</t>
        </is>
      </c>
      <c r="AF29" s="23" t="inlineStr">
        <is>
          <t>Yes</t>
        </is>
      </c>
      <c r="AG29" s="23" t="inlineStr">
        <is>
          <t>Hầm giao nhận, chỉ xe nhỏ/1.25T</t>
        </is>
      </c>
      <c r="AH29" s="23" t="inlineStr">
        <is>
          <t>08:30</t>
        </is>
      </c>
      <c r="AI29" s="23" t="inlineStr">
        <is>
          <t>11:00</t>
        </is>
      </c>
      <c r="AJ29" s="23" t="inlineStr">
        <is>
          <t>09:57</t>
        </is>
      </c>
      <c r="AK29" s="23" t="inlineStr">
        <is>
          <t>12:27</t>
        </is>
      </c>
      <c r="AL29" s="24" t="n">
        <v>30</v>
      </c>
      <c r="AM29" s="24" t="n">
        <v>40</v>
      </c>
      <c r="AN29" s="24" t="n">
        <v>45</v>
      </c>
      <c r="AO29" s="24" t="n">
        <v>237</v>
      </c>
      <c r="AP29" s="35" t="n">
        <v>700000</v>
      </c>
      <c r="AQ29" s="35" t="n">
        <v>0</v>
      </c>
      <c r="AR29" s="35" t="n">
        <v>120000</v>
      </c>
      <c r="AS29" s="32" t="n">
        <v>80000</v>
      </c>
      <c r="AT29" s="23" t="inlineStr">
        <is>
          <t>C - Có thể thương lượng</t>
        </is>
      </c>
      <c r="AU29" s="23" t="inlineStr">
        <is>
          <t>CR-NỘIT-04</t>
        </is>
      </c>
      <c r="AV29" s="23" t="inlineStr">
        <is>
          <t>Zalo/Email plan 17:00</t>
        </is>
      </c>
      <c r="AW29" s="23" t="inlineStr">
        <is>
          <t>S1-C28</t>
        </is>
      </c>
      <c r="AX29" s="23" t="inlineStr">
        <is>
          <t>Split/Chuyển tải</t>
        </is>
      </c>
      <c r="AY29" s="23" t="inlineStr">
        <is>
          <t>Split Order/Chuyển tải hoặc xin xe nhỏ nhiều chuyến</t>
        </is>
      </c>
      <c r="AZ29" s="23" t="inlineStr">
        <is>
          <t>Review</t>
        </is>
      </c>
      <c r="BA29" s="23" t="inlineStr">
        <is>
          <t>Vehicle Mismatch</t>
        </is>
      </c>
      <c r="BB29" s="23">
        <f>AM29+AN29</f>
        <v/>
      </c>
      <c r="BC29" s="23">
        <f>ROUND(W29/'03_Cost_Constraints'!$B$4*60,0)</f>
        <v/>
      </c>
      <c r="BD29" s="23">
        <f>IF(X29&lt;=500,"5 tạ",IF(X29&lt;=1250,"1.25T",IF(X29&lt;=5000,"5T",IF(X29&lt;=8000,"8T",IF(X29&lt;=15000,"3 chân","4 chân")))))</f>
        <v/>
      </c>
      <c r="BE29" s="23">
        <f>IF((BB29+BC29)&lt;=AO29,"OK","Risk")</f>
        <v/>
      </c>
      <c r="BF29" s="23">
        <f>IF(AND(AZ29="OK",BE29="OK"),"Ready","Review")</f>
        <v/>
      </c>
      <c r="BG29" s="23" t="inlineStr">
        <is>
          <t>Kế hoạch ngày hôm sau; cần chốt trước 19:00 và gửi tài xế sau duyệt</t>
        </is>
      </c>
    </row>
    <row r="30" ht="18" customHeight="1" s="17">
      <c r="A30" s="21" t="inlineStr">
        <is>
          <t>S1</t>
        </is>
      </c>
      <c r="B30" s="21" t="inlineStr">
        <is>
          <t>2026-06-05</t>
        </is>
      </c>
      <c r="C30" s="21" t="inlineStr">
        <is>
          <t>S1-ORD-029</t>
        </is>
      </c>
      <c r="D30" s="21" t="inlineStr">
        <is>
          <t>Masan</t>
        </is>
      </c>
      <c r="E30" s="21" t="inlineStr">
        <is>
          <t>VINMART Times City</t>
        </is>
      </c>
      <c r="F30" s="21" t="inlineStr">
        <is>
          <t>MT</t>
        </is>
      </c>
      <c r="G30" s="21" t="inlineStr">
        <is>
          <t>PAT2</t>
        </is>
      </c>
      <c r="H30" s="21" t="inlineStr">
        <is>
          <t>Bia lon 333</t>
        </is>
      </c>
      <c r="I30" s="21" t="inlineStr">
        <is>
          <t>PK_HPL_LB</t>
        </is>
      </c>
      <c r="J30" s="21" t="inlineStr">
        <is>
          <t>HPL Depot Long Biên - 20 Thạch Bàn</t>
        </is>
      </c>
      <c r="K30" s="21" t="inlineStr">
        <is>
          <t>Hà Nội</t>
        </is>
      </c>
      <c r="L30" s="21" t="inlineStr">
        <is>
          <t>Long Biên</t>
        </is>
      </c>
      <c r="M30" s="22" t="n">
        <v>21.0261548385</v>
      </c>
      <c r="N30" s="22" t="n">
        <v>105.914182238</v>
      </c>
      <c r="O30" s="21" t="inlineStr">
        <is>
          <t>DL_HN_TIMESCITY</t>
        </is>
      </c>
      <c r="P30" s="21" t="inlineStr">
        <is>
          <t>VINMART Times City</t>
        </is>
      </c>
      <c r="Q30" s="21" t="inlineStr">
        <is>
          <t>Hà Nội</t>
        </is>
      </c>
      <c r="R30" s="21" t="inlineStr">
        <is>
          <t>Hai Bà Trưng</t>
        </is>
      </c>
      <c r="S30" s="22" t="n">
        <v>20.994022</v>
      </c>
      <c r="T30" s="22" t="n">
        <v>105.869639</v>
      </c>
      <c r="U30" s="21" t="inlineStr">
        <is>
          <t>Nội thành Hà Nội</t>
        </is>
      </c>
      <c r="V30" s="21" t="inlineStr">
        <is>
          <t>Nội thành Hà Nội</t>
        </is>
      </c>
      <c r="W30" s="29" t="n">
        <v>14.4</v>
      </c>
      <c r="X30" s="28" t="n">
        <v>223</v>
      </c>
      <c r="Y30" s="29" t="n">
        <v>0.6</v>
      </c>
      <c r="Z30" s="28" t="n">
        <v>1</v>
      </c>
      <c r="AA30" s="21" t="inlineStr">
        <is>
          <t>5 tạ</t>
        </is>
      </c>
      <c r="AB30" s="21" t="inlineStr">
        <is>
          <t>1.25T</t>
        </is>
      </c>
      <c r="AC30" s="21" t="inlineStr">
        <is>
          <t>No</t>
        </is>
      </c>
      <c r="AD30" s="21" t="inlineStr">
        <is>
          <t>Yes</t>
        </is>
      </c>
      <c r="AE30" s="21" t="inlineStr">
        <is>
          <t>No</t>
        </is>
      </c>
      <c r="AF30" s="21" t="inlineStr">
        <is>
          <t>Yes</t>
        </is>
      </c>
      <c r="AG30" s="21" t="inlineStr">
        <is>
          <t>Nội khu, xe lớn hạn chế</t>
        </is>
      </c>
      <c r="AH30" s="21" t="inlineStr">
        <is>
          <t>07:00</t>
        </is>
      </c>
      <c r="AI30" s="21" t="inlineStr">
        <is>
          <t>09:30</t>
        </is>
      </c>
      <c r="AJ30" s="21" t="inlineStr">
        <is>
          <t>08:09</t>
        </is>
      </c>
      <c r="AK30" s="21" t="inlineStr">
        <is>
          <t>10:39</t>
        </is>
      </c>
      <c r="AL30" s="22" t="n">
        <v>30</v>
      </c>
      <c r="AM30" s="22" t="n">
        <v>25</v>
      </c>
      <c r="AN30" s="22" t="n">
        <v>30</v>
      </c>
      <c r="AO30" s="22" t="n">
        <v>219</v>
      </c>
      <c r="AP30" s="31" t="n">
        <v>610000</v>
      </c>
      <c r="AQ30" s="31" t="n">
        <v>0</v>
      </c>
      <c r="AR30" s="31" t="n">
        <v>120000</v>
      </c>
      <c r="AS30" s="28" t="n">
        <v>80000</v>
      </c>
      <c r="AT30" s="21" t="inlineStr">
        <is>
          <t>B - Thường</t>
        </is>
      </c>
      <c r="AU30" s="21" t="inlineStr">
        <is>
          <t>CR-NỘIT-05</t>
        </is>
      </c>
      <c r="AV30" s="21" t="inlineStr">
        <is>
          <t>Manual nhập điều phối</t>
        </is>
      </c>
      <c r="AW30" s="21" t="inlineStr">
        <is>
          <t>S1-C02</t>
        </is>
      </c>
      <c r="AX30" s="21" t="inlineStr">
        <is>
          <t>5 tạ</t>
        </is>
      </c>
      <c r="AY30" s="21" t="inlineStr">
        <is>
          <t>Send to Clustering</t>
        </is>
      </c>
      <c r="AZ30" s="21" t="inlineStr">
        <is>
          <t>OK</t>
        </is>
      </c>
      <c r="BA30" s="21" t="inlineStr">
        <is>
          <t>Cấm tải/đường nhỏ - đã chọn xe nhỏ</t>
        </is>
      </c>
      <c r="BB30" s="21">
        <f>AM30+AN30</f>
        <v/>
      </c>
      <c r="BC30" s="21">
        <f>ROUND(W30/'03_Cost_Constraints'!$B$4*60,0)</f>
        <v/>
      </c>
      <c r="BD30" s="21">
        <f>IF(X30&lt;=500,"5 tạ",IF(X30&lt;=1250,"1.25T",IF(X30&lt;=5000,"5T",IF(X30&lt;=8000,"8T",IF(X30&lt;=15000,"3 chân","4 chân")))))</f>
        <v/>
      </c>
      <c r="BE30" s="21">
        <f>IF((BB30+BC30)&lt;=AO30,"OK","Risk")</f>
        <v/>
      </c>
      <c r="BF30" s="21">
        <f>IF(AND(AZ30="OK",BE30="OK"),"Ready","Review")</f>
        <v/>
      </c>
      <c r="BG30" s="21" t="n"/>
    </row>
    <row r="31" ht="18" customHeight="1" s="17">
      <c r="A31" s="23" t="inlineStr">
        <is>
          <t>S1</t>
        </is>
      </c>
      <c r="B31" s="23" t="inlineStr">
        <is>
          <t>2026-06-05</t>
        </is>
      </c>
      <c r="C31" s="23" t="inlineStr">
        <is>
          <t>S1-ORD-030</t>
        </is>
      </c>
      <c r="D31" s="23" t="inlineStr">
        <is>
          <t>Sabeco</t>
        </is>
      </c>
      <c r="E31" s="23" t="inlineStr">
        <is>
          <t>Siêu thị Hải Phòng</t>
        </is>
      </c>
      <c r="F31" s="23" t="inlineStr">
        <is>
          <t>MT</t>
        </is>
      </c>
      <c r="G31" s="23" t="inlineStr">
        <is>
          <t>LVCA</t>
        </is>
      </c>
      <c r="H31" s="23" t="inlineStr">
        <is>
          <t>Bia lon Lạc Việt</t>
        </is>
      </c>
      <c r="I31" s="23" t="inlineStr">
        <is>
          <t>PK_LINFOX_VSIP</t>
        </is>
      </c>
      <c r="J31" s="23" t="inlineStr">
        <is>
          <t>Kho Linfox KCN VSIP Bắc Ninh</t>
        </is>
      </c>
      <c r="K31" s="23" t="inlineStr">
        <is>
          <t>Bắc Ninh</t>
        </is>
      </c>
      <c r="L31" s="23" t="inlineStr">
        <is>
          <t>Từ Sơn</t>
        </is>
      </c>
      <c r="M31" s="24" t="n">
        <v>21.082707</v>
      </c>
      <c r="N31" s="24" t="n">
        <v>105.997949</v>
      </c>
      <c r="O31" s="23" t="inlineStr">
        <is>
          <t>DL_HP_SIEUTHI</t>
        </is>
      </c>
      <c r="P31" s="23" t="inlineStr">
        <is>
          <t>Siêu thị Hải Phòng</t>
        </is>
      </c>
      <c r="Q31" s="23" t="inlineStr">
        <is>
          <t>Hải Phòng</t>
        </is>
      </c>
      <c r="R31" s="23" t="inlineStr">
        <is>
          <t>Gia Viên</t>
        </is>
      </c>
      <c r="S31" s="24" t="n">
        <v>20.84442</v>
      </c>
      <c r="T31" s="24" t="n">
        <v>106.7011</v>
      </c>
      <c r="U31" s="23" t="inlineStr">
        <is>
          <t>Đông Bắc</t>
        </is>
      </c>
      <c r="V31" s="23" t="inlineStr">
        <is>
          <t>Đông Bắc</t>
        </is>
      </c>
      <c r="W31" s="33" t="n">
        <v>102.4</v>
      </c>
      <c r="X31" s="32" t="n">
        <v>4789</v>
      </c>
      <c r="Y31" s="33" t="n">
        <v>12.42</v>
      </c>
      <c r="Z31" s="32" t="n">
        <v>10</v>
      </c>
      <c r="AA31" s="23" t="inlineStr">
        <is>
          <t>5T</t>
        </is>
      </c>
      <c r="AB31" s="23" t="inlineStr">
        <is>
          <t>5T</t>
        </is>
      </c>
      <c r="AC31" s="23" t="inlineStr">
        <is>
          <t>No</t>
        </is>
      </c>
      <c r="AD31" s="23" t="inlineStr">
        <is>
          <t>Yes</t>
        </is>
      </c>
      <c r="AE31" s="23" t="inlineStr">
        <is>
          <t>No</t>
        </is>
      </c>
      <c r="AF31" s="23" t="inlineStr">
        <is>
          <t>No</t>
        </is>
      </c>
      <c r="AG31" s="23" t="inlineStr">
        <is>
          <t>Khung giờ nhập kho 13:00-16:00</t>
        </is>
      </c>
      <c r="AH31" s="23" t="inlineStr">
        <is>
          <t>08:00</t>
        </is>
      </c>
      <c r="AI31" s="23" t="inlineStr">
        <is>
          <t>10:30</t>
        </is>
      </c>
      <c r="AJ31" s="23" t="inlineStr">
        <is>
          <t>11:16</t>
        </is>
      </c>
      <c r="AK31" s="23" t="inlineStr">
        <is>
          <t>13:46</t>
        </is>
      </c>
      <c r="AL31" s="24" t="n">
        <v>30</v>
      </c>
      <c r="AM31" s="24" t="n">
        <v>40</v>
      </c>
      <c r="AN31" s="24" t="n">
        <v>45</v>
      </c>
      <c r="AO31" s="24" t="n">
        <v>346</v>
      </c>
      <c r="AP31" s="35" t="n">
        <v>3350000</v>
      </c>
      <c r="AQ31" s="35" t="n">
        <v>150000</v>
      </c>
      <c r="AR31" s="35" t="n">
        <v>120000</v>
      </c>
      <c r="AS31" s="32" t="n">
        <v>150000</v>
      </c>
      <c r="AT31" s="23" t="inlineStr">
        <is>
          <t>A - SLA chặt</t>
        </is>
      </c>
      <c r="AU31" s="23" t="inlineStr">
        <is>
          <t>CR-ĐÔNG-01</t>
        </is>
      </c>
      <c r="AV31" s="23" t="inlineStr">
        <is>
          <t>Excel khách hàng</t>
        </is>
      </c>
      <c r="AW31" s="23" t="inlineStr">
        <is>
          <t>S1-C03</t>
        </is>
      </c>
      <c r="AX31" s="23" t="inlineStr">
        <is>
          <t>5T</t>
        </is>
      </c>
      <c r="AY31" s="23" t="inlineStr">
        <is>
          <t>Send to Clustering</t>
        </is>
      </c>
      <c r="AZ31" s="23" t="inlineStr">
        <is>
          <t>OK</t>
        </is>
      </c>
      <c r="BA31" s="23" t="inlineStr">
        <is>
          <t>Empty-run &gt;100km cần tìm chuyến về</t>
        </is>
      </c>
      <c r="BB31" s="23">
        <f>AM31+AN31</f>
        <v/>
      </c>
      <c r="BC31" s="23">
        <f>ROUND(W31/'03_Cost_Constraints'!$B$4*60,0)</f>
        <v/>
      </c>
      <c r="BD31" s="23">
        <f>IF(X31&lt;=500,"5 tạ",IF(X31&lt;=1250,"1.25T",IF(X31&lt;=5000,"5T",IF(X31&lt;=8000,"8T",IF(X31&lt;=15000,"3 chân","4 chân")))))</f>
        <v/>
      </c>
      <c r="BE31" s="23">
        <f>IF((BB31+BC31)&lt;=AO31,"OK","Risk")</f>
        <v/>
      </c>
      <c r="BF31" s="23">
        <f>IF(AND(AZ31="OK",BE31="OK"),"Ready","Review")</f>
        <v/>
      </c>
      <c r="BG31" s="23" t="n"/>
    </row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Z2:BG31">
    <cfRule type="expression" priority="1" dxfId="4">
      <formula>$BH2="Review"</formula>
    </cfRule>
  </conditionalFormatting>
  <conditionalFormatting sqref="BA2:BA31">
    <cfRule type="expression" priority="2" dxfId="5">
      <formula>OR(ISNUMBER(SEARCH("Mismatch",BA2)),ISNUMBER(SEARCH("Conflict",BA2)),ISNUMBER(SEARCH("Shortage",BA2)))</formula>
    </cfRule>
  </conditionalFormatting>
  <dataValidations count="2">
    <dataValidation sqref="BA2:BA31" showDropDown="0" showInputMessage="0" showErrorMessage="0" allowBlank="1" type="list">
      <formula1>"OK,Cấm tải/đường nhỏ - đã chọn xe nhỏ,Vehicle Mismatch,Time Window Conflict,Empty-run &gt;100km cần tìm chuyến về,Capacity Shortage Candidate"</formula1>
    </dataValidation>
    <dataValidation sqref="AZ2:AZ31" showDropDown="0" showInputMessage="0" showErrorMessage="0" allowBlank="1" type="list">
      <formula1>"OK,Review"</formula1>
    </dataValidation>
  </dataValidations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G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2"/>
    <col width="15" customWidth="1" style="17" min="2" max="2"/>
    <col width="18" customWidth="1" style="17" min="3" max="3"/>
    <col width="16" customWidth="1" style="17" min="4" max="4"/>
    <col width="36" customWidth="1" style="17" min="5" max="5"/>
    <col width="16" customWidth="1" style="17" min="6" max="9"/>
    <col width="13" customWidth="1" style="17" min="7" max="7"/>
    <col width="30" customWidth="1" style="17" min="8" max="8"/>
    <col width="16" customWidth="1" style="17" min="9" max="9"/>
    <col width="36" customWidth="1" style="17" min="10" max="10"/>
    <col width="17" customWidth="1" style="17" min="11" max="12"/>
    <col width="17" customWidth="1" style="17" min="12" max="12"/>
    <col width="15" customWidth="1" style="17" min="13" max="14"/>
    <col width="15" customWidth="1" style="17" min="14" max="14"/>
    <col width="20" customWidth="1" style="17" min="15" max="15"/>
    <col width="36" customWidth="1" style="17" min="16" max="16"/>
    <col width="19" customWidth="1" style="17" min="17" max="18"/>
    <col width="19" customWidth="1" style="17" min="18" max="18"/>
    <col width="14" customWidth="1" style="17" min="19" max="20"/>
    <col width="14" customWidth="1" style="17" min="20" max="20"/>
    <col width="18" customWidth="1" style="17" min="21" max="32"/>
    <col width="18" customWidth="1" style="17" min="22" max="22"/>
    <col width="20" customWidth="1" style="17" min="23" max="23"/>
    <col width="13" customWidth="1" style="17" min="24" max="24"/>
    <col width="13" customWidth="1" style="17" min="25" max="25"/>
    <col width="13" customWidth="1" style="17" min="26" max="26"/>
    <col width="18" customWidth="1" style="17" min="27" max="27"/>
    <col width="26" customWidth="1" style="17" min="28" max="28"/>
    <col width="24" customWidth="1" style="17" min="29" max="29"/>
    <col width="17" customWidth="1" style="17" min="30" max="30"/>
    <col width="19" customWidth="1" style="17" min="31" max="31"/>
    <col width="24" customWidth="1" style="17" min="32" max="32"/>
    <col width="40" customWidth="1" style="17" min="33" max="33"/>
    <col width="17" customWidth="1" style="17" min="34" max="46"/>
    <col width="15" customWidth="1" style="17" min="35" max="35"/>
    <col width="15" customWidth="1" style="17" min="36" max="36"/>
    <col width="13" customWidth="1" style="17" min="37" max="37"/>
    <col width="13" customWidth="1" style="17" min="38" max="38"/>
    <col width="20" customWidth="1" style="17" min="39" max="39"/>
    <col width="18" customWidth="1" style="17" min="40" max="40"/>
    <col width="15" customWidth="1" style="17" min="41" max="41"/>
    <col width="21" customWidth="1" style="17" min="42" max="42"/>
    <col width="20" customWidth="1" style="17" min="43" max="43"/>
    <col width="28" customWidth="1" style="17" min="44" max="44"/>
    <col width="26" customWidth="1" style="17" min="45" max="45"/>
    <col width="25" customWidth="1" style="17" min="46" max="46"/>
    <col width="19" customWidth="1" style="17" min="47" max="47"/>
    <col width="23" customWidth="1" style="17" min="48" max="50"/>
    <col width="17" customWidth="1" style="17" min="49" max="49"/>
    <col width="24" customWidth="1" style="17" min="50" max="50"/>
    <col width="44" customWidth="1" style="17" min="51" max="51"/>
    <col width="19" customWidth="1" style="17" min="52" max="58"/>
    <col width="36" customWidth="1" style="17" min="53" max="53"/>
    <col width="19" customWidth="1" style="17" min="54" max="54"/>
    <col width="18" customWidth="1" style="17" min="55" max="55"/>
    <col width="15" customWidth="1" style="17" min="56" max="56"/>
    <col width="16" customWidth="1" style="17" min="57" max="57"/>
    <col width="22" customWidth="1" style="17" min="58" max="58"/>
    <col width="44" customWidth="1" style="17" min="59" max="59"/>
  </cols>
  <sheetData>
    <row r="1" ht="26" customHeight="1" s="17">
      <c r="A1" s="20" t="inlineStr">
        <is>
          <t>Scenario_ID</t>
        </is>
      </c>
      <c r="B1" s="20" t="inlineStr">
        <is>
          <t>Planning_Date</t>
        </is>
      </c>
      <c r="C1" s="20" t="inlineStr">
        <is>
          <t>Order_ID</t>
        </is>
      </c>
      <c r="D1" s="20" t="inlineStr">
        <is>
          <t>Customer_Group</t>
        </is>
      </c>
      <c r="E1" s="20" t="inlineStr">
        <is>
          <t>Customer_Name</t>
        </is>
      </c>
      <c r="F1" s="20" t="inlineStr">
        <is>
          <t>Channel</t>
        </is>
      </c>
      <c r="G1" s="20" t="inlineStr">
        <is>
          <t>SKU_Code</t>
        </is>
      </c>
      <c r="H1" s="20" t="inlineStr">
        <is>
          <t>Product_Group</t>
        </is>
      </c>
      <c r="I1" s="20" t="inlineStr">
        <is>
          <t>Pickup_ID</t>
        </is>
      </c>
      <c r="J1" s="20" t="inlineStr">
        <is>
          <t>Pickup_Name</t>
        </is>
      </c>
      <c r="K1" s="20" t="inlineStr">
        <is>
          <t>Pickup_Province</t>
        </is>
      </c>
      <c r="L1" s="20" t="inlineStr">
        <is>
          <t>Pickup_District</t>
        </is>
      </c>
      <c r="M1" s="20" t="inlineStr">
        <is>
          <t>Pickup_Lat</t>
        </is>
      </c>
      <c r="N1" s="20" t="inlineStr">
        <is>
          <t>Pickup_Lon</t>
        </is>
      </c>
      <c r="O1" s="20" t="inlineStr">
        <is>
          <t>Delivery_ID</t>
        </is>
      </c>
      <c r="P1" s="20" t="inlineStr">
        <is>
          <t>Delivery_Name</t>
        </is>
      </c>
      <c r="Q1" s="20" t="inlineStr">
        <is>
          <t>Delivery_Province</t>
        </is>
      </c>
      <c r="R1" s="20" t="inlineStr">
        <is>
          <t>Delivery_District</t>
        </is>
      </c>
      <c r="S1" s="20" t="inlineStr">
        <is>
          <t>Delivery_Lat</t>
        </is>
      </c>
      <c r="T1" s="20" t="inlineStr">
        <is>
          <t>Delivery_Lon</t>
        </is>
      </c>
      <c r="U1" s="20" t="inlineStr">
        <is>
          <t>Corridor</t>
        </is>
      </c>
      <c r="V1" s="20" t="inlineStr">
        <is>
          <t>Route_Axis</t>
        </is>
      </c>
      <c r="W1" s="20" t="inlineStr">
        <is>
          <t>Direct_Distance_km</t>
        </is>
      </c>
      <c r="X1" s="20" t="inlineStr">
        <is>
          <t>Weight_kg</t>
        </is>
      </c>
      <c r="Y1" s="20" t="inlineStr">
        <is>
          <t>Volume_m3</t>
        </is>
      </c>
      <c r="Z1" s="20" t="inlineStr">
        <is>
          <t>Pallet_Qty</t>
        </is>
      </c>
      <c r="AA1" s="20" t="inlineStr">
        <is>
          <t>Min_Vehicle_Type</t>
        </is>
      </c>
      <c r="AB1" s="20" t="inlineStr">
        <is>
          <t>Max_Vehicle_Type_Allowed</t>
        </is>
      </c>
      <c r="AC1" s="20" t="inlineStr">
        <is>
          <t>Required_Refrigeration</t>
        </is>
      </c>
      <c r="AD1" s="20" t="inlineStr">
        <is>
          <t>Can_Consolidate</t>
        </is>
      </c>
      <c r="AE1" s="20" t="inlineStr">
        <is>
          <t>Dedicated_Vehicle</t>
        </is>
      </c>
      <c r="AF1" s="20" t="inlineStr">
        <is>
          <t>Inner_City_Restriction</t>
        </is>
      </c>
      <c r="AG1" s="20" t="inlineStr">
        <is>
          <t>Access_Note</t>
        </is>
      </c>
      <c r="AH1" s="20" t="inlineStr">
        <is>
          <t>Pickup_TW_Start</t>
        </is>
      </c>
      <c r="AI1" s="20" t="inlineStr">
        <is>
          <t>Pickup_TW_End</t>
        </is>
      </c>
      <c r="AJ1" s="20" t="inlineStr">
        <is>
          <t>Drop_TW_Start</t>
        </is>
      </c>
      <c r="AK1" s="20" t="inlineStr">
        <is>
          <t>Drop_TW_End</t>
        </is>
      </c>
      <c r="AL1" s="20" t="inlineStr">
        <is>
          <t>TW_Flex_Min</t>
        </is>
      </c>
      <c r="AM1" s="20" t="inlineStr">
        <is>
          <t>Pickup_Service_Min</t>
        </is>
      </c>
      <c r="AN1" s="20" t="inlineStr">
        <is>
          <t>Drop_Service_Min</t>
        </is>
      </c>
      <c r="AO1" s="20" t="inlineStr">
        <is>
          <t>Lead_Time_Min</t>
        </is>
      </c>
      <c r="AP1" s="20" t="inlineStr">
        <is>
          <t>Freight_Revenue_VND</t>
        </is>
      </c>
      <c r="AQ1" s="20" t="inlineStr">
        <is>
          <t>Extra_Stop_Fee_VND</t>
        </is>
      </c>
      <c r="AR1" s="20" t="inlineStr">
        <is>
          <t>Waiting_Fee_Chargeable_VND</t>
        </is>
      </c>
      <c r="AS1" s="20" t="inlineStr">
        <is>
          <t>Late_Penalty_VND_per_30m</t>
        </is>
      </c>
      <c r="AT1" s="20" t="inlineStr">
        <is>
          <t>Customer_Priority</t>
        </is>
      </c>
      <c r="AU1" s="20" t="inlineStr">
        <is>
          <t>Contract_Route_ID</t>
        </is>
      </c>
      <c r="AV1" s="20" t="inlineStr">
        <is>
          <t>Source_System</t>
        </is>
      </c>
      <c r="AW1" s="20" t="inlineStr">
        <is>
          <t>Seed_Cluster_ID</t>
        </is>
      </c>
      <c r="AX1" s="20" t="inlineStr">
        <is>
          <t>Suggested_Vehicle_Type</t>
        </is>
      </c>
      <c r="AY1" s="20" t="inlineStr">
        <is>
          <t>Suggested_Action</t>
        </is>
      </c>
      <c r="AZ1" s="20" t="inlineStr">
        <is>
          <t>Validation_Status</t>
        </is>
      </c>
      <c r="BA1" s="20" t="inlineStr">
        <is>
          <t>Risk_Flag</t>
        </is>
      </c>
      <c r="BB1" s="20" t="inlineStr">
        <is>
          <t>Total_Service_Min</t>
        </is>
      </c>
      <c r="BC1" s="20" t="inlineStr">
        <is>
          <t>Direct_Drive_Min</t>
        </is>
      </c>
      <c r="BD1" s="20" t="inlineStr">
        <is>
          <t>Load_Class_kg</t>
        </is>
      </c>
      <c r="BE1" s="20" t="inlineStr">
        <is>
          <t>LeadTime_Check</t>
        </is>
      </c>
      <c r="BF1" s="20" t="inlineStr">
        <is>
          <t>Algorithm_Ready_Flag</t>
        </is>
      </c>
      <c r="BG1" s="20" t="inlineStr">
        <is>
          <t>Notes</t>
        </is>
      </c>
    </row>
    <row r="2" ht="18" customHeight="1" s="17">
      <c r="A2" s="21" t="inlineStr">
        <is>
          <t>S2</t>
        </is>
      </c>
      <c r="B2" s="21" t="inlineStr">
        <is>
          <t>2026-06-05</t>
        </is>
      </c>
      <c r="C2" s="21" t="inlineStr">
        <is>
          <t>S2-ORD-001</t>
        </is>
      </c>
      <c r="D2" s="21" t="inlineStr">
        <is>
          <t>Sabeco</t>
        </is>
      </c>
      <c r="E2" s="21" t="inlineStr">
        <is>
          <t>AKJUKY</t>
        </is>
      </c>
      <c r="F2" s="21" t="inlineStr">
        <is>
          <t>Đại lý</t>
        </is>
      </c>
      <c r="G2" s="21" t="inlineStr">
        <is>
          <t>EXPL</t>
        </is>
      </c>
      <c r="H2" s="21" t="inlineStr">
        <is>
          <t>Bia lon Saigon Export</t>
        </is>
      </c>
      <c r="I2" s="21" t="inlineStr">
        <is>
          <t>PK_LINFOX_VSIP</t>
        </is>
      </c>
      <c r="J2" s="21" t="inlineStr">
        <is>
          <t>Kho Linfox KCN VSIP Bắc Ninh</t>
        </is>
      </c>
      <c r="K2" s="21" t="inlineStr">
        <is>
          <t>Bắc Ninh</t>
        </is>
      </c>
      <c r="L2" s="21" t="inlineStr">
        <is>
          <t>Từ Sơn</t>
        </is>
      </c>
      <c r="M2" s="22" t="n">
        <v>21.082707</v>
      </c>
      <c r="N2" s="22" t="n">
        <v>105.997949</v>
      </c>
      <c r="O2" s="21" t="inlineStr">
        <is>
          <t>DL_HN_AKJUKY</t>
        </is>
      </c>
      <c r="P2" s="21" t="inlineStr">
        <is>
          <t>AKJUKY</t>
        </is>
      </c>
      <c r="Q2" s="21" t="inlineStr">
        <is>
          <t>Hà Nội</t>
        </is>
      </c>
      <c r="R2" s="21" t="inlineStr">
        <is>
          <t>Long Biên</t>
        </is>
      </c>
      <c r="S2" s="22" t="n">
        <v>21.063695</v>
      </c>
      <c r="T2" s="22" t="n">
        <v>105.889986</v>
      </c>
      <c r="U2" s="21" t="inlineStr">
        <is>
          <t>Nội thành Hà Nội</t>
        </is>
      </c>
      <c r="V2" s="21" t="inlineStr">
        <is>
          <t>Nội thành Hà Nội</t>
        </is>
      </c>
      <c r="W2" s="29" t="n">
        <v>19.8</v>
      </c>
      <c r="X2" s="28" t="n">
        <v>371</v>
      </c>
      <c r="Y2" s="29" t="n">
        <v>0.67</v>
      </c>
      <c r="Z2" s="28" t="n">
        <v>1</v>
      </c>
      <c r="AA2" s="21" t="inlineStr">
        <is>
          <t>5 tạ</t>
        </is>
      </c>
      <c r="AB2" s="21" t="inlineStr">
        <is>
          <t>1.25T</t>
        </is>
      </c>
      <c r="AC2" s="21" t="inlineStr">
        <is>
          <t>No</t>
        </is>
      </c>
      <c r="AD2" s="21" t="inlineStr">
        <is>
          <t>No</t>
        </is>
      </c>
      <c r="AE2" s="21" t="inlineStr">
        <is>
          <t>Yes</t>
        </is>
      </c>
      <c r="AF2" s="21" t="inlineStr">
        <is>
          <t>Yes</t>
        </is>
      </c>
      <c r="AG2" s="21" t="inlineStr">
        <is>
          <t>Đường nhỏ nội đô</t>
        </is>
      </c>
      <c r="AH2" s="21" t="inlineStr">
        <is>
          <t>08:00</t>
        </is>
      </c>
      <c r="AI2" s="21" t="inlineStr">
        <is>
          <t>09:30</t>
        </is>
      </c>
      <c r="AJ2" s="21" t="inlineStr">
        <is>
          <t>09:48</t>
        </is>
      </c>
      <c r="AK2" s="21" t="inlineStr">
        <is>
          <t>12:48</t>
        </is>
      </c>
      <c r="AL2" s="22" t="n">
        <v>30</v>
      </c>
      <c r="AM2" s="22" t="n">
        <v>25</v>
      </c>
      <c r="AN2" s="22" t="n">
        <v>20</v>
      </c>
      <c r="AO2" s="22" t="n">
        <v>288</v>
      </c>
      <c r="AP2" s="31" t="n">
        <v>480000</v>
      </c>
      <c r="AQ2" s="31" t="n">
        <v>0</v>
      </c>
      <c r="AR2" s="31" t="n">
        <v>0</v>
      </c>
      <c r="AS2" s="28" t="n">
        <v>150000</v>
      </c>
      <c r="AT2" s="21" t="inlineStr">
        <is>
          <t>A - SLA chặt</t>
        </is>
      </c>
      <c r="AU2" s="21" t="inlineStr">
        <is>
          <t>CR-NỘIT-02</t>
        </is>
      </c>
      <c r="AV2" s="21" t="inlineStr">
        <is>
          <t>Manual nhập điều phối</t>
        </is>
      </c>
      <c r="AW2" s="21" t="inlineStr">
        <is>
          <t>S2-C01</t>
        </is>
      </c>
      <c r="AX2" s="21" t="inlineStr">
        <is>
          <t>5 tạ</t>
        </is>
      </c>
      <c r="AY2" s="21" t="inlineStr">
        <is>
          <t>Send to Clustering</t>
        </is>
      </c>
      <c r="AZ2" s="21" t="inlineStr">
        <is>
          <t>OK</t>
        </is>
      </c>
      <c r="BA2" s="21" t="inlineStr">
        <is>
          <t>Cấm tải/đường nhỏ - đã chọn xe nhỏ</t>
        </is>
      </c>
      <c r="BB2" s="21">
        <f>AM2+AN2</f>
        <v/>
      </c>
      <c r="BC2" s="21">
        <f>ROUND(W2/'03_Cost_Constraints'!$B$4*60,0)</f>
        <v/>
      </c>
      <c r="BD2" s="21">
        <f>IF(X2&lt;=500,"5 tạ",IF(X2&lt;=1250,"1.25T",IF(X2&lt;=5000,"5T",IF(X2&lt;=8000,"8T",IF(X2&lt;=15000,"3 chân","4 chân")))))</f>
        <v/>
      </c>
      <c r="BE2" s="21">
        <f>IF((BB2+BC2)&lt;=AO2,"OK","Risk")</f>
        <v/>
      </c>
      <c r="BF2" s="21">
        <f>IF(AND(AZ2="OK",BE2="OK"),"Ready","Review")</f>
        <v/>
      </c>
      <c r="BG2" s="21" t="n"/>
    </row>
    <row r="3" ht="18" customHeight="1" s="17">
      <c r="A3" s="23" t="inlineStr">
        <is>
          <t>S2</t>
        </is>
      </c>
      <c r="B3" s="23" t="inlineStr">
        <is>
          <t>2026-06-05</t>
        </is>
      </c>
      <c r="C3" s="23" t="inlineStr">
        <is>
          <t>S2-ORD-002</t>
        </is>
      </c>
      <c r="D3" s="23" t="inlineStr">
        <is>
          <t>Linfox</t>
        </is>
      </c>
      <c r="E3" s="23" t="inlineStr">
        <is>
          <t>VINMART Royal City</t>
        </is>
      </c>
      <c r="F3" s="23" t="inlineStr">
        <is>
          <t>MT</t>
        </is>
      </c>
      <c r="G3" s="23" t="inlineStr">
        <is>
          <t>PAT2</t>
        </is>
      </c>
      <c r="H3" s="23" t="inlineStr">
        <is>
          <t>Bia lon 333</t>
        </is>
      </c>
      <c r="I3" s="23" t="inlineStr">
        <is>
          <t>PK_HPL_LB</t>
        </is>
      </c>
      <c r="J3" s="23" t="inlineStr">
        <is>
          <t>HPL Depot Long Biên - 20 Thạch Bàn</t>
        </is>
      </c>
      <c r="K3" s="23" t="inlineStr">
        <is>
          <t>Hà Nội</t>
        </is>
      </c>
      <c r="L3" s="23" t="inlineStr">
        <is>
          <t>Long Biên</t>
        </is>
      </c>
      <c r="M3" s="24" t="n">
        <v>21.0261548385</v>
      </c>
      <c r="N3" s="24" t="n">
        <v>105.914182238</v>
      </c>
      <c r="O3" s="23" t="inlineStr">
        <is>
          <t>DL_HN_ROYAL</t>
        </is>
      </c>
      <c r="P3" s="23" t="inlineStr">
        <is>
          <t>VINMART Royal City</t>
        </is>
      </c>
      <c r="Q3" s="23" t="inlineStr">
        <is>
          <t>Hà Nội</t>
        </is>
      </c>
      <c r="R3" s="23" t="inlineStr">
        <is>
          <t>Thanh Xuân</t>
        </is>
      </c>
      <c r="S3" s="24" t="n">
        <v>21.003388</v>
      </c>
      <c r="T3" s="24" t="n">
        <v>105.816212</v>
      </c>
      <c r="U3" s="23" t="inlineStr">
        <is>
          <t>Nội thành Hà Nội</t>
        </is>
      </c>
      <c r="V3" s="23" t="inlineStr">
        <is>
          <t>Nội thành Hà Nội</t>
        </is>
      </c>
      <c r="W3" s="33" t="n">
        <v>19.1</v>
      </c>
      <c r="X3" s="32" t="n">
        <v>386</v>
      </c>
      <c r="Y3" s="33" t="n">
        <v>1.11</v>
      </c>
      <c r="Z3" s="32" t="n">
        <v>1</v>
      </c>
      <c r="AA3" s="23" t="inlineStr">
        <is>
          <t>5 tạ</t>
        </is>
      </c>
      <c r="AB3" s="23" t="inlineStr">
        <is>
          <t>1.25T</t>
        </is>
      </c>
      <c r="AC3" s="23" t="inlineStr">
        <is>
          <t>No</t>
        </is>
      </c>
      <c r="AD3" s="23" t="inlineStr">
        <is>
          <t>Yes</t>
        </is>
      </c>
      <c r="AE3" s="23" t="inlineStr">
        <is>
          <t>No</t>
        </is>
      </c>
      <c r="AF3" s="23" t="inlineStr">
        <is>
          <t>Yes</t>
        </is>
      </c>
      <c r="AG3" s="23" t="inlineStr">
        <is>
          <t>Hầm trung tâm thương mại</t>
        </is>
      </c>
      <c r="AH3" s="23" t="inlineStr">
        <is>
          <t>08:00</t>
        </is>
      </c>
      <c r="AI3" s="23" t="inlineStr">
        <is>
          <t>10:30</t>
        </is>
      </c>
      <c r="AJ3" s="23" t="inlineStr">
        <is>
          <t>09:47</t>
        </is>
      </c>
      <c r="AK3" s="23" t="inlineStr">
        <is>
          <t>12:17</t>
        </is>
      </c>
      <c r="AL3" s="24" t="n">
        <v>45</v>
      </c>
      <c r="AM3" s="24" t="n">
        <v>25</v>
      </c>
      <c r="AN3" s="24" t="n">
        <v>30</v>
      </c>
      <c r="AO3" s="24" t="n">
        <v>257</v>
      </c>
      <c r="AP3" s="35" t="n">
        <v>830000</v>
      </c>
      <c r="AQ3" s="35" t="n">
        <v>0</v>
      </c>
      <c r="AR3" s="35" t="n">
        <v>120000</v>
      </c>
      <c r="AS3" s="32" t="n">
        <v>150000</v>
      </c>
      <c r="AT3" s="23" t="inlineStr">
        <is>
          <t>A - SLA chặt</t>
        </is>
      </c>
      <c r="AU3" s="23" t="inlineStr">
        <is>
          <t>CR-NỘIT-03</t>
        </is>
      </c>
      <c r="AV3" s="23" t="inlineStr">
        <is>
          <t>Excel khách hàng</t>
        </is>
      </c>
      <c r="AW3" s="23" t="inlineStr">
        <is>
          <t>S2-C02</t>
        </is>
      </c>
      <c r="AX3" s="23" t="inlineStr">
        <is>
          <t>5 tạ</t>
        </is>
      </c>
      <c r="AY3" s="23" t="inlineStr">
        <is>
          <t>Send to Clustering</t>
        </is>
      </c>
      <c r="AZ3" s="23" t="inlineStr">
        <is>
          <t>OK</t>
        </is>
      </c>
      <c r="BA3" s="23" t="inlineStr">
        <is>
          <t>Cấm tải/đường nhỏ - đã chọn xe nhỏ</t>
        </is>
      </c>
      <c r="BB3" s="23">
        <f>AM3+AN3</f>
        <v/>
      </c>
      <c r="BC3" s="23">
        <f>ROUND(W3/'03_Cost_Constraints'!$B$4*60,0)</f>
        <v/>
      </c>
      <c r="BD3" s="23">
        <f>IF(X3&lt;=500,"5 tạ",IF(X3&lt;=1250,"1.25T",IF(X3&lt;=5000,"5T",IF(X3&lt;=8000,"8T",IF(X3&lt;=15000,"3 chân","4 chân")))))</f>
        <v/>
      </c>
      <c r="BE3" s="23">
        <f>IF((BB3+BC3)&lt;=AO3,"OK","Risk")</f>
        <v/>
      </c>
      <c r="BF3" s="23">
        <f>IF(AND(AZ3="OK",BE3="OK"),"Ready","Review")</f>
        <v/>
      </c>
      <c r="BG3" s="23" t="n"/>
    </row>
    <row r="4" ht="18" customHeight="1" s="17">
      <c r="A4" s="21" t="inlineStr">
        <is>
          <t>S2</t>
        </is>
      </c>
      <c r="B4" s="21" t="inlineStr">
        <is>
          <t>2026-06-05</t>
        </is>
      </c>
      <c r="C4" s="21" t="inlineStr">
        <is>
          <t>S2-ORD-003</t>
        </is>
      </c>
      <c r="D4" s="21" t="inlineStr">
        <is>
          <t>Bách Hóa Xanh</t>
        </is>
      </c>
      <c r="E4" s="21" t="inlineStr">
        <is>
          <t>Siêu thị Hải Dương</t>
        </is>
      </c>
      <c r="F4" s="21" t="inlineStr">
        <is>
          <t>ST</t>
        </is>
      </c>
      <c r="G4" s="21" t="inlineStr">
        <is>
          <t>CHCA</t>
        </is>
      </c>
      <c r="H4" s="21" t="inlineStr">
        <is>
          <t>Bia lon Saigon Chill</t>
        </is>
      </c>
      <c r="I4" s="21" t="inlineStr">
        <is>
          <t>PK_HPL_LB</t>
        </is>
      </c>
      <c r="J4" s="21" t="inlineStr">
        <is>
          <t>HPL Depot Long Biên - 20 Thạch Bàn</t>
        </is>
      </c>
      <c r="K4" s="21" t="inlineStr">
        <is>
          <t>Hà Nội</t>
        </is>
      </c>
      <c r="L4" s="21" t="inlineStr">
        <is>
          <t>Long Biên</t>
        </is>
      </c>
      <c r="M4" s="22" t="n">
        <v>21.0261548385</v>
      </c>
      <c r="N4" s="22" t="n">
        <v>105.914182238</v>
      </c>
      <c r="O4" s="21" t="inlineStr">
        <is>
          <t>DL_HD_SIEUTHI</t>
        </is>
      </c>
      <c r="P4" s="21" t="inlineStr">
        <is>
          <t>Siêu thị Hải Dương</t>
        </is>
      </c>
      <c r="Q4" s="21" t="inlineStr">
        <is>
          <t>Hải Phòng</t>
        </is>
      </c>
      <c r="R4" s="21" t="inlineStr">
        <is>
          <t>Hải Dương</t>
        </is>
      </c>
      <c r="S4" s="22" t="n">
        <v>20.937341</v>
      </c>
      <c r="T4" s="22" t="n">
        <v>106.314555</v>
      </c>
      <c r="U4" s="21" t="inlineStr">
        <is>
          <t>Đông Bắc</t>
        </is>
      </c>
      <c r="V4" s="21" t="inlineStr">
        <is>
          <t>Đông Bắc</t>
        </is>
      </c>
      <c r="W4" s="29" t="n">
        <v>60.9</v>
      </c>
      <c r="X4" s="28" t="n">
        <v>1914</v>
      </c>
      <c r="Y4" s="29" t="n">
        <v>5.15</v>
      </c>
      <c r="Z4" s="28" t="n">
        <v>4</v>
      </c>
      <c r="AA4" s="21" t="inlineStr">
        <is>
          <t>5T</t>
        </is>
      </c>
      <c r="AB4" s="21" t="inlineStr">
        <is>
          <t>8T</t>
        </is>
      </c>
      <c r="AC4" s="21" t="inlineStr">
        <is>
          <t>No</t>
        </is>
      </c>
      <c r="AD4" s="21" t="inlineStr">
        <is>
          <t>Yes</t>
        </is>
      </c>
      <c r="AE4" s="21" t="inlineStr">
        <is>
          <t>No</t>
        </is>
      </c>
      <c r="AF4" s="21" t="inlineStr">
        <is>
          <t>No</t>
        </is>
      </c>
      <c r="AG4" s="21" t="inlineStr">
        <is>
          <t>Quốc lộ 5, xe 8T vào được</t>
        </is>
      </c>
      <c r="AH4" s="21" t="inlineStr">
        <is>
          <t>08:00</t>
        </is>
      </c>
      <c r="AI4" s="21" t="inlineStr">
        <is>
          <t>10:30</t>
        </is>
      </c>
      <c r="AJ4" s="21" t="inlineStr">
        <is>
          <t>10:51</t>
        </is>
      </c>
      <c r="AK4" s="21" t="inlineStr">
        <is>
          <t>13:51</t>
        </is>
      </c>
      <c r="AL4" s="22" t="n">
        <v>45</v>
      </c>
      <c r="AM4" s="22" t="n">
        <v>40</v>
      </c>
      <c r="AN4" s="22" t="n">
        <v>35</v>
      </c>
      <c r="AO4" s="22" t="n">
        <v>351</v>
      </c>
      <c r="AP4" s="31" t="n">
        <v>1050000</v>
      </c>
      <c r="AQ4" s="31" t="n">
        <v>150000</v>
      </c>
      <c r="AR4" s="31" t="n">
        <v>0</v>
      </c>
      <c r="AS4" s="28" t="n">
        <v>150000</v>
      </c>
      <c r="AT4" s="21" t="inlineStr">
        <is>
          <t>A - SLA chặt</t>
        </is>
      </c>
      <c r="AU4" s="21" t="inlineStr">
        <is>
          <t>CR-ĐÔNG-04</t>
        </is>
      </c>
      <c r="AV4" s="21" t="inlineStr">
        <is>
          <t>Hệ thống khách hàng</t>
        </is>
      </c>
      <c r="AW4" s="21" t="inlineStr">
        <is>
          <t>S2-C03</t>
        </is>
      </c>
      <c r="AX4" s="21" t="inlineStr">
        <is>
          <t>5T</t>
        </is>
      </c>
      <c r="AY4" s="21" t="inlineStr">
        <is>
          <t>Send to Clustering</t>
        </is>
      </c>
      <c r="AZ4" s="21" t="inlineStr">
        <is>
          <t>OK</t>
        </is>
      </c>
      <c r="BA4" s="21" t="inlineStr">
        <is>
          <t>OK</t>
        </is>
      </c>
      <c r="BB4" s="21">
        <f>AM4+AN4</f>
        <v/>
      </c>
      <c r="BC4" s="21">
        <f>ROUND(W4/'03_Cost_Constraints'!$B$4*60,0)</f>
        <v/>
      </c>
      <c r="BD4" s="21">
        <f>IF(X4&lt;=500,"5 tạ",IF(X4&lt;=1250,"1.25T",IF(X4&lt;=5000,"5T",IF(X4&lt;=8000,"8T",IF(X4&lt;=15000,"3 chân","4 chân")))))</f>
        <v/>
      </c>
      <c r="BE4" s="21">
        <f>IF((BB4+BC4)&lt;=AO4,"OK","Risk")</f>
        <v/>
      </c>
      <c r="BF4" s="21">
        <f>IF(AND(AZ4="OK",BE4="OK"),"Ready","Review")</f>
        <v/>
      </c>
      <c r="BG4" s="21" t="n"/>
    </row>
    <row r="5" ht="18" customHeight="1" s="17">
      <c r="A5" s="23" t="inlineStr">
        <is>
          <t>S2</t>
        </is>
      </c>
      <c r="B5" s="23" t="inlineStr">
        <is>
          <t>2026-06-05</t>
        </is>
      </c>
      <c r="C5" s="23" t="inlineStr">
        <is>
          <t>S2-ORD-004</t>
        </is>
      </c>
      <c r="D5" s="23" t="inlineStr">
        <is>
          <t>MM Mega Market</t>
        </is>
      </c>
      <c r="E5" s="23" t="inlineStr">
        <is>
          <t>Thái Dương</t>
        </is>
      </c>
      <c r="F5" s="23" t="inlineStr">
        <is>
          <t>Đại lý</t>
        </is>
      </c>
      <c r="G5" s="23" t="inlineStr">
        <is>
          <t>MILK</t>
        </is>
      </c>
      <c r="H5" s="23" t="inlineStr">
        <is>
          <t>Sữa hộp carton</t>
        </is>
      </c>
      <c r="I5" s="23" t="inlineStr">
        <is>
          <t>PK_LINFOX_VSIP</t>
        </is>
      </c>
      <c r="J5" s="23" t="inlineStr">
        <is>
          <t>Kho Linfox KCN VSIP Bắc Ninh</t>
        </is>
      </c>
      <c r="K5" s="23" t="inlineStr">
        <is>
          <t>Bắc Ninh</t>
        </is>
      </c>
      <c r="L5" s="23" t="inlineStr">
        <is>
          <t>Từ Sơn</t>
        </is>
      </c>
      <c r="M5" s="24" t="n">
        <v>21.082707</v>
      </c>
      <c r="N5" s="24" t="n">
        <v>105.997949</v>
      </c>
      <c r="O5" s="23" t="inlineStr">
        <is>
          <t>DL_HN_THAIDUONG</t>
        </is>
      </c>
      <c r="P5" s="23" t="inlineStr">
        <is>
          <t>Thái Dương</t>
        </is>
      </c>
      <c r="Q5" s="23" t="inlineStr">
        <is>
          <t>Hà Nội</t>
        </is>
      </c>
      <c r="R5" s="23" t="inlineStr">
        <is>
          <t>Hà Nội</t>
        </is>
      </c>
      <c r="S5" s="24" t="n">
        <v>20.929215</v>
      </c>
      <c r="T5" s="24" t="n">
        <v>105.869998</v>
      </c>
      <c r="U5" s="23" t="inlineStr">
        <is>
          <t>Nội thành Hà Nội</t>
        </is>
      </c>
      <c r="V5" s="23" t="inlineStr">
        <is>
          <t>Nội thành Hà Nội</t>
        </is>
      </c>
      <c r="W5" s="33" t="n">
        <v>33.6</v>
      </c>
      <c r="X5" s="32" t="n">
        <v>1286</v>
      </c>
      <c r="Y5" s="33" t="n">
        <v>2.73</v>
      </c>
      <c r="Z5" s="32" t="n">
        <v>2</v>
      </c>
      <c r="AA5" s="23" t="inlineStr">
        <is>
          <t>5T</t>
        </is>
      </c>
      <c r="AB5" s="23" t="inlineStr">
        <is>
          <t>1.25T</t>
        </is>
      </c>
      <c r="AC5" s="23" t="inlineStr">
        <is>
          <t>No</t>
        </is>
      </c>
      <c r="AD5" s="23" t="inlineStr">
        <is>
          <t>Yes</t>
        </is>
      </c>
      <c r="AE5" s="23" t="inlineStr">
        <is>
          <t>No</t>
        </is>
      </c>
      <c r="AF5" s="23" t="inlineStr">
        <is>
          <t>Yes</t>
        </is>
      </c>
      <c r="AG5" s="23" t="inlineStr">
        <is>
          <t>Đường nhỏ, ưu tiên xe &lt;=1.25T</t>
        </is>
      </c>
      <c r="AH5" s="23" t="inlineStr">
        <is>
          <t>08:00</t>
        </is>
      </c>
      <c r="AI5" s="23" t="inlineStr">
        <is>
          <t>09:30</t>
        </is>
      </c>
      <c r="AJ5" s="23" t="inlineStr">
        <is>
          <t>10:57</t>
        </is>
      </c>
      <c r="AK5" s="23" t="inlineStr">
        <is>
          <t>12:27</t>
        </is>
      </c>
      <c r="AL5" s="24" t="n">
        <v>30</v>
      </c>
      <c r="AM5" s="24" t="n">
        <v>40</v>
      </c>
      <c r="AN5" s="24" t="n">
        <v>35</v>
      </c>
      <c r="AO5" s="24" t="n">
        <v>267</v>
      </c>
      <c r="AP5" s="35" t="n">
        <v>800000</v>
      </c>
      <c r="AQ5" s="35" t="n">
        <v>0</v>
      </c>
      <c r="AR5" s="35" t="n">
        <v>0</v>
      </c>
      <c r="AS5" s="32" t="n">
        <v>150000</v>
      </c>
      <c r="AT5" s="23" t="inlineStr">
        <is>
          <t>A - SLA chặt</t>
        </is>
      </c>
      <c r="AU5" s="23" t="inlineStr">
        <is>
          <t>CR-NỘIT-05</t>
        </is>
      </c>
      <c r="AV5" s="23" t="inlineStr">
        <is>
          <t>Zalo/Email plan 17:00</t>
        </is>
      </c>
      <c r="AW5" s="23" t="inlineStr">
        <is>
          <t>S2-C04</t>
        </is>
      </c>
      <c r="AX5" s="23" t="inlineStr">
        <is>
          <t>Split/Chuyển tải</t>
        </is>
      </c>
      <c r="AY5" s="23" t="inlineStr">
        <is>
          <t>Split Order/Chuyển tải hoặc xin xe nhỏ nhiều chuyến</t>
        </is>
      </c>
      <c r="AZ5" s="23" t="inlineStr">
        <is>
          <t>Review</t>
        </is>
      </c>
      <c r="BA5" s="23" t="inlineStr">
        <is>
          <t>Vehicle Mismatch</t>
        </is>
      </c>
      <c r="BB5" s="23">
        <f>AM5+AN5</f>
        <v/>
      </c>
      <c r="BC5" s="23">
        <f>ROUND(W5/'03_Cost_Constraints'!$B$4*60,0)</f>
        <v/>
      </c>
      <c r="BD5" s="23">
        <f>IF(X5&lt;=500,"5 tạ",IF(X5&lt;=1250,"1.25T",IF(X5&lt;=5000,"5T",IF(X5&lt;=8000,"8T",IF(X5&lt;=15000,"3 chân","4 chân")))))</f>
        <v/>
      </c>
      <c r="BE5" s="23">
        <f>IF((BB5+BC5)&lt;=AO5,"OK","Risk")</f>
        <v/>
      </c>
      <c r="BF5" s="23">
        <f>IF(AND(AZ5="OK",BE5="OK"),"Ready","Review")</f>
        <v/>
      </c>
      <c r="BG5" s="23" t="inlineStr">
        <is>
          <t>Kế hoạch ngày hôm sau; cần chốt trước 19:00 và gửi tài xế sau duyệt</t>
        </is>
      </c>
    </row>
    <row r="6" ht="18" customHeight="1" s="17">
      <c r="A6" s="21" t="inlineStr">
        <is>
          <t>S2</t>
        </is>
      </c>
      <c r="B6" s="21" t="inlineStr">
        <is>
          <t>2026-06-05</t>
        </is>
      </c>
      <c r="C6" s="21" t="inlineStr">
        <is>
          <t>S2-ORD-005</t>
        </is>
      </c>
      <c r="D6" s="21" t="inlineStr">
        <is>
          <t>Masan</t>
        </is>
      </c>
      <c r="E6" s="21" t="inlineStr">
        <is>
          <t>VINMART Bắc Từ Liêm</t>
        </is>
      </c>
      <c r="F6" s="21" t="inlineStr">
        <is>
          <t>ST</t>
        </is>
      </c>
      <c r="G6" s="21" t="inlineStr">
        <is>
          <t>CHCA</t>
        </is>
      </c>
      <c r="H6" s="21" t="inlineStr">
        <is>
          <t>Bia lon Saigon Chill</t>
        </is>
      </c>
      <c r="I6" s="21" t="inlineStr">
        <is>
          <t>PK_LINFOX_VSIP</t>
        </is>
      </c>
      <c r="J6" s="21" t="inlineStr">
        <is>
          <t>Kho Linfox KCN VSIP Bắc Ninh</t>
        </is>
      </c>
      <c r="K6" s="21" t="inlineStr">
        <is>
          <t>Bắc Ninh</t>
        </is>
      </c>
      <c r="L6" s="21" t="inlineStr">
        <is>
          <t>Từ Sơn</t>
        </is>
      </c>
      <c r="M6" s="22" t="n">
        <v>21.082707</v>
      </c>
      <c r="N6" s="22" t="n">
        <v>105.997949</v>
      </c>
      <c r="O6" s="21" t="inlineStr">
        <is>
          <t>DL_HN_BACTULIEM</t>
        </is>
      </c>
      <c r="P6" s="21" t="inlineStr">
        <is>
          <t>VINMART Bắc Từ Liêm</t>
        </is>
      </c>
      <c r="Q6" s="21" t="inlineStr">
        <is>
          <t>Hà Nội</t>
        </is>
      </c>
      <c r="R6" s="21" t="inlineStr">
        <is>
          <t>Bắc Từ Liêm</t>
        </is>
      </c>
      <c r="S6" s="22" t="n">
        <v>21.052701</v>
      </c>
      <c r="T6" s="22" t="n">
        <v>105.780729</v>
      </c>
      <c r="U6" s="21" t="inlineStr">
        <is>
          <t>Nội thành Hà Nội</t>
        </is>
      </c>
      <c r="V6" s="21" t="inlineStr">
        <is>
          <t>Nội thành Hà Nội</t>
        </is>
      </c>
      <c r="W6" s="29" t="n">
        <v>37.4</v>
      </c>
      <c r="X6" s="28" t="n">
        <v>925</v>
      </c>
      <c r="Y6" s="29" t="n">
        <v>2.41</v>
      </c>
      <c r="Z6" s="28" t="n">
        <v>2</v>
      </c>
      <c r="AA6" s="21" t="inlineStr">
        <is>
          <t>1.25T</t>
        </is>
      </c>
      <c r="AB6" s="21" t="inlineStr">
        <is>
          <t>1.25T</t>
        </is>
      </c>
      <c r="AC6" s="21" t="inlineStr">
        <is>
          <t>No</t>
        </is>
      </c>
      <c r="AD6" s="21" t="inlineStr">
        <is>
          <t>Yes</t>
        </is>
      </c>
      <c r="AE6" s="21" t="inlineStr">
        <is>
          <t>No</t>
        </is>
      </c>
      <c r="AF6" s="21" t="inlineStr">
        <is>
          <t>Yes</t>
        </is>
      </c>
      <c r="AG6" s="21" t="inlineStr">
        <is>
          <t>Nội đô, khung giờ hạn chế xe tải</t>
        </is>
      </c>
      <c r="AH6" s="21" t="inlineStr">
        <is>
          <t>07:30</t>
        </is>
      </c>
      <c r="AI6" s="21" t="inlineStr">
        <is>
          <t>09:30</t>
        </is>
      </c>
      <c r="AJ6" s="21" t="inlineStr">
        <is>
          <t>09:19</t>
        </is>
      </c>
      <c r="AK6" s="21" t="inlineStr">
        <is>
          <t>12:19</t>
        </is>
      </c>
      <c r="AL6" s="22" t="n">
        <v>30</v>
      </c>
      <c r="AM6" s="22" t="n">
        <v>25</v>
      </c>
      <c r="AN6" s="22" t="n">
        <v>20</v>
      </c>
      <c r="AO6" s="22" t="n">
        <v>289</v>
      </c>
      <c r="AP6" s="31" t="n">
        <v>760000</v>
      </c>
      <c r="AQ6" s="31" t="n">
        <v>0</v>
      </c>
      <c r="AR6" s="31" t="n">
        <v>0</v>
      </c>
      <c r="AS6" s="28" t="n">
        <v>80000</v>
      </c>
      <c r="AT6" s="21" t="inlineStr">
        <is>
          <t>B - Thường</t>
        </is>
      </c>
      <c r="AU6" s="21" t="inlineStr">
        <is>
          <t>CR-NỘIT-01</t>
        </is>
      </c>
      <c r="AV6" s="21" t="inlineStr">
        <is>
          <t>Manual nhập điều phối</t>
        </is>
      </c>
      <c r="AW6" s="21" t="inlineStr">
        <is>
          <t>S2-C05</t>
        </is>
      </c>
      <c r="AX6" s="21" t="inlineStr">
        <is>
          <t>1.25T</t>
        </is>
      </c>
      <c r="AY6" s="21" t="inlineStr">
        <is>
          <t>Send to Clustering</t>
        </is>
      </c>
      <c r="AZ6" s="21" t="inlineStr">
        <is>
          <t>OK</t>
        </is>
      </c>
      <c r="BA6" s="21" t="inlineStr">
        <is>
          <t>Cấm tải/đường nhỏ - đã chọn xe nhỏ</t>
        </is>
      </c>
      <c r="BB6" s="21">
        <f>AM6+AN6</f>
        <v/>
      </c>
      <c r="BC6" s="21">
        <f>ROUND(W6/'03_Cost_Constraints'!$B$4*60,0)</f>
        <v/>
      </c>
      <c r="BD6" s="21">
        <f>IF(X6&lt;=500,"5 tạ",IF(X6&lt;=1250,"1.25T",IF(X6&lt;=5000,"5T",IF(X6&lt;=8000,"8T",IF(X6&lt;=15000,"3 chân","4 chân")))))</f>
        <v/>
      </c>
      <c r="BE6" s="21">
        <f>IF((BB6+BC6)&lt;=AO6,"OK","Risk")</f>
        <v/>
      </c>
      <c r="BF6" s="21">
        <f>IF(AND(AZ6="OK",BE6="OK"),"Ready","Review")</f>
        <v/>
      </c>
      <c r="BG6" s="21" t="n"/>
    </row>
    <row r="7" ht="18" customHeight="1" s="17">
      <c r="A7" s="23" t="inlineStr">
        <is>
          <t>S2</t>
        </is>
      </c>
      <c r="B7" s="23" t="inlineStr">
        <is>
          <t>2026-06-05</t>
        </is>
      </c>
      <c r="C7" s="23" t="inlineStr">
        <is>
          <t>S2-ORD-006</t>
        </is>
      </c>
      <c r="D7" s="23" t="inlineStr">
        <is>
          <t>Unilever</t>
        </is>
      </c>
      <c r="E7" s="23" t="inlineStr">
        <is>
          <t>VINMART Times City</t>
        </is>
      </c>
      <c r="F7" s="23" t="inlineStr">
        <is>
          <t>MT</t>
        </is>
      </c>
      <c r="G7" s="23" t="inlineStr">
        <is>
          <t>FMCG</t>
        </is>
      </c>
      <c r="H7" s="23" t="inlineStr">
        <is>
          <t>Hàng tiêu dùng nhanh hỗn hợp</t>
        </is>
      </c>
      <c r="I7" s="23" t="inlineStr">
        <is>
          <t>PK_HY_MYHAO</t>
        </is>
      </c>
      <c r="J7" s="23" t="inlineStr">
        <is>
          <t>Kho/Nhà máy khách hàng Mỹ Hào</t>
        </is>
      </c>
      <c r="K7" s="23" t="inlineStr">
        <is>
          <t>Hưng Yên</t>
        </is>
      </c>
      <c r="L7" s="23" t="inlineStr">
        <is>
          <t>Mỹ Hào</t>
        </is>
      </c>
      <c r="M7" s="24" t="n">
        <v>20.9329</v>
      </c>
      <c r="N7" s="24" t="n">
        <v>106.065</v>
      </c>
      <c r="O7" s="23" t="inlineStr">
        <is>
          <t>DL_HN_TIMESCITY</t>
        </is>
      </c>
      <c r="P7" s="23" t="inlineStr">
        <is>
          <t>VINMART Times City</t>
        </is>
      </c>
      <c r="Q7" s="23" t="inlineStr">
        <is>
          <t>Hà Nội</t>
        </is>
      </c>
      <c r="R7" s="23" t="inlineStr">
        <is>
          <t>Hai Bà Trưng</t>
        </is>
      </c>
      <c r="S7" s="24" t="n">
        <v>20.994022</v>
      </c>
      <c r="T7" s="24" t="n">
        <v>105.869639</v>
      </c>
      <c r="U7" s="23" t="inlineStr">
        <is>
          <t>Nội thành Hà Nội</t>
        </is>
      </c>
      <c r="V7" s="23" t="inlineStr">
        <is>
          <t>Nội thành Hà Nội</t>
        </is>
      </c>
      <c r="W7" s="33" t="n">
        <v>38.8</v>
      </c>
      <c r="X7" s="32" t="n">
        <v>221</v>
      </c>
      <c r="Y7" s="33" t="n">
        <v>1.08</v>
      </c>
      <c r="Z7" s="32" t="n">
        <v>1</v>
      </c>
      <c r="AA7" s="23" t="inlineStr">
        <is>
          <t>5 tạ</t>
        </is>
      </c>
      <c r="AB7" s="23" t="inlineStr">
        <is>
          <t>1.25T</t>
        </is>
      </c>
      <c r="AC7" s="23" t="inlineStr">
        <is>
          <t>No</t>
        </is>
      </c>
      <c r="AD7" s="23" t="inlineStr">
        <is>
          <t>Yes</t>
        </is>
      </c>
      <c r="AE7" s="23" t="inlineStr">
        <is>
          <t>No</t>
        </is>
      </c>
      <c r="AF7" s="23" t="inlineStr">
        <is>
          <t>Yes</t>
        </is>
      </c>
      <c r="AG7" s="23" t="inlineStr">
        <is>
          <t>Nội khu, xe lớn hạn chế</t>
        </is>
      </c>
      <c r="AH7" s="23" t="inlineStr">
        <is>
          <t>09:00</t>
        </is>
      </c>
      <c r="AI7" s="23" t="inlineStr">
        <is>
          <t>11:30</t>
        </is>
      </c>
      <c r="AJ7" s="23" t="inlineStr">
        <is>
          <t>11:51</t>
        </is>
      </c>
      <c r="AK7" s="23" t="inlineStr">
        <is>
          <t>13:51</t>
        </is>
      </c>
      <c r="AL7" s="24" t="n">
        <v>45</v>
      </c>
      <c r="AM7" s="24" t="n">
        <v>25</v>
      </c>
      <c r="AN7" s="24" t="n">
        <v>30</v>
      </c>
      <c r="AO7" s="24" t="n">
        <v>291</v>
      </c>
      <c r="AP7" s="35" t="n">
        <v>490000</v>
      </c>
      <c r="AQ7" s="35" t="n">
        <v>150000</v>
      </c>
      <c r="AR7" s="35" t="n">
        <v>120000</v>
      </c>
      <c r="AS7" s="32" t="n">
        <v>150000</v>
      </c>
      <c r="AT7" s="23" t="inlineStr">
        <is>
          <t>A - SLA chặt</t>
        </is>
      </c>
      <c r="AU7" s="23" t="inlineStr">
        <is>
          <t>CR-NỘIT-02</t>
        </is>
      </c>
      <c r="AV7" s="23" t="inlineStr">
        <is>
          <t>Excel khách hàng</t>
        </is>
      </c>
      <c r="AW7" s="23" t="inlineStr">
        <is>
          <t>S2-C06</t>
        </is>
      </c>
      <c r="AX7" s="23" t="inlineStr">
        <is>
          <t>5 tạ</t>
        </is>
      </c>
      <c r="AY7" s="23" t="inlineStr">
        <is>
          <t>Send to Clustering</t>
        </is>
      </c>
      <c r="AZ7" s="23" t="inlineStr">
        <is>
          <t>OK</t>
        </is>
      </c>
      <c r="BA7" s="23" t="inlineStr">
        <is>
          <t>Cấm tải/đường nhỏ - đã chọn xe nhỏ</t>
        </is>
      </c>
      <c r="BB7" s="23">
        <f>AM7+AN7</f>
        <v/>
      </c>
      <c r="BC7" s="23">
        <f>ROUND(W7/'03_Cost_Constraints'!$B$4*60,0)</f>
        <v/>
      </c>
      <c r="BD7" s="23">
        <f>IF(X7&lt;=500,"5 tạ",IF(X7&lt;=1250,"1.25T",IF(X7&lt;=5000,"5T",IF(X7&lt;=8000,"8T",IF(X7&lt;=15000,"3 chân","4 chân")))))</f>
        <v/>
      </c>
      <c r="BE7" s="23">
        <f>IF((BB7+BC7)&lt;=AO7,"OK","Risk")</f>
        <v/>
      </c>
      <c r="BF7" s="23">
        <f>IF(AND(AZ7="OK",BE7="OK"),"Ready","Review")</f>
        <v/>
      </c>
      <c r="BG7" s="23" t="n"/>
    </row>
    <row r="8" ht="18" customHeight="1" s="17">
      <c r="A8" s="21" t="inlineStr">
        <is>
          <t>S2</t>
        </is>
      </c>
      <c r="B8" s="21" t="inlineStr">
        <is>
          <t>2026-06-05</t>
        </is>
      </c>
      <c r="C8" s="21" t="inlineStr">
        <is>
          <t>S2-ORD-007</t>
        </is>
      </c>
      <c r="D8" s="21" t="inlineStr">
        <is>
          <t>Sabeco</t>
        </is>
      </c>
      <c r="E8" s="21" t="inlineStr">
        <is>
          <t>MM Hồng Bàng</t>
        </is>
      </c>
      <c r="F8" s="21" t="inlineStr">
        <is>
          <t>MT</t>
        </is>
      </c>
      <c r="G8" s="21" t="inlineStr">
        <is>
          <t>MILK</t>
        </is>
      </c>
      <c r="H8" s="21" t="inlineStr">
        <is>
          <t>Sữa hộp carton</t>
        </is>
      </c>
      <c r="I8" s="21" t="inlineStr">
        <is>
          <t>PK_HPL_LB</t>
        </is>
      </c>
      <c r="J8" s="21" t="inlineStr">
        <is>
          <t>HPL Depot Long Biên - 20 Thạch Bàn</t>
        </is>
      </c>
      <c r="K8" s="21" t="inlineStr">
        <is>
          <t>Hà Nội</t>
        </is>
      </c>
      <c r="L8" s="21" t="inlineStr">
        <is>
          <t>Long Biên</t>
        </is>
      </c>
      <c r="M8" s="22" t="n">
        <v>21.0261548385</v>
      </c>
      <c r="N8" s="22" t="n">
        <v>105.914182238</v>
      </c>
      <c r="O8" s="21" t="inlineStr">
        <is>
          <t>DL_HP_HONGBANG</t>
        </is>
      </c>
      <c r="P8" s="21" t="inlineStr">
        <is>
          <t>MM Hồng Bàng</t>
        </is>
      </c>
      <c r="Q8" s="21" t="inlineStr">
        <is>
          <t>Hải Phòng</t>
        </is>
      </c>
      <c r="R8" s="21" t="inlineStr">
        <is>
          <t>Hồng Bàng</t>
        </is>
      </c>
      <c r="S8" s="22" t="n">
        <v>20.856112</v>
      </c>
      <c r="T8" s="22" t="n">
        <v>106.682239</v>
      </c>
      <c r="U8" s="21" t="inlineStr">
        <is>
          <t>Đông Bắc</t>
        </is>
      </c>
      <c r="V8" s="21" t="inlineStr">
        <is>
          <t>Đông Bắc</t>
        </is>
      </c>
      <c r="W8" s="29" t="n">
        <v>106.8</v>
      </c>
      <c r="X8" s="28" t="n">
        <v>4798</v>
      </c>
      <c r="Y8" s="29" t="n">
        <v>12.02</v>
      </c>
      <c r="Z8" s="28" t="n">
        <v>10</v>
      </c>
      <c r="AA8" s="21" t="inlineStr">
        <is>
          <t>5T</t>
        </is>
      </c>
      <c r="AB8" s="21" t="inlineStr">
        <is>
          <t>5T</t>
        </is>
      </c>
      <c r="AC8" s="21" t="inlineStr">
        <is>
          <t>No</t>
        </is>
      </c>
      <c r="AD8" s="21" t="inlineStr">
        <is>
          <t>Yes</t>
        </is>
      </c>
      <c r="AE8" s="21" t="inlineStr">
        <is>
          <t>No</t>
        </is>
      </c>
      <c r="AF8" s="21" t="inlineStr">
        <is>
          <t>No</t>
        </is>
      </c>
      <c r="AG8" s="21" t="inlineStr">
        <is>
          <t>Đường đô thị Hải Phòng, xe 5T vào được</t>
        </is>
      </c>
      <c r="AH8" s="21" t="inlineStr">
        <is>
          <t>08:30</t>
        </is>
      </c>
      <c r="AI8" s="21" t="inlineStr">
        <is>
          <t>10:30</t>
        </is>
      </c>
      <c r="AJ8" s="21" t="inlineStr">
        <is>
          <t>13:22</t>
        </is>
      </c>
      <c r="AK8" s="21" t="inlineStr">
        <is>
          <t>14:52</t>
        </is>
      </c>
      <c r="AL8" s="22" t="n">
        <v>30</v>
      </c>
      <c r="AM8" s="22" t="n">
        <v>40</v>
      </c>
      <c r="AN8" s="22" t="n">
        <v>45</v>
      </c>
      <c r="AO8" s="22" t="n">
        <v>382</v>
      </c>
      <c r="AP8" s="31" t="n">
        <v>3460000</v>
      </c>
      <c r="AQ8" s="31" t="n">
        <v>0</v>
      </c>
      <c r="AR8" s="31" t="n">
        <v>120000</v>
      </c>
      <c r="AS8" s="28" t="n">
        <v>150000</v>
      </c>
      <c r="AT8" s="21" t="inlineStr">
        <is>
          <t>A - SLA chặt</t>
        </is>
      </c>
      <c r="AU8" s="21" t="inlineStr">
        <is>
          <t>CR-ĐÔNG-03</t>
        </is>
      </c>
      <c r="AV8" s="21" t="inlineStr">
        <is>
          <t>Hệ thống khách hàng</t>
        </is>
      </c>
      <c r="AW8" s="21" t="inlineStr">
        <is>
          <t>S2-C07</t>
        </is>
      </c>
      <c r="AX8" s="21" t="inlineStr">
        <is>
          <t>5T</t>
        </is>
      </c>
      <c r="AY8" s="21" t="inlineStr">
        <is>
          <t>Send to Clustering</t>
        </is>
      </c>
      <c r="AZ8" s="21" t="inlineStr">
        <is>
          <t>OK</t>
        </is>
      </c>
      <c r="BA8" s="21" t="inlineStr">
        <is>
          <t>Empty-run &gt;100km cần tìm chuyến về</t>
        </is>
      </c>
      <c r="BB8" s="21">
        <f>AM8+AN8</f>
        <v/>
      </c>
      <c r="BC8" s="21">
        <f>ROUND(W8/'03_Cost_Constraints'!$B$4*60,0)</f>
        <v/>
      </c>
      <c r="BD8" s="21">
        <f>IF(X8&lt;=500,"5 tạ",IF(X8&lt;=1250,"1.25T",IF(X8&lt;=5000,"5T",IF(X8&lt;=8000,"8T",IF(X8&lt;=15000,"3 chân","4 chân")))))</f>
        <v/>
      </c>
      <c r="BE8" s="21">
        <f>IF((BB8+BC8)&lt;=AO8,"OK","Risk")</f>
        <v/>
      </c>
      <c r="BF8" s="21">
        <f>IF(AND(AZ8="OK",BE8="OK"),"Ready","Review")</f>
        <v/>
      </c>
      <c r="BG8" s="21" t="n"/>
    </row>
    <row r="9" ht="18" customHeight="1" s="17">
      <c r="A9" s="23" t="inlineStr">
        <is>
          <t>S2</t>
        </is>
      </c>
      <c r="B9" s="23" t="inlineStr">
        <is>
          <t>2026-06-05</t>
        </is>
      </c>
      <c r="C9" s="23" t="inlineStr">
        <is>
          <t>S2-ORD-008</t>
        </is>
      </c>
      <c r="D9" s="23" t="inlineStr">
        <is>
          <t>Acecook</t>
        </is>
      </c>
      <c r="E9" s="23" t="inlineStr">
        <is>
          <t>Thái Dương</t>
        </is>
      </c>
      <c r="F9" s="23" t="inlineStr">
        <is>
          <t>Đại lý</t>
        </is>
      </c>
      <c r="G9" s="23" t="inlineStr">
        <is>
          <t>FMCG</t>
        </is>
      </c>
      <c r="H9" s="23" t="inlineStr">
        <is>
          <t>Hàng tiêu dùng nhanh hỗn hợp</t>
        </is>
      </c>
      <c r="I9" s="23" t="inlineStr">
        <is>
          <t>PK_HY_MYHAO</t>
        </is>
      </c>
      <c r="J9" s="23" t="inlineStr">
        <is>
          <t>Kho/Nhà máy khách hàng Mỹ Hào</t>
        </is>
      </c>
      <c r="K9" s="23" t="inlineStr">
        <is>
          <t>Hưng Yên</t>
        </is>
      </c>
      <c r="L9" s="23" t="inlineStr">
        <is>
          <t>Mỹ Hào</t>
        </is>
      </c>
      <c r="M9" s="24" t="n">
        <v>20.9329</v>
      </c>
      <c r="N9" s="24" t="n">
        <v>106.065</v>
      </c>
      <c r="O9" s="23" t="inlineStr">
        <is>
          <t>DL_HN_THAIDUONG</t>
        </is>
      </c>
      <c r="P9" s="23" t="inlineStr">
        <is>
          <t>Thái Dương</t>
        </is>
      </c>
      <c r="Q9" s="23" t="inlineStr">
        <is>
          <t>Hà Nội</t>
        </is>
      </c>
      <c r="R9" s="23" t="inlineStr">
        <is>
          <t>Hà Nội</t>
        </is>
      </c>
      <c r="S9" s="24" t="n">
        <v>20.929215</v>
      </c>
      <c r="T9" s="24" t="n">
        <v>105.869998</v>
      </c>
      <c r="U9" s="23" t="inlineStr">
        <is>
          <t>Nội thành Hà Nội</t>
        </is>
      </c>
      <c r="V9" s="23" t="inlineStr">
        <is>
          <t>Nội thành Hà Nội</t>
        </is>
      </c>
      <c r="W9" s="33" t="n">
        <v>36</v>
      </c>
      <c r="X9" s="32" t="n">
        <v>283</v>
      </c>
      <c r="Y9" s="33" t="n">
        <v>1.16</v>
      </c>
      <c r="Z9" s="32" t="n">
        <v>1</v>
      </c>
      <c r="AA9" s="23" t="inlineStr">
        <is>
          <t>5 tạ</t>
        </is>
      </c>
      <c r="AB9" s="23" t="inlineStr">
        <is>
          <t>1.25T</t>
        </is>
      </c>
      <c r="AC9" s="23" t="inlineStr">
        <is>
          <t>No</t>
        </is>
      </c>
      <c r="AD9" s="23" t="inlineStr">
        <is>
          <t>Yes</t>
        </is>
      </c>
      <c r="AE9" s="23" t="inlineStr">
        <is>
          <t>No</t>
        </is>
      </c>
      <c r="AF9" s="23" t="inlineStr">
        <is>
          <t>Yes</t>
        </is>
      </c>
      <c r="AG9" s="23" t="inlineStr">
        <is>
          <t>Đường nhỏ, ưu tiên xe &lt;=1.25T</t>
        </is>
      </c>
      <c r="AH9" s="23" t="inlineStr">
        <is>
          <t>08:30</t>
        </is>
      </c>
      <c r="AI9" s="23" t="inlineStr">
        <is>
          <t>10:30</t>
        </is>
      </c>
      <c r="AJ9" s="23" t="inlineStr">
        <is>
          <t>11:16</t>
        </is>
      </c>
      <c r="AK9" s="23" t="inlineStr">
        <is>
          <t>14:16</t>
        </is>
      </c>
      <c r="AL9" s="24" t="n">
        <v>45</v>
      </c>
      <c r="AM9" s="24" t="n">
        <v>25</v>
      </c>
      <c r="AN9" s="24" t="n">
        <v>20</v>
      </c>
      <c r="AO9" s="24" t="n">
        <v>346</v>
      </c>
      <c r="AP9" s="35" t="n">
        <v>640000</v>
      </c>
      <c r="AQ9" s="35" t="n">
        <v>0</v>
      </c>
      <c r="AR9" s="35" t="n">
        <v>0</v>
      </c>
      <c r="AS9" s="32" t="n">
        <v>150000</v>
      </c>
      <c r="AT9" s="23" t="inlineStr">
        <is>
          <t>A - SLA chặt</t>
        </is>
      </c>
      <c r="AU9" s="23" t="inlineStr">
        <is>
          <t>CR-NỘIT-04</t>
        </is>
      </c>
      <c r="AV9" s="23" t="inlineStr">
        <is>
          <t>Zalo/Email plan 17:00</t>
        </is>
      </c>
      <c r="AW9" s="23" t="inlineStr">
        <is>
          <t>S2-C08</t>
        </is>
      </c>
      <c r="AX9" s="23" t="inlineStr">
        <is>
          <t>5 tạ</t>
        </is>
      </c>
      <c r="AY9" s="23" t="inlineStr">
        <is>
          <t>Send to Clustering</t>
        </is>
      </c>
      <c r="AZ9" s="23" t="inlineStr">
        <is>
          <t>OK</t>
        </is>
      </c>
      <c r="BA9" s="23" t="inlineStr">
        <is>
          <t>Cấm tải/đường nhỏ - đã chọn xe nhỏ</t>
        </is>
      </c>
      <c r="BB9" s="23">
        <f>AM9+AN9</f>
        <v/>
      </c>
      <c r="BC9" s="23">
        <f>ROUND(W9/'03_Cost_Constraints'!$B$4*60,0)</f>
        <v/>
      </c>
      <c r="BD9" s="23">
        <f>IF(X9&lt;=500,"5 tạ",IF(X9&lt;=1250,"1.25T",IF(X9&lt;=5000,"5T",IF(X9&lt;=8000,"8T",IF(X9&lt;=15000,"3 chân","4 chân")))))</f>
        <v/>
      </c>
      <c r="BE9" s="23">
        <f>IF((BB9+BC9)&lt;=AO9,"OK","Risk")</f>
        <v/>
      </c>
      <c r="BF9" s="23">
        <f>IF(AND(AZ9="OK",BE9="OK"),"Ready","Review")</f>
        <v/>
      </c>
      <c r="BG9" s="23" t="inlineStr">
        <is>
          <t>Kế hoạch ngày hôm sau; cần chốt trước 19:00 và gửi tài xế sau duyệt</t>
        </is>
      </c>
    </row>
    <row r="10" ht="18" customHeight="1" s="17">
      <c r="A10" s="21" t="inlineStr">
        <is>
          <t>S2</t>
        </is>
      </c>
      <c r="B10" s="21" t="inlineStr">
        <is>
          <t>2026-06-05</t>
        </is>
      </c>
      <c r="C10" s="21" t="inlineStr">
        <is>
          <t>S2-ORD-009</t>
        </is>
      </c>
      <c r="D10" s="21" t="inlineStr">
        <is>
          <t>MM Mega Market</t>
        </is>
      </c>
      <c r="E10" s="21" t="inlineStr">
        <is>
          <t>AKJUKY</t>
        </is>
      </c>
      <c r="F10" s="21" t="inlineStr">
        <is>
          <t>Đại lý</t>
        </is>
      </c>
      <c r="G10" s="21" t="inlineStr">
        <is>
          <t>SP33</t>
        </is>
      </c>
      <c r="H10" s="21" t="inlineStr">
        <is>
          <t>Bia lon Saigon Special</t>
        </is>
      </c>
      <c r="I10" s="21" t="inlineStr">
        <is>
          <t>PK_HPL_LB</t>
        </is>
      </c>
      <c r="J10" s="21" t="inlineStr">
        <is>
          <t>HPL Depot Long Biên - 20 Thạch Bàn</t>
        </is>
      </c>
      <c r="K10" s="21" t="inlineStr">
        <is>
          <t>Hà Nội</t>
        </is>
      </c>
      <c r="L10" s="21" t="inlineStr">
        <is>
          <t>Long Biên</t>
        </is>
      </c>
      <c r="M10" s="22" t="n">
        <v>21.0261548385</v>
      </c>
      <c r="N10" s="22" t="n">
        <v>105.914182238</v>
      </c>
      <c r="O10" s="21" t="inlineStr">
        <is>
          <t>DL_HN_AKJUKY</t>
        </is>
      </c>
      <c r="P10" s="21" t="inlineStr">
        <is>
          <t>AKJUKY</t>
        </is>
      </c>
      <c r="Q10" s="21" t="inlineStr">
        <is>
          <t>Hà Nội</t>
        </is>
      </c>
      <c r="R10" s="21" t="inlineStr">
        <is>
          <t>Long Biên</t>
        </is>
      </c>
      <c r="S10" s="22" t="n">
        <v>21.063695</v>
      </c>
      <c r="T10" s="22" t="n">
        <v>105.889986</v>
      </c>
      <c r="U10" s="21" t="inlineStr">
        <is>
          <t>Nội thành Hà Nội</t>
        </is>
      </c>
      <c r="V10" s="21" t="inlineStr">
        <is>
          <t>Nội thành Hà Nội</t>
        </is>
      </c>
      <c r="W10" s="29" t="n">
        <v>9.699999999999999</v>
      </c>
      <c r="X10" s="28" t="n">
        <v>387</v>
      </c>
      <c r="Y10" s="29" t="n">
        <v>0.65</v>
      </c>
      <c r="Z10" s="28" t="n">
        <v>1</v>
      </c>
      <c r="AA10" s="21" t="inlineStr">
        <is>
          <t>5 tạ</t>
        </is>
      </c>
      <c r="AB10" s="21" t="inlineStr">
        <is>
          <t>1.25T</t>
        </is>
      </c>
      <c r="AC10" s="21" t="inlineStr">
        <is>
          <t>No</t>
        </is>
      </c>
      <c r="AD10" s="21" t="inlineStr">
        <is>
          <t>Yes</t>
        </is>
      </c>
      <c r="AE10" s="21" t="inlineStr">
        <is>
          <t>No</t>
        </is>
      </c>
      <c r="AF10" s="21" t="inlineStr">
        <is>
          <t>Yes</t>
        </is>
      </c>
      <c r="AG10" s="21" t="inlineStr">
        <is>
          <t>Đường nhỏ nội đô</t>
        </is>
      </c>
      <c r="AH10" s="21" t="inlineStr">
        <is>
          <t>07:00</t>
        </is>
      </c>
      <c r="AI10" s="21" t="inlineStr">
        <is>
          <t>09:30</t>
        </is>
      </c>
      <c r="AJ10" s="21" t="inlineStr">
        <is>
          <t>09:31</t>
        </is>
      </c>
      <c r="AK10" s="21" t="inlineStr">
        <is>
          <t>11:31</t>
        </is>
      </c>
      <c r="AL10" s="22" t="n">
        <v>30</v>
      </c>
      <c r="AM10" s="22" t="n">
        <v>25</v>
      </c>
      <c r="AN10" s="22" t="n">
        <v>20</v>
      </c>
      <c r="AO10" s="22" t="n">
        <v>271</v>
      </c>
      <c r="AP10" s="31" t="n">
        <v>810000</v>
      </c>
      <c r="AQ10" s="31" t="n">
        <v>0</v>
      </c>
      <c r="AR10" s="31" t="n">
        <v>0</v>
      </c>
      <c r="AS10" s="28" t="n">
        <v>80000</v>
      </c>
      <c r="AT10" s="21" t="inlineStr">
        <is>
          <t>B - Thường</t>
        </is>
      </c>
      <c r="AU10" s="21" t="inlineStr">
        <is>
          <t>CR-NỘIT-05</t>
        </is>
      </c>
      <c r="AV10" s="21" t="inlineStr">
        <is>
          <t>Manual nhập điều phối</t>
        </is>
      </c>
      <c r="AW10" s="21" t="inlineStr">
        <is>
          <t>S2-C08</t>
        </is>
      </c>
      <c r="AX10" s="21" t="inlineStr">
        <is>
          <t>5 tạ</t>
        </is>
      </c>
      <c r="AY10" s="21" t="inlineStr">
        <is>
          <t>Send to Clustering</t>
        </is>
      </c>
      <c r="AZ10" s="21" t="inlineStr">
        <is>
          <t>OK</t>
        </is>
      </c>
      <c r="BA10" s="21" t="inlineStr">
        <is>
          <t>Cấm tải/đường nhỏ - đã chọn xe nhỏ</t>
        </is>
      </c>
      <c r="BB10" s="21">
        <f>AM10+AN10</f>
        <v/>
      </c>
      <c r="BC10" s="21">
        <f>ROUND(W10/'03_Cost_Constraints'!$B$4*60,0)</f>
        <v/>
      </c>
      <c r="BD10" s="21">
        <f>IF(X10&lt;=500,"5 tạ",IF(X10&lt;=1250,"1.25T",IF(X10&lt;=5000,"5T",IF(X10&lt;=8000,"8T",IF(X10&lt;=15000,"3 chân","4 chân")))))</f>
        <v/>
      </c>
      <c r="BE10" s="21">
        <f>IF((BB10+BC10)&lt;=AO10,"OK","Risk")</f>
        <v/>
      </c>
      <c r="BF10" s="21">
        <f>IF(AND(AZ10="OK",BE10="OK"),"Ready","Review")</f>
        <v/>
      </c>
      <c r="BG10" s="21" t="n"/>
    </row>
    <row r="11" ht="18" customHeight="1" s="17">
      <c r="A11" s="23" t="inlineStr">
        <is>
          <t>S2</t>
        </is>
      </c>
      <c r="B11" s="23" t="inlineStr">
        <is>
          <t>2026-06-05</t>
        </is>
      </c>
      <c r="C11" s="23" t="inlineStr">
        <is>
          <t>S2-ORD-010</t>
        </is>
      </c>
      <c r="D11" s="23" t="inlineStr">
        <is>
          <t>Bách Hóa Xanh</t>
        </is>
      </c>
      <c r="E11" s="23" t="inlineStr">
        <is>
          <t>VINMART Vũ Trọng Phụng</t>
        </is>
      </c>
      <c r="F11" s="23" t="inlineStr">
        <is>
          <t>ST</t>
        </is>
      </c>
      <c r="G11" s="23" t="inlineStr">
        <is>
          <t>LVCA</t>
        </is>
      </c>
      <c r="H11" s="23" t="inlineStr">
        <is>
          <t>Bia lon Lạc Việt</t>
        </is>
      </c>
      <c r="I11" s="23" t="inlineStr">
        <is>
          <t>PK_LINFOX_VSIP</t>
        </is>
      </c>
      <c r="J11" s="23" t="inlineStr">
        <is>
          <t>Kho Linfox KCN VSIP Bắc Ninh</t>
        </is>
      </c>
      <c r="K11" s="23" t="inlineStr">
        <is>
          <t>Bắc Ninh</t>
        </is>
      </c>
      <c r="L11" s="23" t="inlineStr">
        <is>
          <t>Từ Sơn</t>
        </is>
      </c>
      <c r="M11" s="24" t="n">
        <v>21.082707</v>
      </c>
      <c r="N11" s="24" t="n">
        <v>105.997949</v>
      </c>
      <c r="O11" s="23" t="inlineStr">
        <is>
          <t>DL_HN_VUTRONGPHUNG</t>
        </is>
      </c>
      <c r="P11" s="23" t="inlineStr">
        <is>
          <t>VINMART Vũ Trọng Phụng</t>
        </is>
      </c>
      <c r="Q11" s="23" t="inlineStr">
        <is>
          <t>Hà Nội</t>
        </is>
      </c>
      <c r="R11" s="23" t="inlineStr">
        <is>
          <t>Thanh Xuân</t>
        </is>
      </c>
      <c r="S11" s="24" t="n">
        <v>20.997621</v>
      </c>
      <c r="T11" s="24" t="n">
        <v>105.809443</v>
      </c>
      <c r="U11" s="23" t="inlineStr">
        <is>
          <t>Nội thành Hà Nội</t>
        </is>
      </c>
      <c r="V11" s="23" t="inlineStr">
        <is>
          <t>Nội thành Hà Nội</t>
        </is>
      </c>
      <c r="W11" s="33" t="n">
        <v>34.5</v>
      </c>
      <c r="X11" s="32" t="n">
        <v>397</v>
      </c>
      <c r="Y11" s="33" t="n">
        <v>1.03</v>
      </c>
      <c r="Z11" s="32" t="n">
        <v>1</v>
      </c>
      <c r="AA11" s="23" t="inlineStr">
        <is>
          <t>5 tạ</t>
        </is>
      </c>
      <c r="AB11" s="23" t="inlineStr">
        <is>
          <t>1.25T</t>
        </is>
      </c>
      <c r="AC11" s="23" t="inlineStr">
        <is>
          <t>No</t>
        </is>
      </c>
      <c r="AD11" s="23" t="inlineStr">
        <is>
          <t>No</t>
        </is>
      </c>
      <c r="AE11" s="23" t="inlineStr">
        <is>
          <t>Yes</t>
        </is>
      </c>
      <c r="AF11" s="23" t="inlineStr">
        <is>
          <t>Yes</t>
        </is>
      </c>
      <c r="AG11" s="23" t="inlineStr">
        <is>
          <t>Hầm giao nhận thấp</t>
        </is>
      </c>
      <c r="AH11" s="23" t="inlineStr">
        <is>
          <t>07:00</t>
        </is>
      </c>
      <c r="AI11" s="23" t="inlineStr">
        <is>
          <t>09:30</t>
        </is>
      </c>
      <c r="AJ11" s="23" t="inlineStr">
        <is>
          <t>09:44</t>
        </is>
      </c>
      <c r="AK11" s="23" t="inlineStr">
        <is>
          <t>12:14</t>
        </is>
      </c>
      <c r="AL11" s="24" t="n">
        <v>45</v>
      </c>
      <c r="AM11" s="24" t="n">
        <v>25</v>
      </c>
      <c r="AN11" s="24" t="n">
        <v>20</v>
      </c>
      <c r="AO11" s="24" t="n">
        <v>314</v>
      </c>
      <c r="AP11" s="35" t="n">
        <v>510000</v>
      </c>
      <c r="AQ11" s="35" t="n">
        <v>0</v>
      </c>
      <c r="AR11" s="35" t="n">
        <v>0</v>
      </c>
      <c r="AS11" s="32" t="n">
        <v>80000</v>
      </c>
      <c r="AT11" s="23" t="inlineStr">
        <is>
          <t>C - Có thể thương lượng</t>
        </is>
      </c>
      <c r="AU11" s="23" t="inlineStr">
        <is>
          <t>CR-NỘIT-01</t>
        </is>
      </c>
      <c r="AV11" s="23" t="inlineStr">
        <is>
          <t>Excel khách hàng</t>
        </is>
      </c>
      <c r="AW11" s="23" t="inlineStr">
        <is>
          <t>S2-C10</t>
        </is>
      </c>
      <c r="AX11" s="23" t="inlineStr">
        <is>
          <t>5 tạ</t>
        </is>
      </c>
      <c r="AY11" s="23" t="inlineStr">
        <is>
          <t>Send to Clustering</t>
        </is>
      </c>
      <c r="AZ11" s="23" t="inlineStr">
        <is>
          <t>OK</t>
        </is>
      </c>
      <c r="BA11" s="23" t="inlineStr">
        <is>
          <t>Cấm tải/đường nhỏ - đã chọn xe nhỏ</t>
        </is>
      </c>
      <c r="BB11" s="23">
        <f>AM11+AN11</f>
        <v/>
      </c>
      <c r="BC11" s="23">
        <f>ROUND(W11/'03_Cost_Constraints'!$B$4*60,0)</f>
        <v/>
      </c>
      <c r="BD11" s="23">
        <f>IF(X11&lt;=500,"5 tạ",IF(X11&lt;=1250,"1.25T",IF(X11&lt;=5000,"5T",IF(X11&lt;=8000,"8T",IF(X11&lt;=15000,"3 chân","4 chân")))))</f>
        <v/>
      </c>
      <c r="BE11" s="23">
        <f>IF((BB11+BC11)&lt;=AO11,"OK","Risk")</f>
        <v/>
      </c>
      <c r="BF11" s="23">
        <f>IF(AND(AZ11="OK",BE11="OK"),"Ready","Review")</f>
        <v/>
      </c>
      <c r="BG11" s="23" t="n"/>
    </row>
    <row r="12" ht="18" customHeight="1" s="17">
      <c r="A12" s="21" t="inlineStr">
        <is>
          <t>S2</t>
        </is>
      </c>
      <c r="B12" s="21" t="inlineStr">
        <is>
          <t>2026-06-05</t>
        </is>
      </c>
      <c r="C12" s="21" t="inlineStr">
        <is>
          <t>S2-ORD-011</t>
        </is>
      </c>
      <c r="D12" s="21" t="inlineStr">
        <is>
          <t>Bách Hóa Xanh</t>
        </is>
      </c>
      <c r="E12" s="21" t="inlineStr">
        <is>
          <t>Siêu thị Hải Dương</t>
        </is>
      </c>
      <c r="F12" s="21" t="inlineStr">
        <is>
          <t>ST</t>
        </is>
      </c>
      <c r="G12" s="21" t="inlineStr">
        <is>
          <t>LVCA</t>
        </is>
      </c>
      <c r="H12" s="21" t="inlineStr">
        <is>
          <t>Bia lon Lạc Việt</t>
        </is>
      </c>
      <c r="I12" s="21" t="inlineStr">
        <is>
          <t>PK_LINFOX_VSIP</t>
        </is>
      </c>
      <c r="J12" s="21" t="inlineStr">
        <is>
          <t>Kho Linfox KCN VSIP Bắc Ninh</t>
        </is>
      </c>
      <c r="K12" s="21" t="inlineStr">
        <is>
          <t>Bắc Ninh</t>
        </is>
      </c>
      <c r="L12" s="21" t="inlineStr">
        <is>
          <t>Từ Sơn</t>
        </is>
      </c>
      <c r="M12" s="22" t="n">
        <v>21.082707</v>
      </c>
      <c r="N12" s="22" t="n">
        <v>105.997949</v>
      </c>
      <c r="O12" s="21" t="inlineStr">
        <is>
          <t>DL_HD_SIEUTHI</t>
        </is>
      </c>
      <c r="P12" s="21" t="inlineStr">
        <is>
          <t>Siêu thị Hải Dương</t>
        </is>
      </c>
      <c r="Q12" s="21" t="inlineStr">
        <is>
          <t>Hải Phòng</t>
        </is>
      </c>
      <c r="R12" s="21" t="inlineStr">
        <is>
          <t>Hải Dương</t>
        </is>
      </c>
      <c r="S12" s="22" t="n">
        <v>20.937341</v>
      </c>
      <c r="T12" s="22" t="n">
        <v>106.314555</v>
      </c>
      <c r="U12" s="21" t="inlineStr">
        <is>
          <t>Đông Bắc</t>
        </is>
      </c>
      <c r="V12" s="21" t="inlineStr">
        <is>
          <t>Đông Bắc</t>
        </is>
      </c>
      <c r="W12" s="29" t="n">
        <v>52.5</v>
      </c>
      <c r="X12" s="28" t="n">
        <v>4903</v>
      </c>
      <c r="Y12" s="29" t="n">
        <v>11.58</v>
      </c>
      <c r="Z12" s="28" t="n">
        <v>9</v>
      </c>
      <c r="AA12" s="21" t="inlineStr">
        <is>
          <t>5T</t>
        </is>
      </c>
      <c r="AB12" s="21" t="inlineStr">
        <is>
          <t>8T</t>
        </is>
      </c>
      <c r="AC12" s="21" t="inlineStr">
        <is>
          <t>No</t>
        </is>
      </c>
      <c r="AD12" s="21" t="inlineStr">
        <is>
          <t>Yes</t>
        </is>
      </c>
      <c r="AE12" s="21" t="inlineStr">
        <is>
          <t>No</t>
        </is>
      </c>
      <c r="AF12" s="21" t="inlineStr">
        <is>
          <t>No</t>
        </is>
      </c>
      <c r="AG12" s="21" t="inlineStr">
        <is>
          <t>Quốc lộ 5, xe 8T vào được</t>
        </is>
      </c>
      <c r="AH12" s="21" t="inlineStr">
        <is>
          <t>08:30</t>
        </is>
      </c>
      <c r="AI12" s="21" t="inlineStr">
        <is>
          <t>10:30</t>
        </is>
      </c>
      <c r="AJ12" s="21" t="inlineStr">
        <is>
          <t>11:10</t>
        </is>
      </c>
      <c r="AK12" s="21" t="inlineStr">
        <is>
          <t>14:10</t>
        </is>
      </c>
      <c r="AL12" s="22" t="n">
        <v>45</v>
      </c>
      <c r="AM12" s="22" t="n">
        <v>40</v>
      </c>
      <c r="AN12" s="22" t="n">
        <v>35</v>
      </c>
      <c r="AO12" s="22" t="n">
        <v>340</v>
      </c>
      <c r="AP12" s="31" t="n">
        <v>2130000</v>
      </c>
      <c r="AQ12" s="31" t="n">
        <v>0</v>
      </c>
      <c r="AR12" s="31" t="n">
        <v>0</v>
      </c>
      <c r="AS12" s="28" t="n">
        <v>80000</v>
      </c>
      <c r="AT12" s="21" t="inlineStr">
        <is>
          <t>B - Thường</t>
        </is>
      </c>
      <c r="AU12" s="21" t="inlineStr">
        <is>
          <t>CR-ĐÔNG-02</t>
        </is>
      </c>
      <c r="AV12" s="21" t="inlineStr">
        <is>
          <t>Hệ thống khách hàng</t>
        </is>
      </c>
      <c r="AW12" s="21" t="inlineStr">
        <is>
          <t>S2-C11</t>
        </is>
      </c>
      <c r="AX12" s="21" t="inlineStr">
        <is>
          <t>5T</t>
        </is>
      </c>
      <c r="AY12" s="21" t="inlineStr">
        <is>
          <t>Send to Clustering</t>
        </is>
      </c>
      <c r="AZ12" s="21" t="inlineStr">
        <is>
          <t>OK</t>
        </is>
      </c>
      <c r="BA12" s="21" t="inlineStr">
        <is>
          <t>OK</t>
        </is>
      </c>
      <c r="BB12" s="21">
        <f>AM12+AN12</f>
        <v/>
      </c>
      <c r="BC12" s="21">
        <f>ROUND(W12/'03_Cost_Constraints'!$B$4*60,0)</f>
        <v/>
      </c>
      <c r="BD12" s="21">
        <f>IF(X12&lt;=500,"5 tạ",IF(X12&lt;=1250,"1.25T",IF(X12&lt;=5000,"5T",IF(X12&lt;=8000,"8T",IF(X12&lt;=15000,"3 chân","4 chân")))))</f>
        <v/>
      </c>
      <c r="BE12" s="21">
        <f>IF((BB12+BC12)&lt;=AO12,"OK","Risk")</f>
        <v/>
      </c>
      <c r="BF12" s="21">
        <f>IF(AND(AZ12="OK",BE12="OK"),"Ready","Review")</f>
        <v/>
      </c>
      <c r="BG12" s="21" t="n"/>
    </row>
    <row r="13" ht="18" customHeight="1" s="17">
      <c r="A13" s="23" t="inlineStr">
        <is>
          <t>S2</t>
        </is>
      </c>
      <c r="B13" s="23" t="inlineStr">
        <is>
          <t>2026-06-05</t>
        </is>
      </c>
      <c r="C13" s="23" t="inlineStr">
        <is>
          <t>S2-ORD-012</t>
        </is>
      </c>
      <c r="D13" s="23" t="inlineStr">
        <is>
          <t>Unilever</t>
        </is>
      </c>
      <c r="E13" s="23" t="inlineStr">
        <is>
          <t>Siêu thị Ninh Bình</t>
        </is>
      </c>
      <c r="F13" s="23" t="inlineStr">
        <is>
          <t>ST</t>
        </is>
      </c>
      <c r="G13" s="23" t="inlineStr">
        <is>
          <t>NOODLE</t>
        </is>
      </c>
      <c r="H13" s="23" t="inlineStr">
        <is>
          <t>Mì gói/Acecook carton</t>
        </is>
      </c>
      <c r="I13" s="23" t="inlineStr">
        <is>
          <t>PK_NA_BACVINH</t>
        </is>
      </c>
      <c r="J13" s="23" t="inlineStr">
        <is>
          <t>Kho DC Vinh - KCN Bắc Vinh</t>
        </is>
      </c>
      <c r="K13" s="23" t="inlineStr">
        <is>
          <t>Nghệ An</t>
        </is>
      </c>
      <c r="L13" s="23" t="inlineStr">
        <is>
          <t>Vinh</t>
        </is>
      </c>
      <c r="M13" s="24" t="n">
        <v>18.733</v>
      </c>
      <c r="N13" s="24" t="n">
        <v>105.681</v>
      </c>
      <c r="O13" s="23" t="inlineStr">
        <is>
          <t>DL_NB_SIEUTHI</t>
        </is>
      </c>
      <c r="P13" s="23" t="inlineStr">
        <is>
          <t>Siêu thị Ninh Bình</t>
        </is>
      </c>
      <c r="Q13" s="23" t="inlineStr">
        <is>
          <t>Ninh Bình</t>
        </is>
      </c>
      <c r="R13" s="23" t="inlineStr">
        <is>
          <t>Hoa Lư</t>
        </is>
      </c>
      <c r="S13" s="24" t="n">
        <v>20.250614</v>
      </c>
      <c r="T13" s="24" t="n">
        <v>105.974454</v>
      </c>
      <c r="U13" s="23" t="inlineStr">
        <is>
          <t>Bắc Trung Bộ</t>
        </is>
      </c>
      <c r="V13" s="23" t="inlineStr">
        <is>
          <t>Bắc Trung Bộ</t>
        </is>
      </c>
      <c r="W13" s="33" t="n">
        <v>222.8</v>
      </c>
      <c r="X13" s="32" t="n">
        <v>3651</v>
      </c>
      <c r="Y13" s="33" t="n">
        <v>31.71</v>
      </c>
      <c r="Z13" s="32" t="n">
        <v>26</v>
      </c>
      <c r="AA13" s="23" t="inlineStr">
        <is>
          <t>8T</t>
        </is>
      </c>
      <c r="AB13" s="23" t="inlineStr">
        <is>
          <t>8T</t>
        </is>
      </c>
      <c r="AC13" s="23" t="inlineStr">
        <is>
          <t>No</t>
        </is>
      </c>
      <c r="AD13" s="23" t="inlineStr">
        <is>
          <t>Yes</t>
        </is>
      </c>
      <c r="AE13" s="23" t="inlineStr">
        <is>
          <t>No</t>
        </is>
      </c>
      <c r="AF13" s="23" t="inlineStr">
        <is>
          <t>No</t>
        </is>
      </c>
      <c r="AG13" s="23" t="inlineStr">
        <is>
          <t>Xe 8T vào được</t>
        </is>
      </c>
      <c r="AH13" s="23" t="inlineStr">
        <is>
          <t>08:30</t>
        </is>
      </c>
      <c r="AI13" s="23" t="inlineStr">
        <is>
          <t>11:00</t>
        </is>
      </c>
      <c r="AJ13" s="23" t="inlineStr">
        <is>
          <t>14:57</t>
        </is>
      </c>
      <c r="AK13" s="23" t="inlineStr">
        <is>
          <t>17:27</t>
        </is>
      </c>
      <c r="AL13" s="24" t="n">
        <v>45</v>
      </c>
      <c r="AM13" s="24" t="n">
        <v>40</v>
      </c>
      <c r="AN13" s="24" t="n">
        <v>35</v>
      </c>
      <c r="AO13" s="24" t="n">
        <v>537</v>
      </c>
      <c r="AP13" s="35" t="n">
        <v>5680000</v>
      </c>
      <c r="AQ13" s="35" t="n">
        <v>150000</v>
      </c>
      <c r="AR13" s="35" t="n">
        <v>0</v>
      </c>
      <c r="AS13" s="32" t="n">
        <v>150000</v>
      </c>
      <c r="AT13" s="23" t="inlineStr">
        <is>
          <t>A - SLA chặt</t>
        </is>
      </c>
      <c r="AU13" s="23" t="inlineStr">
        <is>
          <t>CR-BẮCT-03</t>
        </is>
      </c>
      <c r="AV13" s="23" t="inlineStr">
        <is>
          <t>Zalo/Email plan 17:00</t>
        </is>
      </c>
      <c r="AW13" s="23" t="inlineStr">
        <is>
          <t>S2-C12</t>
        </is>
      </c>
      <c r="AX13" s="23" t="inlineStr">
        <is>
          <t>8T</t>
        </is>
      </c>
      <c r="AY13" s="23" t="inlineStr">
        <is>
          <t>Send to Clustering</t>
        </is>
      </c>
      <c r="AZ13" s="23" t="inlineStr">
        <is>
          <t>OK</t>
        </is>
      </c>
      <c r="BA13" s="23" t="inlineStr">
        <is>
          <t>Empty-run &gt;100km cần tìm chuyến về</t>
        </is>
      </c>
      <c r="BB13" s="23">
        <f>AM13+AN13</f>
        <v/>
      </c>
      <c r="BC13" s="23">
        <f>ROUND(W13/'03_Cost_Constraints'!$B$4*60,0)</f>
        <v/>
      </c>
      <c r="BD13" s="23">
        <f>IF(X13&lt;=500,"5 tạ",IF(X13&lt;=1250,"1.25T",IF(X13&lt;=5000,"5T",IF(X13&lt;=8000,"8T",IF(X13&lt;=15000,"3 chân","4 chân")))))</f>
        <v/>
      </c>
      <c r="BE13" s="23">
        <f>IF((BB13+BC13)&lt;=AO13,"OK","Risk")</f>
        <v/>
      </c>
      <c r="BF13" s="23">
        <f>IF(AND(AZ13="OK",BE13="OK"),"Ready","Review")</f>
        <v/>
      </c>
      <c r="BG13" s="23" t="inlineStr">
        <is>
          <t>Kế hoạch ngày hôm sau; cần chốt trước 19:00 và gửi tài xế sau duyệt</t>
        </is>
      </c>
    </row>
    <row r="14" ht="18" customHeight="1" s="17">
      <c r="A14" s="21" t="inlineStr">
        <is>
          <t>S2</t>
        </is>
      </c>
      <c r="B14" s="21" t="inlineStr">
        <is>
          <t>2026-06-05</t>
        </is>
      </c>
      <c r="C14" s="21" t="inlineStr">
        <is>
          <t>S2-ORD-013</t>
        </is>
      </c>
      <c r="D14" s="21" t="inlineStr">
        <is>
          <t>VinCommerce</t>
        </is>
      </c>
      <c r="E14" s="21" t="inlineStr">
        <is>
          <t>Thái Dương</t>
        </is>
      </c>
      <c r="F14" s="21" t="inlineStr">
        <is>
          <t>Đại lý</t>
        </is>
      </c>
      <c r="G14" s="21" t="inlineStr">
        <is>
          <t>NOODLE</t>
        </is>
      </c>
      <c r="H14" s="21" t="inlineStr">
        <is>
          <t>Mì gói/Acecook carton</t>
        </is>
      </c>
      <c r="I14" s="21" t="inlineStr">
        <is>
          <t>PK_HPL_LB</t>
        </is>
      </c>
      <c r="J14" s="21" t="inlineStr">
        <is>
          <t>HPL Depot Long Biên - 20 Thạch Bàn</t>
        </is>
      </c>
      <c r="K14" s="21" t="inlineStr">
        <is>
          <t>Hà Nội</t>
        </is>
      </c>
      <c r="L14" s="21" t="inlineStr">
        <is>
          <t>Long Biên</t>
        </is>
      </c>
      <c r="M14" s="22" t="n">
        <v>21.0261548385</v>
      </c>
      <c r="N14" s="22" t="n">
        <v>105.914182238</v>
      </c>
      <c r="O14" s="21" t="inlineStr">
        <is>
          <t>DL_HN_THAIDUONG</t>
        </is>
      </c>
      <c r="P14" s="21" t="inlineStr">
        <is>
          <t>Thái Dương</t>
        </is>
      </c>
      <c r="Q14" s="21" t="inlineStr">
        <is>
          <t>Hà Nội</t>
        </is>
      </c>
      <c r="R14" s="21" t="inlineStr">
        <is>
          <t>Hà Nội</t>
        </is>
      </c>
      <c r="S14" s="22" t="n">
        <v>20.929215</v>
      </c>
      <c r="T14" s="22" t="n">
        <v>105.869998</v>
      </c>
      <c r="U14" s="21" t="inlineStr">
        <is>
          <t>Nội thành Hà Nội</t>
        </is>
      </c>
      <c r="V14" s="21" t="inlineStr">
        <is>
          <t>Nội thành Hà Nội</t>
        </is>
      </c>
      <c r="W14" s="29" t="n">
        <v>23.4</v>
      </c>
      <c r="X14" s="28" t="n">
        <v>418</v>
      </c>
      <c r="Y14" s="29" t="n">
        <v>4.21</v>
      </c>
      <c r="Z14" s="28" t="n">
        <v>3</v>
      </c>
      <c r="AA14" s="21" t="inlineStr">
        <is>
          <t>1.25T</t>
        </is>
      </c>
      <c r="AB14" s="21" t="inlineStr">
        <is>
          <t>1.25T</t>
        </is>
      </c>
      <c r="AC14" s="21" t="inlineStr">
        <is>
          <t>No</t>
        </is>
      </c>
      <c r="AD14" s="21" t="inlineStr">
        <is>
          <t>Yes</t>
        </is>
      </c>
      <c r="AE14" s="21" t="inlineStr">
        <is>
          <t>No</t>
        </is>
      </c>
      <c r="AF14" s="21" t="inlineStr">
        <is>
          <t>Yes</t>
        </is>
      </c>
      <c r="AG14" s="21" t="inlineStr">
        <is>
          <t>Đường nhỏ, ưu tiên xe &lt;=1.25T</t>
        </is>
      </c>
      <c r="AH14" s="21" t="inlineStr">
        <is>
          <t>08:00</t>
        </is>
      </c>
      <c r="AI14" s="21" t="inlineStr">
        <is>
          <t>10:30</t>
        </is>
      </c>
      <c r="AJ14" s="21" t="inlineStr">
        <is>
          <t>10:55</t>
        </is>
      </c>
      <c r="AK14" s="21" t="inlineStr">
        <is>
          <t>12:25</t>
        </is>
      </c>
      <c r="AL14" s="22" t="n">
        <v>45</v>
      </c>
      <c r="AM14" s="22" t="n">
        <v>25</v>
      </c>
      <c r="AN14" s="22" t="n">
        <v>20</v>
      </c>
      <c r="AO14" s="22" t="n">
        <v>265</v>
      </c>
      <c r="AP14" s="31" t="n">
        <v>840000</v>
      </c>
      <c r="AQ14" s="31" t="n">
        <v>0</v>
      </c>
      <c r="AR14" s="31" t="n">
        <v>0</v>
      </c>
      <c r="AS14" s="28" t="n">
        <v>150000</v>
      </c>
      <c r="AT14" s="21" t="inlineStr">
        <is>
          <t>A - SLA chặt</t>
        </is>
      </c>
      <c r="AU14" s="21" t="inlineStr">
        <is>
          <t>CR-NỘIT-04</t>
        </is>
      </c>
      <c r="AV14" s="21" t="inlineStr">
        <is>
          <t>Manual nhập điều phối</t>
        </is>
      </c>
      <c r="AW14" s="21" t="inlineStr">
        <is>
          <t>S2-C13</t>
        </is>
      </c>
      <c r="AX14" s="21" t="inlineStr">
        <is>
          <t>1.25T</t>
        </is>
      </c>
      <c r="AY14" s="21" t="inlineStr">
        <is>
          <t>Send to Clustering</t>
        </is>
      </c>
      <c r="AZ14" s="21" t="inlineStr">
        <is>
          <t>OK</t>
        </is>
      </c>
      <c r="BA14" s="21" t="inlineStr">
        <is>
          <t>Cấm tải/đường nhỏ - đã chọn xe nhỏ</t>
        </is>
      </c>
      <c r="BB14" s="21">
        <f>AM14+AN14</f>
        <v/>
      </c>
      <c r="BC14" s="21">
        <f>ROUND(W14/'03_Cost_Constraints'!$B$4*60,0)</f>
        <v/>
      </c>
      <c r="BD14" s="21">
        <f>IF(X14&lt;=500,"5 tạ",IF(X14&lt;=1250,"1.25T",IF(X14&lt;=5000,"5T",IF(X14&lt;=8000,"8T",IF(X14&lt;=15000,"3 chân","4 chân")))))</f>
        <v/>
      </c>
      <c r="BE14" s="21">
        <f>IF((BB14+BC14)&lt;=AO14,"OK","Risk")</f>
        <v/>
      </c>
      <c r="BF14" s="21">
        <f>IF(AND(AZ14="OK",BE14="OK"),"Ready","Review")</f>
        <v/>
      </c>
      <c r="BG14" s="21" t="n"/>
    </row>
    <row r="15" ht="18" customHeight="1" s="17">
      <c r="A15" s="23" t="inlineStr">
        <is>
          <t>S2</t>
        </is>
      </c>
      <c r="B15" s="23" t="inlineStr">
        <is>
          <t>2026-06-05</t>
        </is>
      </c>
      <c r="C15" s="23" t="inlineStr">
        <is>
          <t>S2-ORD-014</t>
        </is>
      </c>
      <c r="D15" s="23" t="inlineStr">
        <is>
          <t>Sabeco</t>
        </is>
      </c>
      <c r="E15" s="23" t="inlineStr">
        <is>
          <t>VINMART Trung Hòa</t>
        </is>
      </c>
      <c r="F15" s="23" t="inlineStr">
        <is>
          <t>ST</t>
        </is>
      </c>
      <c r="G15" s="23" t="inlineStr">
        <is>
          <t>CHCA</t>
        </is>
      </c>
      <c r="H15" s="23" t="inlineStr">
        <is>
          <t>Bia lon Saigon Chill</t>
        </is>
      </c>
      <c r="I15" s="23" t="inlineStr">
        <is>
          <t>PK_LINFOX_VSIP</t>
        </is>
      </c>
      <c r="J15" s="23" t="inlineStr">
        <is>
          <t>Kho Linfox KCN VSIP Bắc Ninh</t>
        </is>
      </c>
      <c r="K15" s="23" t="inlineStr">
        <is>
          <t>Bắc Ninh</t>
        </is>
      </c>
      <c r="L15" s="23" t="inlineStr">
        <is>
          <t>Từ Sơn</t>
        </is>
      </c>
      <c r="M15" s="24" t="n">
        <v>21.082707</v>
      </c>
      <c r="N15" s="24" t="n">
        <v>105.997949</v>
      </c>
      <c r="O15" s="23" t="inlineStr">
        <is>
          <t>DL_HN_TRUNGHOA</t>
        </is>
      </c>
      <c r="P15" s="23" t="inlineStr">
        <is>
          <t>VINMART Trung Hòa</t>
        </is>
      </c>
      <c r="Q15" s="23" t="inlineStr">
        <is>
          <t>Hà Nội</t>
        </is>
      </c>
      <c r="R15" s="23" t="inlineStr">
        <is>
          <t>Cầu Giấy</t>
        </is>
      </c>
      <c r="S15" s="24" t="n">
        <v>21.007288</v>
      </c>
      <c r="T15" s="24" t="n">
        <v>105.80157</v>
      </c>
      <c r="U15" s="23" t="inlineStr">
        <is>
          <t>Nội thành Hà Nội</t>
        </is>
      </c>
      <c r="V15" s="23" t="inlineStr">
        <is>
          <t>Nội thành Hà Nội</t>
        </is>
      </c>
      <c r="W15" s="33" t="n">
        <v>36.1</v>
      </c>
      <c r="X15" s="32" t="n">
        <v>980</v>
      </c>
      <c r="Y15" s="33" t="n">
        <v>2.37</v>
      </c>
      <c r="Z15" s="32" t="n">
        <v>1</v>
      </c>
      <c r="AA15" s="23" t="inlineStr">
        <is>
          <t>1.25T</t>
        </is>
      </c>
      <c r="AB15" s="23" t="inlineStr">
        <is>
          <t>1.25T</t>
        </is>
      </c>
      <c r="AC15" s="23" t="inlineStr">
        <is>
          <t>No</t>
        </is>
      </c>
      <c r="AD15" s="23" t="inlineStr">
        <is>
          <t>Yes</t>
        </is>
      </c>
      <c r="AE15" s="23" t="inlineStr">
        <is>
          <t>No</t>
        </is>
      </c>
      <c r="AF15" s="23" t="inlineStr">
        <is>
          <t>Yes</t>
        </is>
      </c>
      <c r="AG15" s="23" t="inlineStr">
        <is>
          <t>Khung giờ giao sát, bãi giao hẹp</t>
        </is>
      </c>
      <c r="AH15" s="23" t="inlineStr">
        <is>
          <t>07:00</t>
        </is>
      </c>
      <c r="AI15" s="23" t="inlineStr">
        <is>
          <t>09:30</t>
        </is>
      </c>
      <c r="AJ15" s="23" t="inlineStr">
        <is>
          <t>10:16</t>
        </is>
      </c>
      <c r="AK15" s="23" t="inlineStr">
        <is>
          <t>12:46</t>
        </is>
      </c>
      <c r="AL15" s="24" t="n">
        <v>30</v>
      </c>
      <c r="AM15" s="24" t="n">
        <v>25</v>
      </c>
      <c r="AN15" s="24" t="n">
        <v>20</v>
      </c>
      <c r="AO15" s="24" t="n">
        <v>346</v>
      </c>
      <c r="AP15" s="35" t="n">
        <v>760000</v>
      </c>
      <c r="AQ15" s="35" t="n">
        <v>0</v>
      </c>
      <c r="AR15" s="35" t="n">
        <v>0</v>
      </c>
      <c r="AS15" s="32" t="n">
        <v>150000</v>
      </c>
      <c r="AT15" s="23" t="inlineStr">
        <is>
          <t>A - SLA chặt</t>
        </is>
      </c>
      <c r="AU15" s="23" t="inlineStr">
        <is>
          <t>CR-NỘIT-05</t>
        </is>
      </c>
      <c r="AV15" s="23" t="inlineStr">
        <is>
          <t>Excel khách hàng</t>
        </is>
      </c>
      <c r="AW15" s="23" t="inlineStr">
        <is>
          <t>S2-C14</t>
        </is>
      </c>
      <c r="AX15" s="23" t="inlineStr">
        <is>
          <t>1.25T</t>
        </is>
      </c>
      <c r="AY15" s="23" t="inlineStr">
        <is>
          <t>Send to Clustering</t>
        </is>
      </c>
      <c r="AZ15" s="23" t="inlineStr">
        <is>
          <t>OK</t>
        </is>
      </c>
      <c r="BA15" s="23" t="inlineStr">
        <is>
          <t>Cấm tải/đường nhỏ - đã chọn xe nhỏ</t>
        </is>
      </c>
      <c r="BB15" s="23">
        <f>AM15+AN15</f>
        <v/>
      </c>
      <c r="BC15" s="23">
        <f>ROUND(W15/'03_Cost_Constraints'!$B$4*60,0)</f>
        <v/>
      </c>
      <c r="BD15" s="23">
        <f>IF(X15&lt;=500,"5 tạ",IF(X15&lt;=1250,"1.25T",IF(X15&lt;=5000,"5T",IF(X15&lt;=8000,"8T",IF(X15&lt;=15000,"3 chân","4 chân")))))</f>
        <v/>
      </c>
      <c r="BE15" s="23">
        <f>IF((BB15+BC15)&lt;=AO15,"OK","Risk")</f>
        <v/>
      </c>
      <c r="BF15" s="23">
        <f>IF(AND(AZ15="OK",BE15="OK"),"Ready","Review")</f>
        <v/>
      </c>
      <c r="BG15" s="23" t="n"/>
    </row>
    <row r="16" ht="18" customHeight="1" s="17">
      <c r="A16" s="21" t="inlineStr">
        <is>
          <t>S2</t>
        </is>
      </c>
      <c r="B16" s="21" t="inlineStr">
        <is>
          <t>2026-06-05</t>
        </is>
      </c>
      <c r="C16" s="21" t="inlineStr">
        <is>
          <t>S2-ORD-015</t>
        </is>
      </c>
      <c r="D16" s="21" t="inlineStr">
        <is>
          <t>Acecook</t>
        </is>
      </c>
      <c r="E16" s="21" t="inlineStr">
        <is>
          <t>VINMART Royal City</t>
        </is>
      </c>
      <c r="F16" s="21" t="inlineStr">
        <is>
          <t>MT</t>
        </is>
      </c>
      <c r="G16" s="21" t="inlineStr">
        <is>
          <t>FMCG</t>
        </is>
      </c>
      <c r="H16" s="21" t="inlineStr">
        <is>
          <t>Hàng tiêu dùng nhanh hỗn hợp</t>
        </is>
      </c>
      <c r="I16" s="21" t="inlineStr">
        <is>
          <t>PK_HPL_LB</t>
        </is>
      </c>
      <c r="J16" s="21" t="inlineStr">
        <is>
          <t>HPL Depot Long Biên - 20 Thạch Bàn</t>
        </is>
      </c>
      <c r="K16" s="21" t="inlineStr">
        <is>
          <t>Hà Nội</t>
        </is>
      </c>
      <c r="L16" s="21" t="inlineStr">
        <is>
          <t>Long Biên</t>
        </is>
      </c>
      <c r="M16" s="22" t="n">
        <v>21.0261548385</v>
      </c>
      <c r="N16" s="22" t="n">
        <v>105.914182238</v>
      </c>
      <c r="O16" s="21" t="inlineStr">
        <is>
          <t>DL_HN_ROYAL</t>
        </is>
      </c>
      <c r="P16" s="21" t="inlineStr">
        <is>
          <t>VINMART Royal City</t>
        </is>
      </c>
      <c r="Q16" s="21" t="inlineStr">
        <is>
          <t>Hà Nội</t>
        </is>
      </c>
      <c r="R16" s="21" t="inlineStr">
        <is>
          <t>Thanh Xuân</t>
        </is>
      </c>
      <c r="S16" s="22" t="n">
        <v>21.003388</v>
      </c>
      <c r="T16" s="22" t="n">
        <v>105.816212</v>
      </c>
      <c r="U16" s="21" t="inlineStr">
        <is>
          <t>Nội thành Hà Nội</t>
        </is>
      </c>
      <c r="V16" s="21" t="inlineStr">
        <is>
          <t>Nội thành Hà Nội</t>
        </is>
      </c>
      <c r="W16" s="29" t="n">
        <v>21</v>
      </c>
      <c r="X16" s="28" t="n">
        <v>1391</v>
      </c>
      <c r="Y16" s="29" t="n">
        <v>5.23</v>
      </c>
      <c r="Z16" s="28" t="n">
        <v>4</v>
      </c>
      <c r="AA16" s="21" t="inlineStr">
        <is>
          <t>5T</t>
        </is>
      </c>
      <c r="AB16" s="21" t="inlineStr">
        <is>
          <t>1.25T</t>
        </is>
      </c>
      <c r="AC16" s="21" t="inlineStr">
        <is>
          <t>No</t>
        </is>
      </c>
      <c r="AD16" s="21" t="inlineStr">
        <is>
          <t>No</t>
        </is>
      </c>
      <c r="AE16" s="21" t="inlineStr">
        <is>
          <t>Yes</t>
        </is>
      </c>
      <c r="AF16" s="21" t="inlineStr">
        <is>
          <t>Yes</t>
        </is>
      </c>
      <c r="AG16" s="21" t="inlineStr">
        <is>
          <t>Hầm trung tâm thương mại</t>
        </is>
      </c>
      <c r="AH16" s="21" t="inlineStr">
        <is>
          <t>07:00</t>
        </is>
      </c>
      <c r="AI16" s="21" t="inlineStr">
        <is>
          <t>09:30</t>
        </is>
      </c>
      <c r="AJ16" s="21" t="inlineStr">
        <is>
          <t>10:06</t>
        </is>
      </c>
      <c r="AK16" s="21" t="inlineStr">
        <is>
          <t>13:06</t>
        </is>
      </c>
      <c r="AL16" s="22" t="n">
        <v>45</v>
      </c>
      <c r="AM16" s="22" t="n">
        <v>40</v>
      </c>
      <c r="AN16" s="22" t="n">
        <v>45</v>
      </c>
      <c r="AO16" s="22" t="n">
        <v>366</v>
      </c>
      <c r="AP16" s="31" t="n">
        <v>730000</v>
      </c>
      <c r="AQ16" s="31" t="n">
        <v>150000</v>
      </c>
      <c r="AR16" s="31" t="n">
        <v>120000</v>
      </c>
      <c r="AS16" s="28" t="n">
        <v>80000</v>
      </c>
      <c r="AT16" s="21" t="inlineStr">
        <is>
          <t>C - Có thể thương lượng</t>
        </is>
      </c>
      <c r="AU16" s="21" t="inlineStr">
        <is>
          <t>CR-NỘIT-01</t>
        </is>
      </c>
      <c r="AV16" s="21" t="inlineStr">
        <is>
          <t>Hệ thống khách hàng</t>
        </is>
      </c>
      <c r="AW16" s="21" t="inlineStr">
        <is>
          <t>S2-C15</t>
        </is>
      </c>
      <c r="AX16" s="21" t="inlineStr">
        <is>
          <t>Split/Chuyển tải</t>
        </is>
      </c>
      <c r="AY16" s="21" t="inlineStr">
        <is>
          <t>Split Order/Chuyển tải hoặc xin xe nhỏ nhiều chuyến</t>
        </is>
      </c>
      <c r="AZ16" s="21" t="inlineStr">
        <is>
          <t>Review</t>
        </is>
      </c>
      <c r="BA16" s="21" t="inlineStr">
        <is>
          <t>Vehicle Mismatch</t>
        </is>
      </c>
      <c r="BB16" s="21">
        <f>AM16+AN16</f>
        <v/>
      </c>
      <c r="BC16" s="21">
        <f>ROUND(W16/'03_Cost_Constraints'!$B$4*60,0)</f>
        <v/>
      </c>
      <c r="BD16" s="21">
        <f>IF(X16&lt;=500,"5 tạ",IF(X16&lt;=1250,"1.25T",IF(X16&lt;=5000,"5T",IF(X16&lt;=8000,"8T",IF(X16&lt;=15000,"3 chân","4 chân")))))</f>
        <v/>
      </c>
      <c r="BE16" s="21">
        <f>IF((BB16+BC16)&lt;=AO16,"OK","Risk")</f>
        <v/>
      </c>
      <c r="BF16" s="21">
        <f>IF(AND(AZ16="OK",BE16="OK"),"Ready","Review")</f>
        <v/>
      </c>
      <c r="BG16" s="21" t="n"/>
    </row>
    <row r="17" ht="18" customHeight="1" s="17">
      <c r="A17" s="23" t="inlineStr">
        <is>
          <t>S2</t>
        </is>
      </c>
      <c r="B17" s="23" t="inlineStr">
        <is>
          <t>2026-06-05</t>
        </is>
      </c>
      <c r="C17" s="23" t="inlineStr">
        <is>
          <t>S2-ORD-016</t>
        </is>
      </c>
      <c r="D17" s="23" t="inlineStr">
        <is>
          <t>Masan</t>
        </is>
      </c>
      <c r="E17" s="23" t="inlineStr">
        <is>
          <t>Siêu thị Hải Dương</t>
        </is>
      </c>
      <c r="F17" s="23" t="inlineStr">
        <is>
          <t>ST</t>
        </is>
      </c>
      <c r="G17" s="23" t="inlineStr">
        <is>
          <t>FMCG</t>
        </is>
      </c>
      <c r="H17" s="23" t="inlineStr">
        <is>
          <t>Hàng tiêu dùng nhanh hỗn hợp</t>
        </is>
      </c>
      <c r="I17" s="23" t="inlineStr">
        <is>
          <t>PK_HP_DINHVU</t>
        </is>
      </c>
      <c r="J17" s="23" t="inlineStr">
        <is>
          <t>Kho Hải Phòng - Đình Vũ</t>
        </is>
      </c>
      <c r="K17" s="23" t="inlineStr">
        <is>
          <t>Hải Phòng</t>
        </is>
      </c>
      <c r="L17" s="23" t="inlineStr">
        <is>
          <t>Hải An</t>
        </is>
      </c>
      <c r="M17" s="24" t="n">
        <v>20.8425</v>
      </c>
      <c r="N17" s="24" t="n">
        <v>106.77</v>
      </c>
      <c r="O17" s="23" t="inlineStr">
        <is>
          <t>DL_HD_SIEUTHI</t>
        </is>
      </c>
      <c r="P17" s="23" t="inlineStr">
        <is>
          <t>Siêu thị Hải Dương</t>
        </is>
      </c>
      <c r="Q17" s="23" t="inlineStr">
        <is>
          <t>Hải Phòng</t>
        </is>
      </c>
      <c r="R17" s="23" t="inlineStr">
        <is>
          <t>Hải Dương</t>
        </is>
      </c>
      <c r="S17" s="24" t="n">
        <v>20.937341</v>
      </c>
      <c r="T17" s="24" t="n">
        <v>106.314555</v>
      </c>
      <c r="U17" s="23" t="inlineStr">
        <is>
          <t>Đông Bắc</t>
        </is>
      </c>
      <c r="V17" s="23" t="inlineStr">
        <is>
          <t>Đông Bắc</t>
        </is>
      </c>
      <c r="W17" s="33" t="n">
        <v>69.09999999999999</v>
      </c>
      <c r="X17" s="32" t="n">
        <v>1817</v>
      </c>
      <c r="Y17" s="33" t="n">
        <v>7.07</v>
      </c>
      <c r="Z17" s="32" t="n">
        <v>5</v>
      </c>
      <c r="AA17" s="23" t="inlineStr">
        <is>
          <t>5T</t>
        </is>
      </c>
      <c r="AB17" s="23" t="inlineStr">
        <is>
          <t>8T</t>
        </is>
      </c>
      <c r="AC17" s="23" t="inlineStr">
        <is>
          <t>No</t>
        </is>
      </c>
      <c r="AD17" s="23" t="inlineStr">
        <is>
          <t>No</t>
        </is>
      </c>
      <c r="AE17" s="23" t="inlineStr">
        <is>
          <t>Yes</t>
        </is>
      </c>
      <c r="AF17" s="23" t="inlineStr">
        <is>
          <t>No</t>
        </is>
      </c>
      <c r="AG17" s="23" t="inlineStr">
        <is>
          <t>Quốc lộ 5, xe 8T vào được</t>
        </is>
      </c>
      <c r="AH17" s="23" t="inlineStr">
        <is>
          <t>08:30</t>
        </is>
      </c>
      <c r="AI17" s="23" t="inlineStr">
        <is>
          <t>10:30</t>
        </is>
      </c>
      <c r="AJ17" s="23" t="inlineStr">
        <is>
          <t>11:02</t>
        </is>
      </c>
      <c r="AK17" s="23" t="inlineStr">
        <is>
          <t>14:02</t>
        </is>
      </c>
      <c r="AL17" s="24" t="n">
        <v>30</v>
      </c>
      <c r="AM17" s="24" t="n">
        <v>40</v>
      </c>
      <c r="AN17" s="24" t="n">
        <v>35</v>
      </c>
      <c r="AO17" s="24" t="n">
        <v>332</v>
      </c>
      <c r="AP17" s="35" t="n">
        <v>1250000</v>
      </c>
      <c r="AQ17" s="35" t="n">
        <v>0</v>
      </c>
      <c r="AR17" s="35" t="n">
        <v>0</v>
      </c>
      <c r="AS17" s="32" t="n">
        <v>80000</v>
      </c>
      <c r="AT17" s="23" t="inlineStr">
        <is>
          <t>C - Có thể thương lượng</t>
        </is>
      </c>
      <c r="AU17" s="23" t="inlineStr">
        <is>
          <t>CR-ĐÔNG-02</t>
        </is>
      </c>
      <c r="AV17" s="23" t="inlineStr">
        <is>
          <t>Zalo/Email plan 17:00</t>
        </is>
      </c>
      <c r="AW17" s="23" t="inlineStr">
        <is>
          <t>S2-C16</t>
        </is>
      </c>
      <c r="AX17" s="23" t="inlineStr">
        <is>
          <t>5T</t>
        </is>
      </c>
      <c r="AY17" s="23" t="inlineStr">
        <is>
          <t>Send to Clustering</t>
        </is>
      </c>
      <c r="AZ17" s="23" t="inlineStr">
        <is>
          <t>OK</t>
        </is>
      </c>
      <c r="BA17" s="23" t="inlineStr">
        <is>
          <t>OK</t>
        </is>
      </c>
      <c r="BB17" s="23">
        <f>AM17+AN17</f>
        <v/>
      </c>
      <c r="BC17" s="23">
        <f>ROUND(W17/'03_Cost_Constraints'!$B$4*60,0)</f>
        <v/>
      </c>
      <c r="BD17" s="23">
        <f>IF(X17&lt;=500,"5 tạ",IF(X17&lt;=1250,"1.25T",IF(X17&lt;=5000,"5T",IF(X17&lt;=8000,"8T",IF(X17&lt;=15000,"3 chân","4 chân")))))</f>
        <v/>
      </c>
      <c r="BE17" s="23">
        <f>IF((BB17+BC17)&lt;=AO17,"OK","Risk")</f>
        <v/>
      </c>
      <c r="BF17" s="23">
        <f>IF(AND(AZ17="OK",BE17="OK"),"Ready","Review")</f>
        <v/>
      </c>
      <c r="BG17" s="23" t="inlineStr">
        <is>
          <t>Kế hoạch ngày hôm sau; cần chốt trước 19:00 và gửi tài xế sau duyệt</t>
        </is>
      </c>
    </row>
    <row r="18" ht="18" customHeight="1" s="17">
      <c r="A18" s="21" t="inlineStr">
        <is>
          <t>S2</t>
        </is>
      </c>
      <c r="B18" s="21" t="inlineStr">
        <is>
          <t>2026-06-05</t>
        </is>
      </c>
      <c r="C18" s="21" t="inlineStr">
        <is>
          <t>S2-ORD-017</t>
        </is>
      </c>
      <c r="D18" s="21" t="inlineStr">
        <is>
          <t>Acecook</t>
        </is>
      </c>
      <c r="E18" s="21" t="inlineStr">
        <is>
          <t>VINMART Quế Võ</t>
        </is>
      </c>
      <c r="F18" s="21" t="inlineStr">
        <is>
          <t>ST</t>
        </is>
      </c>
      <c r="G18" s="21" t="inlineStr">
        <is>
          <t>MILK</t>
        </is>
      </c>
      <c r="H18" s="21" t="inlineStr">
        <is>
          <t>Sữa hộp carton</t>
        </is>
      </c>
      <c r="I18" s="21" t="inlineStr">
        <is>
          <t>PK_HP_DINHVU</t>
        </is>
      </c>
      <c r="J18" s="21" t="inlineStr">
        <is>
          <t>Kho Hải Phòng - Đình Vũ</t>
        </is>
      </c>
      <c r="K18" s="21" t="inlineStr">
        <is>
          <t>Hải Phòng</t>
        </is>
      </c>
      <c r="L18" s="21" t="inlineStr">
        <is>
          <t>Hải An</t>
        </is>
      </c>
      <c r="M18" s="22" t="n">
        <v>20.8425</v>
      </c>
      <c r="N18" s="22" t="n">
        <v>106.77</v>
      </c>
      <c r="O18" s="21" t="inlineStr">
        <is>
          <t>DL_BN_QUEVO_01</t>
        </is>
      </c>
      <c r="P18" s="21" t="inlineStr">
        <is>
          <t>VINMART Quế Võ</t>
        </is>
      </c>
      <c r="Q18" s="21" t="inlineStr">
        <is>
          <t>Bắc Ninh</t>
        </is>
      </c>
      <c r="R18" s="21" t="inlineStr">
        <is>
          <t>Quế Võ</t>
        </is>
      </c>
      <c r="S18" s="22" t="n">
        <v>21.170139</v>
      </c>
      <c r="T18" s="22" t="n">
        <v>106.102396</v>
      </c>
      <c r="U18" s="21" t="inlineStr">
        <is>
          <t>Đông Bắc</t>
        </is>
      </c>
      <c r="V18" s="21" t="inlineStr">
        <is>
          <t>Đông Bắc</t>
        </is>
      </c>
      <c r="W18" s="29" t="n">
        <v>105</v>
      </c>
      <c r="X18" s="28" t="n">
        <v>4860</v>
      </c>
      <c r="Y18" s="29" t="n">
        <v>14.62</v>
      </c>
      <c r="Z18" s="28" t="n">
        <v>12</v>
      </c>
      <c r="AA18" s="21" t="inlineStr">
        <is>
          <t>5T</t>
        </is>
      </c>
      <c r="AB18" s="21" t="inlineStr">
        <is>
          <t>8T</t>
        </is>
      </c>
      <c r="AC18" s="21" t="inlineStr">
        <is>
          <t>No</t>
        </is>
      </c>
      <c r="AD18" s="21" t="inlineStr">
        <is>
          <t>Yes</t>
        </is>
      </c>
      <c r="AE18" s="21" t="inlineStr">
        <is>
          <t>No</t>
        </is>
      </c>
      <c r="AF18" s="21" t="inlineStr">
        <is>
          <t>No</t>
        </is>
      </c>
      <c r="AG18" s="21" t="inlineStr">
        <is>
          <t>Đường rộng, xe 5T/8T vào được</t>
        </is>
      </c>
      <c r="AH18" s="21" t="inlineStr">
        <is>
          <t>07:00</t>
        </is>
      </c>
      <c r="AI18" s="21" t="inlineStr">
        <is>
          <t>09:30</t>
        </is>
      </c>
      <c r="AJ18" s="21" t="inlineStr">
        <is>
          <t>11:20</t>
        </is>
      </c>
      <c r="AK18" s="21" t="inlineStr">
        <is>
          <t>13:20</t>
        </is>
      </c>
      <c r="AL18" s="22" t="n">
        <v>45</v>
      </c>
      <c r="AM18" s="22" t="n">
        <v>40</v>
      </c>
      <c r="AN18" s="22" t="n">
        <v>35</v>
      </c>
      <c r="AO18" s="22" t="n">
        <v>380</v>
      </c>
      <c r="AP18" s="31" t="n">
        <v>3250000</v>
      </c>
      <c r="AQ18" s="31" t="n">
        <v>0</v>
      </c>
      <c r="AR18" s="31" t="n">
        <v>0</v>
      </c>
      <c r="AS18" s="28" t="n">
        <v>80000</v>
      </c>
      <c r="AT18" s="21" t="inlineStr">
        <is>
          <t>C - Có thể thương lượng</t>
        </is>
      </c>
      <c r="AU18" s="21" t="inlineStr">
        <is>
          <t>CR-ĐÔNG-03</t>
        </is>
      </c>
      <c r="AV18" s="21" t="inlineStr">
        <is>
          <t>Manual nhập điều phối</t>
        </is>
      </c>
      <c r="AW18" s="21" t="inlineStr">
        <is>
          <t>S2-C17</t>
        </is>
      </c>
      <c r="AX18" s="21" t="inlineStr">
        <is>
          <t>5T</t>
        </is>
      </c>
      <c r="AY18" s="21" t="inlineStr">
        <is>
          <t>Send to Clustering</t>
        </is>
      </c>
      <c r="AZ18" s="21" t="inlineStr">
        <is>
          <t>OK</t>
        </is>
      </c>
      <c r="BA18" s="21" t="inlineStr">
        <is>
          <t>Empty-run &gt;100km cần tìm chuyến về</t>
        </is>
      </c>
      <c r="BB18" s="21">
        <f>AM18+AN18</f>
        <v/>
      </c>
      <c r="BC18" s="21">
        <f>ROUND(W18/'03_Cost_Constraints'!$B$4*60,0)</f>
        <v/>
      </c>
      <c r="BD18" s="21">
        <f>IF(X18&lt;=500,"5 tạ",IF(X18&lt;=1250,"1.25T",IF(X18&lt;=5000,"5T",IF(X18&lt;=8000,"8T",IF(X18&lt;=15000,"3 chân","4 chân")))))</f>
        <v/>
      </c>
      <c r="BE18" s="21">
        <f>IF((BB18+BC18)&lt;=AO18,"OK","Risk")</f>
        <v/>
      </c>
      <c r="BF18" s="21">
        <f>IF(AND(AZ18="OK",BE18="OK"),"Ready","Review")</f>
        <v/>
      </c>
      <c r="BG18" s="21" t="n"/>
    </row>
    <row r="19" ht="18" customHeight="1" s="17">
      <c r="A19" s="23" t="inlineStr">
        <is>
          <t>S2</t>
        </is>
      </c>
      <c r="B19" s="23" t="inlineStr">
        <is>
          <t>2026-06-05</t>
        </is>
      </c>
      <c r="C19" s="23" t="inlineStr">
        <is>
          <t>S2-ORD-018</t>
        </is>
      </c>
      <c r="D19" s="23" t="inlineStr">
        <is>
          <t>Linfox</t>
        </is>
      </c>
      <c r="E19" s="23" t="inlineStr">
        <is>
          <t>VINMART Trung Hòa</t>
        </is>
      </c>
      <c r="F19" s="23" t="inlineStr">
        <is>
          <t>ST</t>
        </is>
      </c>
      <c r="G19" s="23" t="inlineStr">
        <is>
          <t>SP33</t>
        </is>
      </c>
      <c r="H19" s="23" t="inlineStr">
        <is>
          <t>Bia lon Saigon Special</t>
        </is>
      </c>
      <c r="I19" s="23" t="inlineStr">
        <is>
          <t>PK_HY_MYHAO</t>
        </is>
      </c>
      <c r="J19" s="23" t="inlineStr">
        <is>
          <t>Kho/Nhà máy khách hàng Mỹ Hào</t>
        </is>
      </c>
      <c r="K19" s="23" t="inlineStr">
        <is>
          <t>Hưng Yên</t>
        </is>
      </c>
      <c r="L19" s="23" t="inlineStr">
        <is>
          <t>Mỹ Hào</t>
        </is>
      </c>
      <c r="M19" s="24" t="n">
        <v>20.9329</v>
      </c>
      <c r="N19" s="24" t="n">
        <v>106.065</v>
      </c>
      <c r="O19" s="23" t="inlineStr">
        <is>
          <t>DL_HN_TRUNGHOA</t>
        </is>
      </c>
      <c r="P19" s="23" t="inlineStr">
        <is>
          <t>VINMART Trung Hòa</t>
        </is>
      </c>
      <c r="Q19" s="23" t="inlineStr">
        <is>
          <t>Hà Nội</t>
        </is>
      </c>
      <c r="R19" s="23" t="inlineStr">
        <is>
          <t>Cầu Giấy</t>
        </is>
      </c>
      <c r="S19" s="24" t="n">
        <v>21.007288</v>
      </c>
      <c r="T19" s="24" t="n">
        <v>105.80157</v>
      </c>
      <c r="U19" s="23" t="inlineStr">
        <is>
          <t>Nội thành Hà Nội</t>
        </is>
      </c>
      <c r="V19" s="23" t="inlineStr">
        <is>
          <t>Nội thành Hà Nội</t>
        </is>
      </c>
      <c r="W19" s="33" t="n">
        <v>46.7</v>
      </c>
      <c r="X19" s="32" t="n">
        <v>1426</v>
      </c>
      <c r="Y19" s="33" t="n">
        <v>3.42</v>
      </c>
      <c r="Z19" s="32" t="n">
        <v>2</v>
      </c>
      <c r="AA19" s="23" t="inlineStr">
        <is>
          <t>5T</t>
        </is>
      </c>
      <c r="AB19" s="23" t="inlineStr">
        <is>
          <t>1.25T</t>
        </is>
      </c>
      <c r="AC19" s="23" t="inlineStr">
        <is>
          <t>No</t>
        </is>
      </c>
      <c r="AD19" s="23" t="inlineStr">
        <is>
          <t>Yes</t>
        </is>
      </c>
      <c r="AE19" s="23" t="inlineStr">
        <is>
          <t>No</t>
        </is>
      </c>
      <c r="AF19" s="23" t="inlineStr">
        <is>
          <t>Yes</t>
        </is>
      </c>
      <c r="AG19" s="23" t="inlineStr">
        <is>
          <t>Khung giờ giao sát, bãi giao hẹp</t>
        </is>
      </c>
      <c r="AH19" s="23" t="inlineStr">
        <is>
          <t>09:00</t>
        </is>
      </c>
      <c r="AI19" s="23" t="inlineStr">
        <is>
          <t>10:30</t>
        </is>
      </c>
      <c r="AJ19" s="23" t="inlineStr">
        <is>
          <t>12:50</t>
        </is>
      </c>
      <c r="AK19" s="23" t="inlineStr">
        <is>
          <t>15:20</t>
        </is>
      </c>
      <c r="AL19" s="24" t="n">
        <v>45</v>
      </c>
      <c r="AM19" s="24" t="n">
        <v>40</v>
      </c>
      <c r="AN19" s="24" t="n">
        <v>35</v>
      </c>
      <c r="AO19" s="24" t="n">
        <v>380</v>
      </c>
      <c r="AP19" s="35" t="n">
        <v>1110000</v>
      </c>
      <c r="AQ19" s="35" t="n">
        <v>0</v>
      </c>
      <c r="AR19" s="35" t="n">
        <v>0</v>
      </c>
      <c r="AS19" s="32" t="n">
        <v>80000</v>
      </c>
      <c r="AT19" s="23" t="inlineStr">
        <is>
          <t>B - Thường</t>
        </is>
      </c>
      <c r="AU19" s="23" t="inlineStr">
        <is>
          <t>CR-NỘIT-04</t>
        </is>
      </c>
      <c r="AV19" s="23" t="inlineStr">
        <is>
          <t>Excel khách hàng</t>
        </is>
      </c>
      <c r="AW19" s="23" t="inlineStr">
        <is>
          <t>S2-C17</t>
        </is>
      </c>
      <c r="AX19" s="23" t="inlineStr">
        <is>
          <t>Split/Chuyển tải</t>
        </is>
      </c>
      <c r="AY19" s="23" t="inlineStr">
        <is>
          <t>Split Order/Chuyển tải hoặc xin xe nhỏ nhiều chuyến</t>
        </is>
      </c>
      <c r="AZ19" s="23" t="inlineStr">
        <is>
          <t>Review</t>
        </is>
      </c>
      <c r="BA19" s="23" t="inlineStr">
        <is>
          <t>Vehicle Mismatch</t>
        </is>
      </c>
      <c r="BB19" s="23">
        <f>AM19+AN19</f>
        <v/>
      </c>
      <c r="BC19" s="23">
        <f>ROUND(W19/'03_Cost_Constraints'!$B$4*60,0)</f>
        <v/>
      </c>
      <c r="BD19" s="23">
        <f>IF(X19&lt;=500,"5 tạ",IF(X19&lt;=1250,"1.25T",IF(X19&lt;=5000,"5T",IF(X19&lt;=8000,"8T",IF(X19&lt;=15000,"3 chân","4 chân")))))</f>
        <v/>
      </c>
      <c r="BE19" s="23">
        <f>IF((BB19+BC19)&lt;=AO19,"OK","Risk")</f>
        <v/>
      </c>
      <c r="BF19" s="23">
        <f>IF(AND(AZ19="OK",BE19="OK"),"Ready","Review")</f>
        <v/>
      </c>
      <c r="BG19" s="23" t="n"/>
    </row>
    <row r="20" ht="18" customHeight="1" s="17">
      <c r="A20" s="21" t="inlineStr">
        <is>
          <t>S2</t>
        </is>
      </c>
      <c r="B20" s="21" t="inlineStr">
        <is>
          <t>2026-06-05</t>
        </is>
      </c>
      <c r="C20" s="21" t="inlineStr">
        <is>
          <t>S2-ORD-019</t>
        </is>
      </c>
      <c r="D20" s="21" t="inlineStr">
        <is>
          <t>Linfox</t>
        </is>
      </c>
      <c r="E20" s="21" t="inlineStr">
        <is>
          <t>VINMART Royal City</t>
        </is>
      </c>
      <c r="F20" s="21" t="inlineStr">
        <is>
          <t>MT</t>
        </is>
      </c>
      <c r="G20" s="21" t="inlineStr">
        <is>
          <t>PAT2</t>
        </is>
      </c>
      <c r="H20" s="21" t="inlineStr">
        <is>
          <t>Bia lon 333</t>
        </is>
      </c>
      <c r="I20" s="21" t="inlineStr">
        <is>
          <t>PK_HPL_LB</t>
        </is>
      </c>
      <c r="J20" s="21" t="inlineStr">
        <is>
          <t>HPL Depot Long Biên - 20 Thạch Bàn</t>
        </is>
      </c>
      <c r="K20" s="21" t="inlineStr">
        <is>
          <t>Hà Nội</t>
        </is>
      </c>
      <c r="L20" s="21" t="inlineStr">
        <is>
          <t>Long Biên</t>
        </is>
      </c>
      <c r="M20" s="22" t="n">
        <v>21.0261548385</v>
      </c>
      <c r="N20" s="22" t="n">
        <v>105.914182238</v>
      </c>
      <c r="O20" s="21" t="inlineStr">
        <is>
          <t>DL_HN_ROYAL</t>
        </is>
      </c>
      <c r="P20" s="21" t="inlineStr">
        <is>
          <t>VINMART Royal City</t>
        </is>
      </c>
      <c r="Q20" s="21" t="inlineStr">
        <is>
          <t>Hà Nội</t>
        </is>
      </c>
      <c r="R20" s="21" t="inlineStr">
        <is>
          <t>Thanh Xuân</t>
        </is>
      </c>
      <c r="S20" s="22" t="n">
        <v>21.003388</v>
      </c>
      <c r="T20" s="22" t="n">
        <v>105.816212</v>
      </c>
      <c r="U20" s="21" t="inlineStr">
        <is>
          <t>Nội thành Hà Nội</t>
        </is>
      </c>
      <c r="V20" s="21" t="inlineStr">
        <is>
          <t>Nội thành Hà Nội</t>
        </is>
      </c>
      <c r="W20" s="29" t="n">
        <v>20.9</v>
      </c>
      <c r="X20" s="28" t="n">
        <v>803</v>
      </c>
      <c r="Y20" s="29" t="n">
        <v>2.22</v>
      </c>
      <c r="Z20" s="28" t="n">
        <v>1</v>
      </c>
      <c r="AA20" s="21" t="inlineStr">
        <is>
          <t>1.25T</t>
        </is>
      </c>
      <c r="AB20" s="21" t="inlineStr">
        <is>
          <t>1.25T</t>
        </is>
      </c>
      <c r="AC20" s="21" t="inlineStr">
        <is>
          <t>No</t>
        </is>
      </c>
      <c r="AD20" s="21" t="inlineStr">
        <is>
          <t>Yes</t>
        </is>
      </c>
      <c r="AE20" s="21" t="inlineStr">
        <is>
          <t>No</t>
        </is>
      </c>
      <c r="AF20" s="21" t="inlineStr">
        <is>
          <t>Yes</t>
        </is>
      </c>
      <c r="AG20" s="21" t="inlineStr">
        <is>
          <t>Hầm trung tâm thương mại</t>
        </is>
      </c>
      <c r="AH20" s="21" t="inlineStr">
        <is>
          <t>08:00</t>
        </is>
      </c>
      <c r="AI20" s="21" t="inlineStr">
        <is>
          <t>10:00</t>
        </is>
      </c>
      <c r="AJ20" s="21" t="inlineStr">
        <is>
          <t>10:20</t>
        </is>
      </c>
      <c r="AK20" s="21" t="inlineStr">
        <is>
          <t>12:50</t>
        </is>
      </c>
      <c r="AL20" s="22" t="n">
        <v>45</v>
      </c>
      <c r="AM20" s="22" t="n">
        <v>25</v>
      </c>
      <c r="AN20" s="22" t="n">
        <v>30</v>
      </c>
      <c r="AO20" s="22" t="n">
        <v>290</v>
      </c>
      <c r="AP20" s="31" t="n">
        <v>870000</v>
      </c>
      <c r="AQ20" s="31" t="n">
        <v>0</v>
      </c>
      <c r="AR20" s="31" t="n">
        <v>120000</v>
      </c>
      <c r="AS20" s="28" t="n">
        <v>80000</v>
      </c>
      <c r="AT20" s="21" t="inlineStr">
        <is>
          <t>C - Có thể thương lượng</t>
        </is>
      </c>
      <c r="AU20" s="21" t="inlineStr">
        <is>
          <t>CR-NỘIT-05</t>
        </is>
      </c>
      <c r="AV20" s="21" t="inlineStr">
        <is>
          <t>Hệ thống khách hàng</t>
        </is>
      </c>
      <c r="AW20" s="21" t="inlineStr">
        <is>
          <t>S2-C19</t>
        </is>
      </c>
      <c r="AX20" s="21" t="inlineStr">
        <is>
          <t>1.25T</t>
        </is>
      </c>
      <c r="AY20" s="21" t="inlineStr">
        <is>
          <t>Send to Clustering</t>
        </is>
      </c>
      <c r="AZ20" s="21" t="inlineStr">
        <is>
          <t>OK</t>
        </is>
      </c>
      <c r="BA20" s="21" t="inlineStr">
        <is>
          <t>Cấm tải/đường nhỏ - đã chọn xe nhỏ</t>
        </is>
      </c>
      <c r="BB20" s="21">
        <f>AM20+AN20</f>
        <v/>
      </c>
      <c r="BC20" s="21">
        <f>ROUND(W20/'03_Cost_Constraints'!$B$4*60,0)</f>
        <v/>
      </c>
      <c r="BD20" s="21">
        <f>IF(X20&lt;=500,"5 tạ",IF(X20&lt;=1250,"1.25T",IF(X20&lt;=5000,"5T",IF(X20&lt;=8000,"8T",IF(X20&lt;=15000,"3 chân","4 chân")))))</f>
        <v/>
      </c>
      <c r="BE20" s="21">
        <f>IF((BB20+BC20)&lt;=AO20,"OK","Risk")</f>
        <v/>
      </c>
      <c r="BF20" s="21">
        <f>IF(AND(AZ20="OK",BE20="OK"),"Ready","Review")</f>
        <v/>
      </c>
      <c r="BG20" s="21" t="n"/>
    </row>
    <row r="21" ht="18" customHeight="1" s="17">
      <c r="A21" s="23" t="inlineStr">
        <is>
          <t>S2</t>
        </is>
      </c>
      <c r="B21" s="23" t="inlineStr">
        <is>
          <t>2026-06-05</t>
        </is>
      </c>
      <c r="C21" s="23" t="inlineStr">
        <is>
          <t>S2-ORD-020</t>
        </is>
      </c>
      <c r="D21" s="23" t="inlineStr">
        <is>
          <t>Unilever</t>
        </is>
      </c>
      <c r="E21" s="23" t="inlineStr">
        <is>
          <t>Siêu thị Thái Bình</t>
        </is>
      </c>
      <c r="F21" s="23" t="inlineStr">
        <is>
          <t>ST</t>
        </is>
      </c>
      <c r="G21" s="23" t="inlineStr">
        <is>
          <t>LASG</t>
        </is>
      </c>
      <c r="H21" s="23" t="inlineStr">
        <is>
          <t>Bia lon Saigon Lager 330ml</t>
        </is>
      </c>
      <c r="I21" s="23" t="inlineStr">
        <is>
          <t>PK_HPL_LB</t>
        </is>
      </c>
      <c r="J21" s="23" t="inlineStr">
        <is>
          <t>HPL Depot Long Biên - 20 Thạch Bàn</t>
        </is>
      </c>
      <c r="K21" s="23" t="inlineStr">
        <is>
          <t>Hà Nội</t>
        </is>
      </c>
      <c r="L21" s="23" t="inlineStr">
        <is>
          <t>Long Biên</t>
        </is>
      </c>
      <c r="M21" s="24" t="n">
        <v>21.0261548385</v>
      </c>
      <c r="N21" s="24" t="n">
        <v>105.914182238</v>
      </c>
      <c r="O21" s="23" t="inlineStr">
        <is>
          <t>DL_TB_SIEUTHI</t>
        </is>
      </c>
      <c r="P21" s="23" t="inlineStr">
        <is>
          <t>Siêu thị Thái Bình</t>
        </is>
      </c>
      <c r="Q21" s="23" t="inlineStr">
        <is>
          <t>Hưng Yên</t>
        </is>
      </c>
      <c r="R21" s="23" t="inlineStr">
        <is>
          <t>Thái Bình</t>
        </is>
      </c>
      <c r="S21" s="24" t="n">
        <v>20.446344</v>
      </c>
      <c r="T21" s="24" t="n">
        <v>106.336582</v>
      </c>
      <c r="U21" s="23" t="inlineStr">
        <is>
          <t>Đông Nam Hà Nội</t>
        </is>
      </c>
      <c r="V21" s="23" t="inlineStr">
        <is>
          <t>Đông Nam Hà Nội</t>
        </is>
      </c>
      <c r="W21" s="33" t="n">
        <v>110.6</v>
      </c>
      <c r="X21" s="32" t="n">
        <v>3715</v>
      </c>
      <c r="Y21" s="33" t="n">
        <v>9.81</v>
      </c>
      <c r="Z21" s="32" t="n">
        <v>8</v>
      </c>
      <c r="AA21" s="23" t="inlineStr">
        <is>
          <t>5T</t>
        </is>
      </c>
      <c r="AB21" s="23" t="inlineStr">
        <is>
          <t>8T</t>
        </is>
      </c>
      <c r="AC21" s="23" t="inlineStr">
        <is>
          <t>No</t>
        </is>
      </c>
      <c r="AD21" s="23" t="inlineStr">
        <is>
          <t>Yes</t>
        </is>
      </c>
      <c r="AE21" s="23" t="inlineStr">
        <is>
          <t>No</t>
        </is>
      </c>
      <c r="AF21" s="23" t="inlineStr">
        <is>
          <t>No</t>
        </is>
      </c>
      <c r="AG21" s="23" t="inlineStr">
        <is>
          <t>Ngoại thành, xe 5T/8T</t>
        </is>
      </c>
      <c r="AH21" s="23" t="inlineStr">
        <is>
          <t>08:00</t>
        </is>
      </c>
      <c r="AI21" s="23" t="inlineStr">
        <is>
          <t>10:00</t>
        </is>
      </c>
      <c r="AJ21" s="23" t="inlineStr">
        <is>
          <t>12:27</t>
        </is>
      </c>
      <c r="AK21" s="23" t="inlineStr">
        <is>
          <t>14:27</t>
        </is>
      </c>
      <c r="AL21" s="24" t="n">
        <v>45</v>
      </c>
      <c r="AM21" s="24" t="n">
        <v>40</v>
      </c>
      <c r="AN21" s="24" t="n">
        <v>35</v>
      </c>
      <c r="AO21" s="24" t="n">
        <v>387</v>
      </c>
      <c r="AP21" s="35" t="n">
        <v>2730000</v>
      </c>
      <c r="AQ21" s="35" t="n">
        <v>0</v>
      </c>
      <c r="AR21" s="35" t="n">
        <v>0</v>
      </c>
      <c r="AS21" s="32" t="n">
        <v>150000</v>
      </c>
      <c r="AT21" s="23" t="inlineStr">
        <is>
          <t>A - SLA chặt</t>
        </is>
      </c>
      <c r="AU21" s="23" t="inlineStr">
        <is>
          <t>CR-ĐÔNG-01</t>
        </is>
      </c>
      <c r="AV21" s="23" t="inlineStr">
        <is>
          <t>Zalo/Email plan 17:00</t>
        </is>
      </c>
      <c r="AW21" s="23" t="inlineStr">
        <is>
          <t>S2-C20</t>
        </is>
      </c>
      <c r="AX21" s="23" t="inlineStr">
        <is>
          <t>5T</t>
        </is>
      </c>
      <c r="AY21" s="23" t="inlineStr">
        <is>
          <t>Send to Clustering</t>
        </is>
      </c>
      <c r="AZ21" s="23" t="inlineStr">
        <is>
          <t>OK</t>
        </is>
      </c>
      <c r="BA21" s="23" t="inlineStr">
        <is>
          <t>Empty-run &gt;100km cần tìm chuyến về</t>
        </is>
      </c>
      <c r="BB21" s="23">
        <f>AM21+AN21</f>
        <v/>
      </c>
      <c r="BC21" s="23">
        <f>ROUND(W21/'03_Cost_Constraints'!$B$4*60,0)</f>
        <v/>
      </c>
      <c r="BD21" s="23">
        <f>IF(X21&lt;=500,"5 tạ",IF(X21&lt;=1250,"1.25T",IF(X21&lt;=5000,"5T",IF(X21&lt;=8000,"8T",IF(X21&lt;=15000,"3 chân","4 chân")))))</f>
        <v/>
      </c>
      <c r="BE21" s="23">
        <f>IF((BB21+BC21)&lt;=AO21,"OK","Risk")</f>
        <v/>
      </c>
      <c r="BF21" s="23">
        <f>IF(AND(AZ21="OK",BE21="OK"),"Ready","Review")</f>
        <v/>
      </c>
      <c r="BG21" s="23" t="inlineStr">
        <is>
          <t>Kế hoạch ngày hôm sau; cần chốt trước 19:00 và gửi tài xế sau duyệt</t>
        </is>
      </c>
    </row>
    <row r="22" ht="18" customHeight="1" s="17">
      <c r="A22" s="21" t="inlineStr">
        <is>
          <t>S2</t>
        </is>
      </c>
      <c r="B22" s="21" t="inlineStr">
        <is>
          <t>2026-06-05</t>
        </is>
      </c>
      <c r="C22" s="21" t="inlineStr">
        <is>
          <t>S2-ORD-021</t>
        </is>
      </c>
      <c r="D22" s="21" t="inlineStr">
        <is>
          <t>VinCommerce</t>
        </is>
      </c>
      <c r="E22" s="21" t="inlineStr">
        <is>
          <t>BHX Thanh Hóa - Kho DC Quảng Xương</t>
        </is>
      </c>
      <c r="F22" s="21" t="inlineStr">
        <is>
          <t>DC</t>
        </is>
      </c>
      <c r="G22" s="21" t="inlineStr">
        <is>
          <t>EXPL</t>
        </is>
      </c>
      <c r="H22" s="21" t="inlineStr">
        <is>
          <t>Bia lon Saigon Export</t>
        </is>
      </c>
      <c r="I22" s="21" t="inlineStr">
        <is>
          <t>PK_HPL_LB</t>
        </is>
      </c>
      <c r="J22" s="21" t="inlineStr">
        <is>
          <t>HPL Depot Long Biên - 20 Thạch Bàn</t>
        </is>
      </c>
      <c r="K22" s="21" t="inlineStr">
        <is>
          <t>Hà Nội</t>
        </is>
      </c>
      <c r="L22" s="21" t="inlineStr">
        <is>
          <t>Long Biên</t>
        </is>
      </c>
      <c r="M22" s="22" t="n">
        <v>21.0261548385</v>
      </c>
      <c r="N22" s="22" t="n">
        <v>105.914182238</v>
      </c>
      <c r="O22" s="21" t="inlineStr">
        <is>
          <t>DL_TH_BHX_QX</t>
        </is>
      </c>
      <c r="P22" s="21" t="inlineStr">
        <is>
          <t>BHX Thanh Hóa - Kho DC Quảng Xương</t>
        </is>
      </c>
      <c r="Q22" s="21" t="inlineStr">
        <is>
          <t>Thanh Hóa</t>
        </is>
      </c>
      <c r="R22" s="21" t="inlineStr">
        <is>
          <t>Quảng Xương</t>
        </is>
      </c>
      <c r="S22" s="22" t="n">
        <v>19.731</v>
      </c>
      <c r="T22" s="22" t="n">
        <v>105.815</v>
      </c>
      <c r="U22" s="21" t="inlineStr">
        <is>
          <t>Bắc Trung Bộ</t>
        </is>
      </c>
      <c r="V22" s="21" t="inlineStr">
        <is>
          <t>Bắc Trung Bộ</t>
        </is>
      </c>
      <c r="W22" s="29" t="n">
        <v>187.4</v>
      </c>
      <c r="X22" s="28" t="n">
        <v>11928</v>
      </c>
      <c r="Y22" s="29" t="n">
        <v>33.95</v>
      </c>
      <c r="Z22" s="28" t="n">
        <v>28</v>
      </c>
      <c r="AA22" s="21" t="inlineStr">
        <is>
          <t>3 chân</t>
        </is>
      </c>
      <c r="AB22" s="21" t="inlineStr">
        <is>
          <t>3 chân</t>
        </is>
      </c>
      <c r="AC22" s="21" t="inlineStr">
        <is>
          <t>No</t>
        </is>
      </c>
      <c r="AD22" s="21" t="inlineStr">
        <is>
          <t>No</t>
        </is>
      </c>
      <c r="AE22" s="21" t="inlineStr">
        <is>
          <t>Yes</t>
        </is>
      </c>
      <c r="AF22" s="21" t="inlineStr">
        <is>
          <t>No</t>
        </is>
      </c>
      <c r="AG22" s="21" t="inlineStr">
        <is>
          <t>DC có thể nhận xe 8T/3 chân</t>
        </is>
      </c>
      <c r="AH22" s="21" t="inlineStr">
        <is>
          <t>07:00</t>
        </is>
      </c>
      <c r="AI22" s="21" t="inlineStr">
        <is>
          <t>09:00</t>
        </is>
      </c>
      <c r="AJ22" s="21" t="inlineStr">
        <is>
          <t>14:04</t>
        </is>
      </c>
      <c r="AK22" s="21" t="inlineStr">
        <is>
          <t>16:04</t>
        </is>
      </c>
      <c r="AL22" s="22" t="n">
        <v>45</v>
      </c>
      <c r="AM22" s="22" t="n">
        <v>120</v>
      </c>
      <c r="AN22" s="22" t="n">
        <v>90</v>
      </c>
      <c r="AO22" s="22" t="n">
        <v>544</v>
      </c>
      <c r="AP22" s="31" t="n">
        <v>14210000</v>
      </c>
      <c r="AQ22" s="31" t="n">
        <v>150000</v>
      </c>
      <c r="AR22" s="31" t="n">
        <v>0</v>
      </c>
      <c r="AS22" s="28" t="n">
        <v>150000</v>
      </c>
      <c r="AT22" s="21" t="inlineStr">
        <is>
          <t>A - SLA chặt</t>
        </is>
      </c>
      <c r="AU22" s="21" t="inlineStr">
        <is>
          <t>CR-BẮCT-02</t>
        </is>
      </c>
      <c r="AV22" s="21" t="inlineStr">
        <is>
          <t>Manual nhập điều phối</t>
        </is>
      </c>
      <c r="AW22" s="21" t="inlineStr">
        <is>
          <t>S2-C21</t>
        </is>
      </c>
      <c r="AX22" s="21" t="inlineStr">
        <is>
          <t>3 chân</t>
        </is>
      </c>
      <c r="AY22" s="21" t="inlineStr">
        <is>
          <t>Send to Clustering</t>
        </is>
      </c>
      <c r="AZ22" s="21" t="inlineStr">
        <is>
          <t>OK</t>
        </is>
      </c>
      <c r="BA22" s="21" t="inlineStr">
        <is>
          <t>Empty-run &gt;100km cần tìm chuyến về</t>
        </is>
      </c>
      <c r="BB22" s="21">
        <f>AM22+AN22</f>
        <v/>
      </c>
      <c r="BC22" s="21">
        <f>ROUND(W22/'03_Cost_Constraints'!$B$4*60,0)</f>
        <v/>
      </c>
      <c r="BD22" s="21">
        <f>IF(X22&lt;=500,"5 tạ",IF(X22&lt;=1250,"1.25T",IF(X22&lt;=5000,"5T",IF(X22&lt;=8000,"8T",IF(X22&lt;=15000,"3 chân","4 chân")))))</f>
        <v/>
      </c>
      <c r="BE22" s="21">
        <f>IF((BB22+BC22)&lt;=AO22,"OK","Risk")</f>
        <v/>
      </c>
      <c r="BF22" s="21">
        <f>IF(AND(AZ22="OK",BE22="OK"),"Ready","Review")</f>
        <v/>
      </c>
      <c r="BG22" s="21" t="n"/>
    </row>
    <row r="23" ht="18" customHeight="1" s="17">
      <c r="A23" s="23" t="inlineStr">
        <is>
          <t>S2</t>
        </is>
      </c>
      <c r="B23" s="23" t="inlineStr">
        <is>
          <t>2026-06-05</t>
        </is>
      </c>
      <c r="C23" s="23" t="inlineStr">
        <is>
          <t>S2-ORD-022</t>
        </is>
      </c>
      <c r="D23" s="23" t="inlineStr">
        <is>
          <t>Sabeco</t>
        </is>
      </c>
      <c r="E23" s="23" t="inlineStr">
        <is>
          <t>VINMART Bắc Từ Liêm</t>
        </is>
      </c>
      <c r="F23" s="23" t="inlineStr">
        <is>
          <t>ST</t>
        </is>
      </c>
      <c r="G23" s="23" t="inlineStr">
        <is>
          <t>PAT2</t>
        </is>
      </c>
      <c r="H23" s="23" t="inlineStr">
        <is>
          <t>Bia lon 333</t>
        </is>
      </c>
      <c r="I23" s="23" t="inlineStr">
        <is>
          <t>PK_LINFOX_VSIP</t>
        </is>
      </c>
      <c r="J23" s="23" t="inlineStr">
        <is>
          <t>Kho Linfox KCN VSIP Bắc Ninh</t>
        </is>
      </c>
      <c r="K23" s="23" t="inlineStr">
        <is>
          <t>Bắc Ninh</t>
        </is>
      </c>
      <c r="L23" s="23" t="inlineStr">
        <is>
          <t>Từ Sơn</t>
        </is>
      </c>
      <c r="M23" s="24" t="n">
        <v>21.082707</v>
      </c>
      <c r="N23" s="24" t="n">
        <v>105.997949</v>
      </c>
      <c r="O23" s="23" t="inlineStr">
        <is>
          <t>DL_HN_BACTULIEM</t>
        </is>
      </c>
      <c r="P23" s="23" t="inlineStr">
        <is>
          <t>VINMART Bắc Từ Liêm</t>
        </is>
      </c>
      <c r="Q23" s="23" t="inlineStr">
        <is>
          <t>Hà Nội</t>
        </is>
      </c>
      <c r="R23" s="23" t="inlineStr">
        <is>
          <t>Bắc Từ Liêm</t>
        </is>
      </c>
      <c r="S23" s="24" t="n">
        <v>21.052701</v>
      </c>
      <c r="T23" s="24" t="n">
        <v>105.780729</v>
      </c>
      <c r="U23" s="23" t="inlineStr">
        <is>
          <t>Nội thành Hà Nội</t>
        </is>
      </c>
      <c r="V23" s="23" t="inlineStr">
        <is>
          <t>Nội thành Hà Nội</t>
        </is>
      </c>
      <c r="W23" s="33" t="n">
        <v>38.2</v>
      </c>
      <c r="X23" s="32" t="n">
        <v>646</v>
      </c>
      <c r="Y23" s="33" t="n">
        <v>1.19</v>
      </c>
      <c r="Z23" s="32" t="n">
        <v>1</v>
      </c>
      <c r="AA23" s="23" t="inlineStr">
        <is>
          <t>1.25T</t>
        </is>
      </c>
      <c r="AB23" s="23" t="inlineStr">
        <is>
          <t>1.25T</t>
        </is>
      </c>
      <c r="AC23" s="23" t="inlineStr">
        <is>
          <t>No</t>
        </is>
      </c>
      <c r="AD23" s="23" t="inlineStr">
        <is>
          <t>Yes</t>
        </is>
      </c>
      <c r="AE23" s="23" t="inlineStr">
        <is>
          <t>No</t>
        </is>
      </c>
      <c r="AF23" s="23" t="inlineStr">
        <is>
          <t>Yes</t>
        </is>
      </c>
      <c r="AG23" s="23" t="inlineStr">
        <is>
          <t>Nội đô, khung giờ hạn chế xe tải</t>
        </is>
      </c>
      <c r="AH23" s="23" t="inlineStr">
        <is>
          <t>08:30</t>
        </is>
      </c>
      <c r="AI23" s="23" t="inlineStr">
        <is>
          <t>11:00</t>
        </is>
      </c>
      <c r="AJ23" s="23" t="inlineStr">
        <is>
          <t>11:20</t>
        </is>
      </c>
      <c r="AK23" s="23" t="inlineStr">
        <is>
          <t>12:50</t>
        </is>
      </c>
      <c r="AL23" s="24" t="n">
        <v>30</v>
      </c>
      <c r="AM23" s="24" t="n">
        <v>25</v>
      </c>
      <c r="AN23" s="24" t="n">
        <v>20</v>
      </c>
      <c r="AO23" s="24" t="n">
        <v>260</v>
      </c>
      <c r="AP23" s="35" t="n">
        <v>910000</v>
      </c>
      <c r="AQ23" s="35" t="n">
        <v>0</v>
      </c>
      <c r="AR23" s="35" t="n">
        <v>0</v>
      </c>
      <c r="AS23" s="32" t="n">
        <v>150000</v>
      </c>
      <c r="AT23" s="23" t="inlineStr">
        <is>
          <t>A - SLA chặt</t>
        </is>
      </c>
      <c r="AU23" s="23" t="inlineStr">
        <is>
          <t>CR-NỘIT-03</t>
        </is>
      </c>
      <c r="AV23" s="23" t="inlineStr">
        <is>
          <t>Excel khách hàng</t>
        </is>
      </c>
      <c r="AW23" s="23" t="inlineStr">
        <is>
          <t>S2-C22</t>
        </is>
      </c>
      <c r="AX23" s="23" t="inlineStr">
        <is>
          <t>1.25T</t>
        </is>
      </c>
      <c r="AY23" s="23" t="inlineStr">
        <is>
          <t>Send to Clustering</t>
        </is>
      </c>
      <c r="AZ23" s="23" t="inlineStr">
        <is>
          <t>OK</t>
        </is>
      </c>
      <c r="BA23" s="23" t="inlineStr">
        <is>
          <t>Cấm tải/đường nhỏ - đã chọn xe nhỏ</t>
        </is>
      </c>
      <c r="BB23" s="23">
        <f>AM23+AN23</f>
        <v/>
      </c>
      <c r="BC23" s="23">
        <f>ROUND(W23/'03_Cost_Constraints'!$B$4*60,0)</f>
        <v/>
      </c>
      <c r="BD23" s="23">
        <f>IF(X23&lt;=500,"5 tạ",IF(X23&lt;=1250,"1.25T",IF(X23&lt;=5000,"5T",IF(X23&lt;=8000,"8T",IF(X23&lt;=15000,"3 chân","4 chân")))))</f>
        <v/>
      </c>
      <c r="BE23" s="23">
        <f>IF((BB23+BC23)&lt;=AO23,"OK","Risk")</f>
        <v/>
      </c>
      <c r="BF23" s="23">
        <f>IF(AND(AZ23="OK",BE23="OK"),"Ready","Review")</f>
        <v/>
      </c>
      <c r="BG23" s="23" t="n"/>
    </row>
    <row r="24" ht="18" customHeight="1" s="17">
      <c r="A24" s="21" t="inlineStr">
        <is>
          <t>S2</t>
        </is>
      </c>
      <c r="B24" s="21" t="inlineStr">
        <is>
          <t>2026-06-05</t>
        </is>
      </c>
      <c r="C24" s="21" t="inlineStr">
        <is>
          <t>S2-ORD-023</t>
        </is>
      </c>
      <c r="D24" s="21" t="inlineStr">
        <is>
          <t>Acecook</t>
        </is>
      </c>
      <c r="E24" s="21" t="inlineStr">
        <is>
          <t>VINMART Times City</t>
        </is>
      </c>
      <c r="F24" s="21" t="inlineStr">
        <is>
          <t>MT</t>
        </is>
      </c>
      <c r="G24" s="21" t="inlineStr">
        <is>
          <t>LVCA</t>
        </is>
      </c>
      <c r="H24" s="21" t="inlineStr">
        <is>
          <t>Bia lon Lạc Việt</t>
        </is>
      </c>
      <c r="I24" s="21" t="inlineStr">
        <is>
          <t>PK_HY_MYHAO</t>
        </is>
      </c>
      <c r="J24" s="21" t="inlineStr">
        <is>
          <t>Kho/Nhà máy khách hàng Mỹ Hào</t>
        </is>
      </c>
      <c r="K24" s="21" t="inlineStr">
        <is>
          <t>Hưng Yên</t>
        </is>
      </c>
      <c r="L24" s="21" t="inlineStr">
        <is>
          <t>Mỹ Hào</t>
        </is>
      </c>
      <c r="M24" s="22" t="n">
        <v>20.9329</v>
      </c>
      <c r="N24" s="22" t="n">
        <v>106.065</v>
      </c>
      <c r="O24" s="21" t="inlineStr">
        <is>
          <t>DL_HN_TIMESCITY</t>
        </is>
      </c>
      <c r="P24" s="21" t="inlineStr">
        <is>
          <t>VINMART Times City</t>
        </is>
      </c>
      <c r="Q24" s="21" t="inlineStr">
        <is>
          <t>Hà Nội</t>
        </is>
      </c>
      <c r="R24" s="21" t="inlineStr">
        <is>
          <t>Hai Bà Trưng</t>
        </is>
      </c>
      <c r="S24" s="22" t="n">
        <v>20.994022</v>
      </c>
      <c r="T24" s="22" t="n">
        <v>105.869639</v>
      </c>
      <c r="U24" s="21" t="inlineStr">
        <is>
          <t>Nội thành Hà Nội</t>
        </is>
      </c>
      <c r="V24" s="21" t="inlineStr">
        <is>
          <t>Nội thành Hà Nội</t>
        </is>
      </c>
      <c r="W24" s="29" t="n">
        <v>33.3</v>
      </c>
      <c r="X24" s="28" t="n">
        <v>916</v>
      </c>
      <c r="Y24" s="29" t="n">
        <v>2.09</v>
      </c>
      <c r="Z24" s="28" t="n">
        <v>1</v>
      </c>
      <c r="AA24" s="21" t="inlineStr">
        <is>
          <t>1.25T</t>
        </is>
      </c>
      <c r="AB24" s="21" t="inlineStr">
        <is>
          <t>1.25T</t>
        </is>
      </c>
      <c r="AC24" s="21" t="inlineStr">
        <is>
          <t>No</t>
        </is>
      </c>
      <c r="AD24" s="21" t="inlineStr">
        <is>
          <t>Yes</t>
        </is>
      </c>
      <c r="AE24" s="21" t="inlineStr">
        <is>
          <t>No</t>
        </is>
      </c>
      <c r="AF24" s="21" t="inlineStr">
        <is>
          <t>Yes</t>
        </is>
      </c>
      <c r="AG24" s="21" t="inlineStr">
        <is>
          <t>Nội khu, xe lớn hạn chế</t>
        </is>
      </c>
      <c r="AH24" s="21" t="inlineStr">
        <is>
          <t>07:30</t>
        </is>
      </c>
      <c r="AI24" s="21" t="inlineStr">
        <is>
          <t>09:30</t>
        </is>
      </c>
      <c r="AJ24" s="21" t="inlineStr">
        <is>
          <t>10:42</t>
        </is>
      </c>
      <c r="AK24" s="21" t="inlineStr">
        <is>
          <t>13:12</t>
        </is>
      </c>
      <c r="AL24" s="22" t="n">
        <v>45</v>
      </c>
      <c r="AM24" s="22" t="n">
        <v>25</v>
      </c>
      <c r="AN24" s="22" t="n">
        <v>30</v>
      </c>
      <c r="AO24" s="22" t="n">
        <v>342</v>
      </c>
      <c r="AP24" s="31" t="n">
        <v>940000</v>
      </c>
      <c r="AQ24" s="31" t="n">
        <v>0</v>
      </c>
      <c r="AR24" s="31" t="n">
        <v>120000</v>
      </c>
      <c r="AS24" s="28" t="n">
        <v>80000</v>
      </c>
      <c r="AT24" s="21" t="inlineStr">
        <is>
          <t>B - Thường</t>
        </is>
      </c>
      <c r="AU24" s="21" t="inlineStr">
        <is>
          <t>CR-NỘIT-04</t>
        </is>
      </c>
      <c r="AV24" s="21" t="inlineStr">
        <is>
          <t>Hệ thống khách hàng</t>
        </is>
      </c>
      <c r="AW24" s="21" t="inlineStr">
        <is>
          <t>S2-C23</t>
        </is>
      </c>
      <c r="AX24" s="21" t="inlineStr">
        <is>
          <t>1.25T</t>
        </is>
      </c>
      <c r="AY24" s="21" t="inlineStr">
        <is>
          <t>Send to Clustering</t>
        </is>
      </c>
      <c r="AZ24" s="21" t="inlineStr">
        <is>
          <t>OK</t>
        </is>
      </c>
      <c r="BA24" s="21" t="inlineStr">
        <is>
          <t>Cấm tải/đường nhỏ - đã chọn xe nhỏ</t>
        </is>
      </c>
      <c r="BB24" s="21">
        <f>AM24+AN24</f>
        <v/>
      </c>
      <c r="BC24" s="21">
        <f>ROUND(W24/'03_Cost_Constraints'!$B$4*60,0)</f>
        <v/>
      </c>
      <c r="BD24" s="21">
        <f>IF(X24&lt;=500,"5 tạ",IF(X24&lt;=1250,"1.25T",IF(X24&lt;=5000,"5T",IF(X24&lt;=8000,"8T",IF(X24&lt;=15000,"3 chân","4 chân")))))</f>
        <v/>
      </c>
      <c r="BE24" s="21">
        <f>IF((BB24+BC24)&lt;=AO24,"OK","Risk")</f>
        <v/>
      </c>
      <c r="BF24" s="21">
        <f>IF(AND(AZ24="OK",BE24="OK"),"Ready","Review")</f>
        <v/>
      </c>
      <c r="BG24" s="21" t="n"/>
    </row>
    <row r="25" ht="18" customHeight="1" s="17">
      <c r="A25" s="23" t="inlineStr">
        <is>
          <t>S2</t>
        </is>
      </c>
      <c r="B25" s="23" t="inlineStr">
        <is>
          <t>2026-06-05</t>
        </is>
      </c>
      <c r="C25" s="23" t="inlineStr">
        <is>
          <t>S2-ORD-024</t>
        </is>
      </c>
      <c r="D25" s="23" t="inlineStr">
        <is>
          <t>Acecook</t>
        </is>
      </c>
      <c r="E25" s="23" t="inlineStr">
        <is>
          <t>Siêu thị Hải Phòng</t>
        </is>
      </c>
      <c r="F25" s="23" t="inlineStr">
        <is>
          <t>MT</t>
        </is>
      </c>
      <c r="G25" s="23" t="inlineStr">
        <is>
          <t>LVCA</t>
        </is>
      </c>
      <c r="H25" s="23" t="inlineStr">
        <is>
          <t>Bia lon Lạc Việt</t>
        </is>
      </c>
      <c r="I25" s="23" t="inlineStr">
        <is>
          <t>PK_HP_DINHVU</t>
        </is>
      </c>
      <c r="J25" s="23" t="inlineStr">
        <is>
          <t>Kho Hải Phòng - Đình Vũ</t>
        </is>
      </c>
      <c r="K25" s="23" t="inlineStr">
        <is>
          <t>Hải Phòng</t>
        </is>
      </c>
      <c r="L25" s="23" t="inlineStr">
        <is>
          <t>Hải An</t>
        </is>
      </c>
      <c r="M25" s="24" t="n">
        <v>20.8425</v>
      </c>
      <c r="N25" s="24" t="n">
        <v>106.77</v>
      </c>
      <c r="O25" s="23" t="inlineStr">
        <is>
          <t>DL_HP_SIEUTHI</t>
        </is>
      </c>
      <c r="P25" s="23" t="inlineStr">
        <is>
          <t>Siêu thị Hải Phòng</t>
        </is>
      </c>
      <c r="Q25" s="23" t="inlineStr">
        <is>
          <t>Hải Phòng</t>
        </is>
      </c>
      <c r="R25" s="23" t="inlineStr">
        <is>
          <t>Gia Viên</t>
        </is>
      </c>
      <c r="S25" s="24" t="n">
        <v>20.84442</v>
      </c>
      <c r="T25" s="24" t="n">
        <v>106.7011</v>
      </c>
      <c r="U25" s="23" t="inlineStr">
        <is>
          <t>Đông Bắc</t>
        </is>
      </c>
      <c r="V25" s="23" t="inlineStr">
        <is>
          <t>Đông Bắc</t>
        </is>
      </c>
      <c r="W25" s="33" t="n">
        <v>14.7</v>
      </c>
      <c r="X25" s="32" t="n">
        <v>4833</v>
      </c>
      <c r="Y25" s="33" t="n">
        <v>12.33</v>
      </c>
      <c r="Z25" s="32" t="n">
        <v>10</v>
      </c>
      <c r="AA25" s="23" t="inlineStr">
        <is>
          <t>5T</t>
        </is>
      </c>
      <c r="AB25" s="23" t="inlineStr">
        <is>
          <t>5T</t>
        </is>
      </c>
      <c r="AC25" s="23" t="inlineStr">
        <is>
          <t>No</t>
        </is>
      </c>
      <c r="AD25" s="23" t="inlineStr">
        <is>
          <t>Yes</t>
        </is>
      </c>
      <c r="AE25" s="23" t="inlineStr">
        <is>
          <t>No</t>
        </is>
      </c>
      <c r="AF25" s="23" t="inlineStr">
        <is>
          <t>No</t>
        </is>
      </c>
      <c r="AG25" s="23" t="inlineStr">
        <is>
          <t>Khung giờ nhập kho 13:00-16:00</t>
        </is>
      </c>
      <c r="AH25" s="23" t="inlineStr">
        <is>
          <t>07:30</t>
        </is>
      </c>
      <c r="AI25" s="23" t="inlineStr">
        <is>
          <t>10:00</t>
        </is>
      </c>
      <c r="AJ25" s="23" t="inlineStr">
        <is>
          <t>08:49</t>
        </is>
      </c>
      <c r="AK25" s="23" t="inlineStr">
        <is>
          <t>11:19</t>
        </is>
      </c>
      <c r="AL25" s="24" t="n">
        <v>45</v>
      </c>
      <c r="AM25" s="24" t="n">
        <v>40</v>
      </c>
      <c r="AN25" s="24" t="n">
        <v>45</v>
      </c>
      <c r="AO25" s="24" t="n">
        <v>229</v>
      </c>
      <c r="AP25" s="35" t="n">
        <v>1160000</v>
      </c>
      <c r="AQ25" s="35" t="n">
        <v>150000</v>
      </c>
      <c r="AR25" s="35" t="n">
        <v>120000</v>
      </c>
      <c r="AS25" s="32" t="n">
        <v>80000</v>
      </c>
      <c r="AT25" s="23" t="inlineStr">
        <is>
          <t>B - Thường</t>
        </is>
      </c>
      <c r="AU25" s="23" t="inlineStr">
        <is>
          <t>CR-ĐÔNG-05</t>
        </is>
      </c>
      <c r="AV25" s="23" t="inlineStr">
        <is>
          <t>Zalo/Email plan 17:00</t>
        </is>
      </c>
      <c r="AW25" s="23" t="inlineStr">
        <is>
          <t>S2-C24</t>
        </is>
      </c>
      <c r="AX25" s="23" t="inlineStr">
        <is>
          <t>5T</t>
        </is>
      </c>
      <c r="AY25" s="23" t="inlineStr">
        <is>
          <t>Send to Clustering</t>
        </is>
      </c>
      <c r="AZ25" s="23" t="inlineStr">
        <is>
          <t>OK</t>
        </is>
      </c>
      <c r="BA25" s="23" t="inlineStr">
        <is>
          <t>OK</t>
        </is>
      </c>
      <c r="BB25" s="23">
        <f>AM25+AN25</f>
        <v/>
      </c>
      <c r="BC25" s="23">
        <f>ROUND(W25/'03_Cost_Constraints'!$B$4*60,0)</f>
        <v/>
      </c>
      <c r="BD25" s="23">
        <f>IF(X25&lt;=500,"5 tạ",IF(X25&lt;=1250,"1.25T",IF(X25&lt;=5000,"5T",IF(X25&lt;=8000,"8T",IF(X25&lt;=15000,"3 chân","4 chân")))))</f>
        <v/>
      </c>
      <c r="BE25" s="23">
        <f>IF((BB25+BC25)&lt;=AO25,"OK","Risk")</f>
        <v/>
      </c>
      <c r="BF25" s="23">
        <f>IF(AND(AZ25="OK",BE25="OK"),"Ready","Review")</f>
        <v/>
      </c>
      <c r="BG25" s="23" t="inlineStr">
        <is>
          <t>Kế hoạch ngày hôm sau; cần chốt trước 19:00 và gửi tài xế sau duyệt</t>
        </is>
      </c>
    </row>
    <row r="26" ht="18" customHeight="1" s="17">
      <c r="A26" s="21" t="inlineStr">
        <is>
          <t>S2</t>
        </is>
      </c>
      <c r="B26" s="21" t="inlineStr">
        <is>
          <t>2026-06-05</t>
        </is>
      </c>
      <c r="C26" s="21" t="inlineStr">
        <is>
          <t>S2-ORD-025</t>
        </is>
      </c>
      <c r="D26" s="21" t="inlineStr">
        <is>
          <t>MM Mega Market</t>
        </is>
      </c>
      <c r="E26" s="21" t="inlineStr">
        <is>
          <t>GO! Hà Nam</t>
        </is>
      </c>
      <c r="F26" s="21" t="inlineStr">
        <is>
          <t>MT</t>
        </is>
      </c>
      <c r="G26" s="21" t="inlineStr">
        <is>
          <t>POSM</t>
        </is>
      </c>
      <c r="H26" s="21" t="inlineStr">
        <is>
          <t>POSM trưng bày</t>
        </is>
      </c>
      <c r="I26" s="21" t="inlineStr">
        <is>
          <t>PK_NA_BACVINH</t>
        </is>
      </c>
      <c r="J26" s="21" t="inlineStr">
        <is>
          <t>Kho DC Vinh - KCN Bắc Vinh</t>
        </is>
      </c>
      <c r="K26" s="21" t="inlineStr">
        <is>
          <t>Nghệ An</t>
        </is>
      </c>
      <c r="L26" s="21" t="inlineStr">
        <is>
          <t>Vinh</t>
        </is>
      </c>
      <c r="M26" s="22" t="n">
        <v>18.733</v>
      </c>
      <c r="N26" s="22" t="n">
        <v>105.681</v>
      </c>
      <c r="O26" s="21" t="inlineStr">
        <is>
          <t>DL_HN_GO_HANAM</t>
        </is>
      </c>
      <c r="P26" s="21" t="inlineStr">
        <is>
          <t>GO! Hà Nam</t>
        </is>
      </c>
      <c r="Q26" s="21" t="inlineStr">
        <is>
          <t>Ninh Bình</t>
        </is>
      </c>
      <c r="R26" s="21" t="inlineStr">
        <is>
          <t>Phủ Lý</t>
        </is>
      </c>
      <c r="S26" s="22" t="n">
        <v>20.541</v>
      </c>
      <c r="T26" s="22" t="n">
        <v>105.913</v>
      </c>
      <c r="U26" s="21" t="inlineStr">
        <is>
          <t>Bắc Trung Bộ</t>
        </is>
      </c>
      <c r="V26" s="21" t="inlineStr">
        <is>
          <t>Bắc Trung Bộ</t>
        </is>
      </c>
      <c r="W26" s="29" t="n">
        <v>265.1</v>
      </c>
      <c r="X26" s="28" t="n">
        <v>1262</v>
      </c>
      <c r="Y26" s="29" t="n">
        <v>27.87</v>
      </c>
      <c r="Z26" s="28" t="n">
        <v>23</v>
      </c>
      <c r="AA26" s="21" t="inlineStr">
        <is>
          <t>5T</t>
        </is>
      </c>
      <c r="AB26" s="21" t="inlineStr">
        <is>
          <t>8T</t>
        </is>
      </c>
      <c r="AC26" s="21" t="inlineStr">
        <is>
          <t>No</t>
        </is>
      </c>
      <c r="AD26" s="21" t="inlineStr">
        <is>
          <t>Yes</t>
        </is>
      </c>
      <c r="AE26" s="21" t="inlineStr">
        <is>
          <t>No</t>
        </is>
      </c>
      <c r="AF26" s="21" t="inlineStr">
        <is>
          <t>No</t>
        </is>
      </c>
      <c r="AG26" s="21" t="inlineStr">
        <is>
          <t>Xe 5T/8T vào được</t>
        </is>
      </c>
      <c r="AH26" s="21" t="inlineStr">
        <is>
          <t>09:00</t>
        </is>
      </c>
      <c r="AI26" s="21" t="inlineStr">
        <is>
          <t>11:30</t>
        </is>
      </c>
      <c r="AJ26" s="21" t="inlineStr">
        <is>
          <t>16:18</t>
        </is>
      </c>
      <c r="AK26" s="21" t="inlineStr">
        <is>
          <t>18:00</t>
        </is>
      </c>
      <c r="AL26" s="22" t="n">
        <v>30</v>
      </c>
      <c r="AM26" s="22" t="n">
        <v>40</v>
      </c>
      <c r="AN26" s="22" t="n">
        <v>45</v>
      </c>
      <c r="AO26" s="22" t="n">
        <v>540</v>
      </c>
      <c r="AP26" s="31" t="n">
        <v>2450000</v>
      </c>
      <c r="AQ26" s="31" t="n">
        <v>0</v>
      </c>
      <c r="AR26" s="31" t="n">
        <v>120000</v>
      </c>
      <c r="AS26" s="28" t="n">
        <v>150000</v>
      </c>
      <c r="AT26" s="21" t="inlineStr">
        <is>
          <t>A - SLA chặt</t>
        </is>
      </c>
      <c r="AU26" s="21" t="inlineStr">
        <is>
          <t>CR-BẮCT-01</t>
        </is>
      </c>
      <c r="AV26" s="21" t="inlineStr">
        <is>
          <t>Manual nhập điều phối</t>
        </is>
      </c>
      <c r="AW26" s="21" t="inlineStr">
        <is>
          <t>S2-C25</t>
        </is>
      </c>
      <c r="AX26" s="21" t="inlineStr">
        <is>
          <t>5T</t>
        </is>
      </c>
      <c r="AY26" s="21" t="inlineStr">
        <is>
          <t>Send to Clustering</t>
        </is>
      </c>
      <c r="AZ26" s="21" t="inlineStr">
        <is>
          <t>OK</t>
        </is>
      </c>
      <c r="BA26" s="21" t="inlineStr">
        <is>
          <t>Empty-run &gt;100km cần tìm chuyến về</t>
        </is>
      </c>
      <c r="BB26" s="21">
        <f>AM26+AN26</f>
        <v/>
      </c>
      <c r="BC26" s="21">
        <f>ROUND(W26/'03_Cost_Constraints'!$B$4*60,0)</f>
        <v/>
      </c>
      <c r="BD26" s="21">
        <f>IF(X26&lt;=500,"5 tạ",IF(X26&lt;=1250,"1.25T",IF(X26&lt;=5000,"5T",IF(X26&lt;=8000,"8T",IF(X26&lt;=15000,"3 chân","4 chân")))))</f>
        <v/>
      </c>
      <c r="BE26" s="21">
        <f>IF((BB26+BC26)&lt;=AO26,"OK","Risk")</f>
        <v/>
      </c>
      <c r="BF26" s="21">
        <f>IF(AND(AZ26="OK",BE26="OK"),"Ready","Review")</f>
        <v/>
      </c>
      <c r="BG26" s="21" t="n"/>
    </row>
    <row r="27" ht="18" customHeight="1" s="17">
      <c r="A27" s="23" t="inlineStr">
        <is>
          <t>S2</t>
        </is>
      </c>
      <c r="B27" s="23" t="inlineStr">
        <is>
          <t>2026-06-05</t>
        </is>
      </c>
      <c r="C27" s="23" t="inlineStr">
        <is>
          <t>S2-ORD-026</t>
        </is>
      </c>
      <c r="D27" s="23" t="inlineStr">
        <is>
          <t>Bách Hóa Xanh</t>
        </is>
      </c>
      <c r="E27" s="23" t="inlineStr">
        <is>
          <t>LOTTE MART Ba Đình</t>
        </is>
      </c>
      <c r="F27" s="23" t="inlineStr">
        <is>
          <t>MT</t>
        </is>
      </c>
      <c r="G27" s="23" t="inlineStr">
        <is>
          <t>NOODLE</t>
        </is>
      </c>
      <c r="H27" s="23" t="inlineStr">
        <is>
          <t>Mì gói/Acecook carton</t>
        </is>
      </c>
      <c r="I27" s="23" t="inlineStr">
        <is>
          <t>PK_HPL_LB</t>
        </is>
      </c>
      <c r="J27" s="23" t="inlineStr">
        <is>
          <t>HPL Depot Long Biên - 20 Thạch Bàn</t>
        </is>
      </c>
      <c r="K27" s="23" t="inlineStr">
        <is>
          <t>Hà Nội</t>
        </is>
      </c>
      <c r="L27" s="23" t="inlineStr">
        <is>
          <t>Long Biên</t>
        </is>
      </c>
      <c r="M27" s="24" t="n">
        <v>21.0261548385</v>
      </c>
      <c r="N27" s="24" t="n">
        <v>105.914182238</v>
      </c>
      <c r="O27" s="23" t="inlineStr">
        <is>
          <t>DL_HN_LOTTE_BD</t>
        </is>
      </c>
      <c r="P27" s="23" t="inlineStr">
        <is>
          <t>LOTTE MART Ba Đình</t>
        </is>
      </c>
      <c r="Q27" s="23" t="inlineStr">
        <is>
          <t>Hà Nội</t>
        </is>
      </c>
      <c r="R27" s="23" t="inlineStr">
        <is>
          <t>Ba Đình</t>
        </is>
      </c>
      <c r="S27" s="24" t="n">
        <v>21.032177</v>
      </c>
      <c r="T27" s="24" t="n">
        <v>105.812441</v>
      </c>
      <c r="U27" s="23" t="inlineStr">
        <is>
          <t>Nội thành Hà Nội</t>
        </is>
      </c>
      <c r="V27" s="23" t="inlineStr">
        <is>
          <t>Nội thành Hà Nội</t>
        </is>
      </c>
      <c r="W27" s="33" t="n">
        <v>22.1</v>
      </c>
      <c r="X27" s="32" t="n">
        <v>396</v>
      </c>
      <c r="Y27" s="33" t="n">
        <v>3.53</v>
      </c>
      <c r="Z27" s="32" t="n">
        <v>2</v>
      </c>
      <c r="AA27" s="23" t="inlineStr">
        <is>
          <t>5 tạ</t>
        </is>
      </c>
      <c r="AB27" s="23" t="inlineStr">
        <is>
          <t>1.25T</t>
        </is>
      </c>
      <c r="AC27" s="23" t="inlineStr">
        <is>
          <t>No</t>
        </is>
      </c>
      <c r="AD27" s="23" t="inlineStr">
        <is>
          <t>Yes</t>
        </is>
      </c>
      <c r="AE27" s="23" t="inlineStr">
        <is>
          <t>No</t>
        </is>
      </c>
      <c r="AF27" s="23" t="inlineStr">
        <is>
          <t>Yes</t>
        </is>
      </c>
      <c r="AG27" s="23" t="inlineStr">
        <is>
          <t>Giờ cấm tải, ưu tiên xe 1.25T</t>
        </is>
      </c>
      <c r="AH27" s="23" t="inlineStr">
        <is>
          <t>08:30</t>
        </is>
      </c>
      <c r="AI27" s="23" t="inlineStr">
        <is>
          <t>10:00</t>
        </is>
      </c>
      <c r="AJ27" s="23" t="inlineStr">
        <is>
          <t>09:52</t>
        </is>
      </c>
      <c r="AK27" s="23" t="inlineStr">
        <is>
          <t>11:52</t>
        </is>
      </c>
      <c r="AL27" s="24" t="n">
        <v>45</v>
      </c>
      <c r="AM27" s="24" t="n">
        <v>25</v>
      </c>
      <c r="AN27" s="24" t="n">
        <v>30</v>
      </c>
      <c r="AO27" s="24" t="n">
        <v>202</v>
      </c>
      <c r="AP27" s="35" t="n">
        <v>840000</v>
      </c>
      <c r="AQ27" s="35" t="n">
        <v>0</v>
      </c>
      <c r="AR27" s="35" t="n">
        <v>120000</v>
      </c>
      <c r="AS27" s="32" t="n">
        <v>150000</v>
      </c>
      <c r="AT27" s="23" t="inlineStr">
        <is>
          <t>A - SLA chặt</t>
        </is>
      </c>
      <c r="AU27" s="23" t="inlineStr">
        <is>
          <t>CR-NỘIT-02</t>
        </is>
      </c>
      <c r="AV27" s="23" t="inlineStr">
        <is>
          <t>Excel khách hàng</t>
        </is>
      </c>
      <c r="AW27" s="23" t="inlineStr">
        <is>
          <t>S2-C26</t>
        </is>
      </c>
      <c r="AX27" s="23" t="inlineStr">
        <is>
          <t>5 tạ</t>
        </is>
      </c>
      <c r="AY27" s="23" t="inlineStr">
        <is>
          <t>Send to Clustering</t>
        </is>
      </c>
      <c r="AZ27" s="23" t="inlineStr">
        <is>
          <t>OK</t>
        </is>
      </c>
      <c r="BA27" s="23" t="inlineStr">
        <is>
          <t>Cấm tải/đường nhỏ - đã chọn xe nhỏ</t>
        </is>
      </c>
      <c r="BB27" s="23">
        <f>AM27+AN27</f>
        <v/>
      </c>
      <c r="BC27" s="23">
        <f>ROUND(W27/'03_Cost_Constraints'!$B$4*60,0)</f>
        <v/>
      </c>
      <c r="BD27" s="23">
        <f>IF(X27&lt;=500,"5 tạ",IF(X27&lt;=1250,"1.25T",IF(X27&lt;=5000,"5T",IF(X27&lt;=8000,"8T",IF(X27&lt;=15000,"3 chân","4 chân")))))</f>
        <v/>
      </c>
      <c r="BE27" s="23">
        <f>IF((BB27+BC27)&lt;=AO27,"OK","Risk")</f>
        <v/>
      </c>
      <c r="BF27" s="23">
        <f>IF(AND(AZ27="OK",BE27="OK"),"Ready","Review")</f>
        <v/>
      </c>
      <c r="BG27" s="23" t="n"/>
    </row>
    <row r="28" ht="18" customHeight="1" s="17">
      <c r="A28" s="21" t="inlineStr">
        <is>
          <t>S2</t>
        </is>
      </c>
      <c r="B28" s="21" t="inlineStr">
        <is>
          <t>2026-06-05</t>
        </is>
      </c>
      <c r="C28" s="21" t="inlineStr">
        <is>
          <t>S2-ORD-027</t>
        </is>
      </c>
      <c r="D28" s="21" t="inlineStr">
        <is>
          <t>Bách Hóa Xanh</t>
        </is>
      </c>
      <c r="E28" s="21" t="inlineStr">
        <is>
          <t>TOPS MARKET Garden Mall</t>
        </is>
      </c>
      <c r="F28" s="21" t="inlineStr">
        <is>
          <t>MT</t>
        </is>
      </c>
      <c r="G28" s="21" t="inlineStr">
        <is>
          <t>POSM</t>
        </is>
      </c>
      <c r="H28" s="21" t="inlineStr">
        <is>
          <t>POSM trưng bày</t>
        </is>
      </c>
      <c r="I28" s="21" t="inlineStr">
        <is>
          <t>PK_HY_MYHAO</t>
        </is>
      </c>
      <c r="J28" s="21" t="inlineStr">
        <is>
          <t>Kho/Nhà máy khách hàng Mỹ Hào</t>
        </is>
      </c>
      <c r="K28" s="21" t="inlineStr">
        <is>
          <t>Hưng Yên</t>
        </is>
      </c>
      <c r="L28" s="21" t="inlineStr">
        <is>
          <t>Mỹ Hào</t>
        </is>
      </c>
      <c r="M28" s="22" t="n">
        <v>20.9329</v>
      </c>
      <c r="N28" s="22" t="n">
        <v>106.065</v>
      </c>
      <c r="O28" s="21" t="inlineStr">
        <is>
          <t>DL_HN_GARDEN</t>
        </is>
      </c>
      <c r="P28" s="21" t="inlineStr">
        <is>
          <t>TOPS MARKET Garden Mall</t>
        </is>
      </c>
      <c r="Q28" s="21" t="inlineStr">
        <is>
          <t>Hà Nội</t>
        </is>
      </c>
      <c r="R28" s="21" t="inlineStr">
        <is>
          <t>Nam Từ Liêm</t>
        </is>
      </c>
      <c r="S28" s="22" t="n">
        <v>21.015324</v>
      </c>
      <c r="T28" s="22" t="n">
        <v>105.777839</v>
      </c>
      <c r="U28" s="21" t="inlineStr">
        <is>
          <t>Nội thành Hà Nội</t>
        </is>
      </c>
      <c r="V28" s="21" t="inlineStr">
        <is>
          <t>Nội thành Hà Nội</t>
        </is>
      </c>
      <c r="W28" s="29" t="n">
        <v>50.4</v>
      </c>
      <c r="X28" s="28" t="n">
        <v>1146</v>
      </c>
      <c r="Y28" s="29" t="n">
        <v>30.76</v>
      </c>
      <c r="Z28" s="28" t="n">
        <v>25</v>
      </c>
      <c r="AA28" s="21" t="inlineStr">
        <is>
          <t>8T</t>
        </is>
      </c>
      <c r="AB28" s="21" t="inlineStr">
        <is>
          <t>1.25T</t>
        </is>
      </c>
      <c r="AC28" s="21" t="inlineStr">
        <is>
          <t>No</t>
        </is>
      </c>
      <c r="AD28" s="21" t="inlineStr">
        <is>
          <t>Yes</t>
        </is>
      </c>
      <c r="AE28" s="21" t="inlineStr">
        <is>
          <t>No</t>
        </is>
      </c>
      <c r="AF28" s="21" t="inlineStr">
        <is>
          <t>Yes</t>
        </is>
      </c>
      <c r="AG28" s="21" t="inlineStr">
        <is>
          <t>Khung giờ nhập kho cố định</t>
        </is>
      </c>
      <c r="AH28" s="21" t="inlineStr">
        <is>
          <t>07:00</t>
        </is>
      </c>
      <c r="AI28" s="21" t="inlineStr">
        <is>
          <t>09:00</t>
        </is>
      </c>
      <c r="AJ28" s="21" t="inlineStr">
        <is>
          <t>10:26</t>
        </is>
      </c>
      <c r="AK28" s="21" t="inlineStr">
        <is>
          <t>13:26</t>
        </is>
      </c>
      <c r="AL28" s="22" t="n">
        <v>45</v>
      </c>
      <c r="AM28" s="22" t="n">
        <v>40</v>
      </c>
      <c r="AN28" s="22" t="n">
        <v>45</v>
      </c>
      <c r="AO28" s="22" t="n">
        <v>386</v>
      </c>
      <c r="AP28" s="31" t="n">
        <v>870000</v>
      </c>
      <c r="AQ28" s="31" t="n">
        <v>0</v>
      </c>
      <c r="AR28" s="31" t="n">
        <v>120000</v>
      </c>
      <c r="AS28" s="28" t="n">
        <v>150000</v>
      </c>
      <c r="AT28" s="21" t="inlineStr">
        <is>
          <t>A - SLA chặt</t>
        </is>
      </c>
      <c r="AU28" s="21" t="inlineStr">
        <is>
          <t>CR-NỘIT-03</t>
        </is>
      </c>
      <c r="AV28" s="21" t="inlineStr">
        <is>
          <t>Hệ thống khách hàng</t>
        </is>
      </c>
      <c r="AW28" s="21" t="inlineStr">
        <is>
          <t>S2-C26</t>
        </is>
      </c>
      <c r="AX28" s="21" t="inlineStr">
        <is>
          <t>Split/Chuyển tải</t>
        </is>
      </c>
      <c r="AY28" s="21" t="inlineStr">
        <is>
          <t>Split Order/Chuyển tải hoặc xin xe nhỏ nhiều chuyến</t>
        </is>
      </c>
      <c r="AZ28" s="21" t="inlineStr">
        <is>
          <t>Review</t>
        </is>
      </c>
      <c r="BA28" s="21" t="inlineStr">
        <is>
          <t>Vehicle Mismatch</t>
        </is>
      </c>
      <c r="BB28" s="21">
        <f>AM28+AN28</f>
        <v/>
      </c>
      <c r="BC28" s="21">
        <f>ROUND(W28/'03_Cost_Constraints'!$B$4*60,0)</f>
        <v/>
      </c>
      <c r="BD28" s="21">
        <f>IF(X28&lt;=500,"5 tạ",IF(X28&lt;=1250,"1.25T",IF(X28&lt;=5000,"5T",IF(X28&lt;=8000,"8T",IF(X28&lt;=15000,"3 chân","4 chân")))))</f>
        <v/>
      </c>
      <c r="BE28" s="21">
        <f>IF((BB28+BC28)&lt;=AO28,"OK","Risk")</f>
        <v/>
      </c>
      <c r="BF28" s="21">
        <f>IF(AND(AZ28="OK",BE28="OK"),"Ready","Review")</f>
        <v/>
      </c>
      <c r="BG28" s="21" t="n"/>
    </row>
    <row r="29" ht="18" customHeight="1" s="17">
      <c r="A29" s="23" t="inlineStr">
        <is>
          <t>S2</t>
        </is>
      </c>
      <c r="B29" s="23" t="inlineStr">
        <is>
          <t>2026-06-05</t>
        </is>
      </c>
      <c r="C29" s="23" t="inlineStr">
        <is>
          <t>S2-ORD-028</t>
        </is>
      </c>
      <c r="D29" s="23" t="inlineStr">
        <is>
          <t>MM Mega Market</t>
        </is>
      </c>
      <c r="E29" s="23" t="inlineStr">
        <is>
          <t>MM Hồng Bàng</t>
        </is>
      </c>
      <c r="F29" s="23" t="inlineStr">
        <is>
          <t>MT</t>
        </is>
      </c>
      <c r="G29" s="23" t="inlineStr">
        <is>
          <t>SP33</t>
        </is>
      </c>
      <c r="H29" s="23" t="inlineStr">
        <is>
          <t>Bia lon Saigon Special</t>
        </is>
      </c>
      <c r="I29" s="23" t="inlineStr">
        <is>
          <t>PK_LINFOX_VSIP</t>
        </is>
      </c>
      <c r="J29" s="23" t="inlineStr">
        <is>
          <t>Kho Linfox KCN VSIP Bắc Ninh</t>
        </is>
      </c>
      <c r="K29" s="23" t="inlineStr">
        <is>
          <t>Bắc Ninh</t>
        </is>
      </c>
      <c r="L29" s="23" t="inlineStr">
        <is>
          <t>Từ Sơn</t>
        </is>
      </c>
      <c r="M29" s="24" t="n">
        <v>21.082707</v>
      </c>
      <c r="N29" s="24" t="n">
        <v>105.997949</v>
      </c>
      <c r="O29" s="23" t="inlineStr">
        <is>
          <t>DL_HP_HONGBANG</t>
        </is>
      </c>
      <c r="P29" s="23" t="inlineStr">
        <is>
          <t>MM Hồng Bàng</t>
        </is>
      </c>
      <c r="Q29" s="23" t="inlineStr">
        <is>
          <t>Hải Phòng</t>
        </is>
      </c>
      <c r="R29" s="23" t="inlineStr">
        <is>
          <t>Hồng Bàng</t>
        </is>
      </c>
      <c r="S29" s="24" t="n">
        <v>20.856112</v>
      </c>
      <c r="T29" s="24" t="n">
        <v>106.682239</v>
      </c>
      <c r="U29" s="23" t="inlineStr">
        <is>
          <t>Đông Bắc</t>
        </is>
      </c>
      <c r="V29" s="23" t="inlineStr">
        <is>
          <t>Đông Bắc</t>
        </is>
      </c>
      <c r="W29" s="33" t="n">
        <v>101.3</v>
      </c>
      <c r="X29" s="32" t="n">
        <v>6527</v>
      </c>
      <c r="Y29" s="33" t="n">
        <v>14.58</v>
      </c>
      <c r="Z29" s="32" t="n">
        <v>12</v>
      </c>
      <c r="AA29" s="23" t="inlineStr">
        <is>
          <t>8T</t>
        </is>
      </c>
      <c r="AB29" s="23" t="inlineStr">
        <is>
          <t>5T</t>
        </is>
      </c>
      <c r="AC29" s="23" t="inlineStr">
        <is>
          <t>No</t>
        </is>
      </c>
      <c r="AD29" s="23" t="inlineStr">
        <is>
          <t>Yes</t>
        </is>
      </c>
      <c r="AE29" s="23" t="inlineStr">
        <is>
          <t>No</t>
        </is>
      </c>
      <c r="AF29" s="23" t="inlineStr">
        <is>
          <t>No</t>
        </is>
      </c>
      <c r="AG29" s="23" t="inlineStr">
        <is>
          <t>Đường đô thị Hải Phòng, xe 5T vào được</t>
        </is>
      </c>
      <c r="AH29" s="23" t="inlineStr">
        <is>
          <t>09:00</t>
        </is>
      </c>
      <c r="AI29" s="23" t="inlineStr">
        <is>
          <t>10:30</t>
        </is>
      </c>
      <c r="AJ29" s="23" t="inlineStr">
        <is>
          <t>12:15</t>
        </is>
      </c>
      <c r="AK29" s="23" t="inlineStr">
        <is>
          <t>14:45</t>
        </is>
      </c>
      <c r="AL29" s="24" t="n">
        <v>30</v>
      </c>
      <c r="AM29" s="24" t="n">
        <v>40</v>
      </c>
      <c r="AN29" s="24" t="n">
        <v>45</v>
      </c>
      <c r="AO29" s="24" t="n">
        <v>345</v>
      </c>
      <c r="AP29" s="35" t="n">
        <v>3880000</v>
      </c>
      <c r="AQ29" s="35" t="n">
        <v>0</v>
      </c>
      <c r="AR29" s="35" t="n">
        <v>120000</v>
      </c>
      <c r="AS29" s="32" t="n">
        <v>150000</v>
      </c>
      <c r="AT29" s="23" t="inlineStr">
        <is>
          <t>A - SLA chặt</t>
        </is>
      </c>
      <c r="AU29" s="23" t="inlineStr">
        <is>
          <t>CR-ĐÔNG-04</t>
        </is>
      </c>
      <c r="AV29" s="23" t="inlineStr">
        <is>
          <t>Zalo/Email plan 17:00</t>
        </is>
      </c>
      <c r="AW29" s="23" t="inlineStr">
        <is>
          <t>S2-C28</t>
        </is>
      </c>
      <c r="AX29" s="23" t="inlineStr">
        <is>
          <t>Split/Chuyển tải</t>
        </is>
      </c>
      <c r="AY29" s="23" t="inlineStr">
        <is>
          <t>Split Order/Chuyển tải hoặc xin xe nhỏ nhiều chuyến</t>
        </is>
      </c>
      <c r="AZ29" s="23" t="inlineStr">
        <is>
          <t>Review</t>
        </is>
      </c>
      <c r="BA29" s="23" t="inlineStr">
        <is>
          <t>Vehicle Mismatch</t>
        </is>
      </c>
      <c r="BB29" s="23">
        <f>AM29+AN29</f>
        <v/>
      </c>
      <c r="BC29" s="23">
        <f>ROUND(W29/'03_Cost_Constraints'!$B$4*60,0)</f>
        <v/>
      </c>
      <c r="BD29" s="23">
        <f>IF(X29&lt;=500,"5 tạ",IF(X29&lt;=1250,"1.25T",IF(X29&lt;=5000,"5T",IF(X29&lt;=8000,"8T",IF(X29&lt;=15000,"3 chân","4 chân")))))</f>
        <v/>
      </c>
      <c r="BE29" s="23">
        <f>IF((BB29+BC29)&lt;=AO29,"OK","Risk")</f>
        <v/>
      </c>
      <c r="BF29" s="23">
        <f>IF(AND(AZ29="OK",BE29="OK"),"Ready","Review")</f>
        <v/>
      </c>
      <c r="BG29" s="23" t="inlineStr">
        <is>
          <t>Kế hoạch ngày hôm sau; cần chốt trước 19:00 và gửi tài xế sau duyệt</t>
        </is>
      </c>
    </row>
    <row r="30" ht="18" customHeight="1" s="17">
      <c r="A30" s="21" t="inlineStr">
        <is>
          <t>S2</t>
        </is>
      </c>
      <c r="B30" s="21" t="inlineStr">
        <is>
          <t>2026-06-05</t>
        </is>
      </c>
      <c r="C30" s="21" t="inlineStr">
        <is>
          <t>S2-ORD-029</t>
        </is>
      </c>
      <c r="D30" s="21" t="inlineStr">
        <is>
          <t>Bách Hóa Xanh</t>
        </is>
      </c>
      <c r="E30" s="21" t="inlineStr">
        <is>
          <t>Siêu thị Thái Bình</t>
        </is>
      </c>
      <c r="F30" s="21" t="inlineStr">
        <is>
          <t>ST</t>
        </is>
      </c>
      <c r="G30" s="21" t="inlineStr">
        <is>
          <t>POSM</t>
        </is>
      </c>
      <c r="H30" s="21" t="inlineStr">
        <is>
          <t>POSM trưng bày</t>
        </is>
      </c>
      <c r="I30" s="21" t="inlineStr">
        <is>
          <t>PK_HPL_LB</t>
        </is>
      </c>
      <c r="J30" s="21" t="inlineStr">
        <is>
          <t>HPL Depot Long Biên - 20 Thạch Bàn</t>
        </is>
      </c>
      <c r="K30" s="21" t="inlineStr">
        <is>
          <t>Hà Nội</t>
        </is>
      </c>
      <c r="L30" s="21" t="inlineStr">
        <is>
          <t>Long Biên</t>
        </is>
      </c>
      <c r="M30" s="22" t="n">
        <v>21.0261548385</v>
      </c>
      <c r="N30" s="22" t="n">
        <v>105.914182238</v>
      </c>
      <c r="O30" s="21" t="inlineStr">
        <is>
          <t>DL_TB_SIEUTHI</t>
        </is>
      </c>
      <c r="P30" s="21" t="inlineStr">
        <is>
          <t>Siêu thị Thái Bình</t>
        </is>
      </c>
      <c r="Q30" s="21" t="inlineStr">
        <is>
          <t>Hưng Yên</t>
        </is>
      </c>
      <c r="R30" s="21" t="inlineStr">
        <is>
          <t>Thái Bình</t>
        </is>
      </c>
      <c r="S30" s="22" t="n">
        <v>20.446344</v>
      </c>
      <c r="T30" s="22" t="n">
        <v>106.336582</v>
      </c>
      <c r="U30" s="21" t="inlineStr">
        <is>
          <t>Đông Nam Hà Nội</t>
        </is>
      </c>
      <c r="V30" s="21" t="inlineStr">
        <is>
          <t>Đông Nam Hà Nội</t>
        </is>
      </c>
      <c r="W30" s="29" t="n">
        <v>112.4</v>
      </c>
      <c r="X30" s="28" t="n">
        <v>7813</v>
      </c>
      <c r="Y30" s="29" t="n">
        <v>193.56</v>
      </c>
      <c r="Z30" s="28" t="n">
        <v>161</v>
      </c>
      <c r="AA30" s="21" t="inlineStr">
        <is>
          <t>Container</t>
        </is>
      </c>
      <c r="AB30" s="21" t="inlineStr">
        <is>
          <t>8T</t>
        </is>
      </c>
      <c r="AC30" s="21" t="inlineStr">
        <is>
          <t>No</t>
        </is>
      </c>
      <c r="AD30" s="21" t="inlineStr">
        <is>
          <t>Yes</t>
        </is>
      </c>
      <c r="AE30" s="21" t="inlineStr">
        <is>
          <t>No</t>
        </is>
      </c>
      <c r="AF30" s="21" t="inlineStr">
        <is>
          <t>No</t>
        </is>
      </c>
      <c r="AG30" s="21" t="inlineStr">
        <is>
          <t>Ngoại thành, xe 5T/8T</t>
        </is>
      </c>
      <c r="AH30" s="21" t="inlineStr">
        <is>
          <t>08:00</t>
        </is>
      </c>
      <c r="AI30" s="21" t="inlineStr">
        <is>
          <t>09:30</t>
        </is>
      </c>
      <c r="AJ30" s="21" t="inlineStr">
        <is>
          <t>13:49</t>
        </is>
      </c>
      <c r="AK30" s="21" t="inlineStr">
        <is>
          <t>15:19</t>
        </is>
      </c>
      <c r="AL30" s="22" t="n">
        <v>45</v>
      </c>
      <c r="AM30" s="22" t="n">
        <v>120</v>
      </c>
      <c r="AN30" s="22" t="n">
        <v>90</v>
      </c>
      <c r="AO30" s="22" t="n">
        <v>439</v>
      </c>
      <c r="AP30" s="31" t="n">
        <v>5160000</v>
      </c>
      <c r="AQ30" s="31" t="n">
        <v>0</v>
      </c>
      <c r="AR30" s="31" t="n">
        <v>0</v>
      </c>
      <c r="AS30" s="28" t="n">
        <v>80000</v>
      </c>
      <c r="AT30" s="21" t="inlineStr">
        <is>
          <t>B - Thường</t>
        </is>
      </c>
      <c r="AU30" s="21" t="inlineStr">
        <is>
          <t>CR-ĐÔNG-05</t>
        </is>
      </c>
      <c r="AV30" s="21" t="inlineStr">
        <is>
          <t>Manual nhập điều phối</t>
        </is>
      </c>
      <c r="AW30" s="21" t="inlineStr">
        <is>
          <t>S2-C29</t>
        </is>
      </c>
      <c r="AX30" s="21" t="inlineStr">
        <is>
          <t>Split/Chuyển tải</t>
        </is>
      </c>
      <c r="AY30" s="21" t="inlineStr">
        <is>
          <t>Split Order/Chuyển tải hoặc xin xe nhỏ nhiều chuyến</t>
        </is>
      </c>
      <c r="AZ30" s="21" t="inlineStr">
        <is>
          <t>Review</t>
        </is>
      </c>
      <c r="BA30" s="21" t="inlineStr">
        <is>
          <t>Vehicle Mismatch</t>
        </is>
      </c>
      <c r="BB30" s="21">
        <f>AM30+AN30</f>
        <v/>
      </c>
      <c r="BC30" s="21">
        <f>ROUND(W30/'03_Cost_Constraints'!$B$4*60,0)</f>
        <v/>
      </c>
      <c r="BD30" s="21">
        <f>IF(X30&lt;=500,"5 tạ",IF(X30&lt;=1250,"1.25T",IF(X30&lt;=5000,"5T",IF(X30&lt;=8000,"8T",IF(X30&lt;=15000,"3 chân","4 chân")))))</f>
        <v/>
      </c>
      <c r="BE30" s="21">
        <f>IF((BB30+BC30)&lt;=AO30,"OK","Risk")</f>
        <v/>
      </c>
      <c r="BF30" s="21">
        <f>IF(AND(AZ30="OK",BE30="OK"),"Ready","Review")</f>
        <v/>
      </c>
      <c r="BG30" s="21" t="n"/>
    </row>
    <row r="31" ht="18" customHeight="1" s="17">
      <c r="A31" s="23" t="inlineStr">
        <is>
          <t>S2</t>
        </is>
      </c>
      <c r="B31" s="23" t="inlineStr">
        <is>
          <t>2026-06-05</t>
        </is>
      </c>
      <c r="C31" s="23" t="inlineStr">
        <is>
          <t>S2-ORD-030</t>
        </is>
      </c>
      <c r="D31" s="23" t="inlineStr">
        <is>
          <t>Sabeco</t>
        </is>
      </c>
      <c r="E31" s="23" t="inlineStr">
        <is>
          <t>Nam Dương</t>
        </is>
      </c>
      <c r="F31" s="23" t="inlineStr">
        <is>
          <t>Đại lý</t>
        </is>
      </c>
      <c r="G31" s="23" t="inlineStr">
        <is>
          <t>PAT2</t>
        </is>
      </c>
      <c r="H31" s="23" t="inlineStr">
        <is>
          <t>Bia lon 333</t>
        </is>
      </c>
      <c r="I31" s="23" t="inlineStr">
        <is>
          <t>PK_HPL_LB</t>
        </is>
      </c>
      <c r="J31" s="23" t="inlineStr">
        <is>
          <t>HPL Depot Long Biên - 20 Thạch Bàn</t>
        </is>
      </c>
      <c r="K31" s="23" t="inlineStr">
        <is>
          <t>Hà Nội</t>
        </is>
      </c>
      <c r="L31" s="23" t="inlineStr">
        <is>
          <t>Long Biên</t>
        </is>
      </c>
      <c r="M31" s="24" t="n">
        <v>21.0261548385</v>
      </c>
      <c r="N31" s="24" t="n">
        <v>105.914182238</v>
      </c>
      <c r="O31" s="23" t="inlineStr">
        <is>
          <t>DL_HN_NAMDUONG</t>
        </is>
      </c>
      <c r="P31" s="23" t="inlineStr">
        <is>
          <t>Nam Dương</t>
        </is>
      </c>
      <c r="Q31" s="23" t="inlineStr">
        <is>
          <t>Hà Nội</t>
        </is>
      </c>
      <c r="R31" s="23" t="inlineStr">
        <is>
          <t>Hà Nội</t>
        </is>
      </c>
      <c r="S31" s="24" t="n">
        <v>21.062911</v>
      </c>
      <c r="T31" s="24" t="n">
        <v>105.832351</v>
      </c>
      <c r="U31" s="23" t="inlineStr">
        <is>
          <t>Nội thành Hà Nội</t>
        </is>
      </c>
      <c r="V31" s="23" t="inlineStr">
        <is>
          <t>Nội thành Hà Nội</t>
        </is>
      </c>
      <c r="W31" s="33" t="n">
        <v>21.6</v>
      </c>
      <c r="X31" s="32" t="n">
        <v>565</v>
      </c>
      <c r="Y31" s="33" t="n">
        <v>1.27</v>
      </c>
      <c r="Z31" s="32" t="n">
        <v>1</v>
      </c>
      <c r="AA31" s="23" t="inlineStr">
        <is>
          <t>1.25T</t>
        </is>
      </c>
      <c r="AB31" s="23" t="inlineStr">
        <is>
          <t>1.25T</t>
        </is>
      </c>
      <c r="AC31" s="23" t="inlineStr">
        <is>
          <t>No</t>
        </is>
      </c>
      <c r="AD31" s="23" t="inlineStr">
        <is>
          <t>Yes</t>
        </is>
      </c>
      <c r="AE31" s="23" t="inlineStr">
        <is>
          <t>No</t>
        </is>
      </c>
      <c r="AF31" s="23" t="inlineStr">
        <is>
          <t>Yes</t>
        </is>
      </c>
      <c r="AG31" s="23" t="inlineStr">
        <is>
          <t>Đường nội đô, có khung giờ cấm tải</t>
        </is>
      </c>
      <c r="AH31" s="23" t="inlineStr">
        <is>
          <t>08:00</t>
        </is>
      </c>
      <c r="AI31" s="23" t="inlineStr">
        <is>
          <t>09:30</t>
        </is>
      </c>
      <c r="AJ31" s="23" t="inlineStr">
        <is>
          <t>10:52</t>
        </is>
      </c>
      <c r="AK31" s="23" t="inlineStr">
        <is>
          <t>13:52</t>
        </is>
      </c>
      <c r="AL31" s="24" t="n">
        <v>30</v>
      </c>
      <c r="AM31" s="24" t="n">
        <v>25</v>
      </c>
      <c r="AN31" s="24" t="n">
        <v>20</v>
      </c>
      <c r="AO31" s="24" t="n">
        <v>352</v>
      </c>
      <c r="AP31" s="35" t="n">
        <v>500000</v>
      </c>
      <c r="AQ31" s="35" t="n">
        <v>150000</v>
      </c>
      <c r="AR31" s="35" t="n">
        <v>0</v>
      </c>
      <c r="AS31" s="32" t="n">
        <v>80000</v>
      </c>
      <c r="AT31" s="23" t="inlineStr">
        <is>
          <t>B - Thường</t>
        </is>
      </c>
      <c r="AU31" s="23" t="inlineStr">
        <is>
          <t>CR-NỘIT-01</t>
        </is>
      </c>
      <c r="AV31" s="23" t="inlineStr">
        <is>
          <t>Excel khách hàng</t>
        </is>
      </c>
      <c r="AW31" s="23" t="inlineStr">
        <is>
          <t>S2-C30</t>
        </is>
      </c>
      <c r="AX31" s="23" t="inlineStr">
        <is>
          <t>1.25T</t>
        </is>
      </c>
      <c r="AY31" s="23" t="inlineStr">
        <is>
          <t>Send to Clustering</t>
        </is>
      </c>
      <c r="AZ31" s="23" t="inlineStr">
        <is>
          <t>OK</t>
        </is>
      </c>
      <c r="BA31" s="23" t="inlineStr">
        <is>
          <t>Cấm tải/đường nhỏ - đã chọn xe nhỏ</t>
        </is>
      </c>
      <c r="BB31" s="23">
        <f>AM31+AN31</f>
        <v/>
      </c>
      <c r="BC31" s="23">
        <f>ROUND(W31/'03_Cost_Constraints'!$B$4*60,0)</f>
        <v/>
      </c>
      <c r="BD31" s="23">
        <f>IF(X31&lt;=500,"5 tạ",IF(X31&lt;=1250,"1.25T",IF(X31&lt;=5000,"5T",IF(X31&lt;=8000,"8T",IF(X31&lt;=15000,"3 chân","4 chân")))))</f>
        <v/>
      </c>
      <c r="BE31" s="23">
        <f>IF((BB31+BC31)&lt;=AO31,"OK","Risk")</f>
        <v/>
      </c>
      <c r="BF31" s="23">
        <f>IF(AND(AZ31="OK",BE31="OK"),"Ready","Review")</f>
        <v/>
      </c>
      <c r="BG31" s="23" t="n"/>
    </row>
    <row r="32" ht="18" customHeight="1" s="17">
      <c r="A32" s="21" t="inlineStr">
        <is>
          <t>S2</t>
        </is>
      </c>
      <c r="B32" s="21" t="inlineStr">
        <is>
          <t>2026-06-05</t>
        </is>
      </c>
      <c r="C32" s="21" t="inlineStr">
        <is>
          <t>S2-ORD-031</t>
        </is>
      </c>
      <c r="D32" s="21" t="inlineStr">
        <is>
          <t>Masan</t>
        </is>
      </c>
      <c r="E32" s="21" t="inlineStr">
        <is>
          <t>VINMART Võ Thị Sáu</t>
        </is>
      </c>
      <c r="F32" s="21" t="inlineStr">
        <is>
          <t>ST</t>
        </is>
      </c>
      <c r="G32" s="21" t="inlineStr">
        <is>
          <t>LVCA</t>
        </is>
      </c>
      <c r="H32" s="21" t="inlineStr">
        <is>
          <t>Bia lon Lạc Việt</t>
        </is>
      </c>
      <c r="I32" s="21" t="inlineStr">
        <is>
          <t>PK_HY_MYHAO</t>
        </is>
      </c>
      <c r="J32" s="21" t="inlineStr">
        <is>
          <t>Kho/Nhà máy khách hàng Mỹ Hào</t>
        </is>
      </c>
      <c r="K32" s="21" t="inlineStr">
        <is>
          <t>Hưng Yên</t>
        </is>
      </c>
      <c r="L32" s="21" t="inlineStr">
        <is>
          <t>Mỹ Hào</t>
        </is>
      </c>
      <c r="M32" s="22" t="n">
        <v>20.9329</v>
      </c>
      <c r="N32" s="22" t="n">
        <v>106.065</v>
      </c>
      <c r="O32" s="21" t="inlineStr">
        <is>
          <t>DL_HN_VOTHISAU</t>
        </is>
      </c>
      <c r="P32" s="21" t="inlineStr">
        <is>
          <t>VINMART Võ Thị Sáu</t>
        </is>
      </c>
      <c r="Q32" s="21" t="inlineStr">
        <is>
          <t>Hà Nội</t>
        </is>
      </c>
      <c r="R32" s="21" t="inlineStr">
        <is>
          <t>Hai Bà Trưng</t>
        </is>
      </c>
      <c r="S32" s="22" t="n">
        <v>21.00441</v>
      </c>
      <c r="T32" s="22" t="n">
        <v>105.855148</v>
      </c>
      <c r="U32" s="21" t="inlineStr">
        <is>
          <t>Nội thành Hà Nội</t>
        </is>
      </c>
      <c r="V32" s="21" t="inlineStr">
        <is>
          <t>Nội thành Hà Nội</t>
        </is>
      </c>
      <c r="W32" s="29" t="n">
        <v>36.8</v>
      </c>
      <c r="X32" s="28" t="n">
        <v>339</v>
      </c>
      <c r="Y32" s="29" t="n">
        <v>0.82</v>
      </c>
      <c r="Z32" s="28" t="n">
        <v>1</v>
      </c>
      <c r="AA32" s="21" t="inlineStr">
        <is>
          <t>5 tạ</t>
        </is>
      </c>
      <c r="AB32" s="21" t="inlineStr">
        <is>
          <t>1.25T</t>
        </is>
      </c>
      <c r="AC32" s="21" t="inlineStr">
        <is>
          <t>No</t>
        </is>
      </c>
      <c r="AD32" s="21" t="inlineStr">
        <is>
          <t>Yes</t>
        </is>
      </c>
      <c r="AE32" s="21" t="inlineStr">
        <is>
          <t>No</t>
        </is>
      </c>
      <c r="AF32" s="21" t="inlineStr">
        <is>
          <t>Yes</t>
        </is>
      </c>
      <c r="AG32" s="21" t="inlineStr">
        <is>
          <t>Giờ cấm tải, xe &lt;=1.25T</t>
        </is>
      </c>
      <c r="AH32" s="21" t="inlineStr">
        <is>
          <t>08:30</t>
        </is>
      </c>
      <c r="AI32" s="21" t="inlineStr">
        <is>
          <t>10:00</t>
        </is>
      </c>
      <c r="AJ32" s="21" t="inlineStr">
        <is>
          <t>10:48</t>
        </is>
      </c>
      <c r="AK32" s="21" t="inlineStr">
        <is>
          <t>12:48</t>
        </is>
      </c>
      <c r="AL32" s="22" t="n">
        <v>30</v>
      </c>
      <c r="AM32" s="22" t="n">
        <v>25</v>
      </c>
      <c r="AN32" s="22" t="n">
        <v>20</v>
      </c>
      <c r="AO32" s="22" t="n">
        <v>258</v>
      </c>
      <c r="AP32" s="31" t="n">
        <v>850000</v>
      </c>
      <c r="AQ32" s="31" t="n">
        <v>0</v>
      </c>
      <c r="AR32" s="31" t="n">
        <v>0</v>
      </c>
      <c r="AS32" s="28" t="n">
        <v>150000</v>
      </c>
      <c r="AT32" s="21" t="inlineStr">
        <is>
          <t>A - SLA chặt</t>
        </is>
      </c>
      <c r="AU32" s="21" t="inlineStr">
        <is>
          <t>CR-NỘIT-02</t>
        </is>
      </c>
      <c r="AV32" s="21" t="inlineStr">
        <is>
          <t>Hệ thống khách hàng</t>
        </is>
      </c>
      <c r="AW32" s="21" t="inlineStr">
        <is>
          <t>S2-C31</t>
        </is>
      </c>
      <c r="AX32" s="21" t="inlineStr">
        <is>
          <t>5 tạ</t>
        </is>
      </c>
      <c r="AY32" s="21" t="inlineStr">
        <is>
          <t>Send to Clustering</t>
        </is>
      </c>
      <c r="AZ32" s="21" t="inlineStr">
        <is>
          <t>OK</t>
        </is>
      </c>
      <c r="BA32" s="21" t="inlineStr">
        <is>
          <t>Cấm tải/đường nhỏ - đã chọn xe nhỏ</t>
        </is>
      </c>
      <c r="BB32" s="21">
        <f>AM32+AN32</f>
        <v/>
      </c>
      <c r="BC32" s="21">
        <f>ROUND(W32/'03_Cost_Constraints'!$B$4*60,0)</f>
        <v/>
      </c>
      <c r="BD32" s="21">
        <f>IF(X32&lt;=500,"5 tạ",IF(X32&lt;=1250,"1.25T",IF(X32&lt;=5000,"5T",IF(X32&lt;=8000,"8T",IF(X32&lt;=15000,"3 chân","4 chân")))))</f>
        <v/>
      </c>
      <c r="BE32" s="21">
        <f>IF((BB32+BC32)&lt;=AO32,"OK","Risk")</f>
        <v/>
      </c>
      <c r="BF32" s="21">
        <f>IF(AND(AZ32="OK",BE32="OK"),"Ready","Review")</f>
        <v/>
      </c>
      <c r="BG32" s="21" t="n"/>
    </row>
    <row r="33" ht="18" customHeight="1" s="17">
      <c r="A33" s="23" t="inlineStr">
        <is>
          <t>S2</t>
        </is>
      </c>
      <c r="B33" s="23" t="inlineStr">
        <is>
          <t>2026-06-05</t>
        </is>
      </c>
      <c r="C33" s="23" t="inlineStr">
        <is>
          <t>S2-ORD-032</t>
        </is>
      </c>
      <c r="D33" s="23" t="inlineStr">
        <is>
          <t>Acecook</t>
        </is>
      </c>
      <c r="E33" s="23" t="inlineStr">
        <is>
          <t>TOPS MARKET ParkCity</t>
        </is>
      </c>
      <c r="F33" s="23" t="inlineStr">
        <is>
          <t>MT</t>
        </is>
      </c>
      <c r="G33" s="23" t="inlineStr">
        <is>
          <t>LVCA</t>
        </is>
      </c>
      <c r="H33" s="23" t="inlineStr">
        <is>
          <t>Bia lon Lạc Việt</t>
        </is>
      </c>
      <c r="I33" s="23" t="inlineStr">
        <is>
          <t>PK_HPL_LB</t>
        </is>
      </c>
      <c r="J33" s="23" t="inlineStr">
        <is>
          <t>HPL Depot Long Biên - 20 Thạch Bàn</t>
        </is>
      </c>
      <c r="K33" s="23" t="inlineStr">
        <is>
          <t>Hà Nội</t>
        </is>
      </c>
      <c r="L33" s="23" t="inlineStr">
        <is>
          <t>Long Biên</t>
        </is>
      </c>
      <c r="M33" s="24" t="n">
        <v>21.0261548385</v>
      </c>
      <c r="N33" s="24" t="n">
        <v>105.914182238</v>
      </c>
      <c r="O33" s="23" t="inlineStr">
        <is>
          <t>DL_HN_PARKCITY</t>
        </is>
      </c>
      <c r="P33" s="23" t="inlineStr">
        <is>
          <t>TOPS MARKET ParkCity</t>
        </is>
      </c>
      <c r="Q33" s="23" t="inlineStr">
        <is>
          <t>Hà Nội</t>
        </is>
      </c>
      <c r="R33" s="23" t="inlineStr">
        <is>
          <t>Hà Đông</t>
        </is>
      </c>
      <c r="S33" s="24" t="n">
        <v>20.965724</v>
      </c>
      <c r="T33" s="24" t="n">
        <v>105.756143</v>
      </c>
      <c r="U33" s="23" t="inlineStr">
        <is>
          <t>Nội thành Hà Nội</t>
        </is>
      </c>
      <c r="V33" s="23" t="inlineStr">
        <is>
          <t>Nội thành Hà Nội</t>
        </is>
      </c>
      <c r="W33" s="33" t="n">
        <v>31.5</v>
      </c>
      <c r="X33" s="32" t="n">
        <v>508</v>
      </c>
      <c r="Y33" s="33" t="n">
        <v>1.28</v>
      </c>
      <c r="Z33" s="32" t="n">
        <v>1</v>
      </c>
      <c r="AA33" s="23" t="inlineStr">
        <is>
          <t>1.25T</t>
        </is>
      </c>
      <c r="AB33" s="23" t="inlineStr">
        <is>
          <t>1.25T</t>
        </is>
      </c>
      <c r="AC33" s="23" t="inlineStr">
        <is>
          <t>No</t>
        </is>
      </c>
      <c r="AD33" s="23" t="inlineStr">
        <is>
          <t>Yes</t>
        </is>
      </c>
      <c r="AE33" s="23" t="inlineStr">
        <is>
          <t>No</t>
        </is>
      </c>
      <c r="AF33" s="23" t="inlineStr">
        <is>
          <t>Yes</t>
        </is>
      </c>
      <c r="AG33" s="23" t="inlineStr">
        <is>
          <t>Bãi giao giới hạn chiều cao</t>
        </is>
      </c>
      <c r="AH33" s="23" t="inlineStr">
        <is>
          <t>07:30</t>
        </is>
      </c>
      <c r="AI33" s="23" t="inlineStr">
        <is>
          <t>10:00</t>
        </is>
      </c>
      <c r="AJ33" s="23" t="inlineStr">
        <is>
          <t>09:39</t>
        </is>
      </c>
      <c r="AK33" s="23" t="inlineStr">
        <is>
          <t>12:09</t>
        </is>
      </c>
      <c r="AL33" s="24" t="n">
        <v>45</v>
      </c>
      <c r="AM33" s="24" t="n">
        <v>25</v>
      </c>
      <c r="AN33" s="24" t="n">
        <v>30</v>
      </c>
      <c r="AO33" s="24" t="n">
        <v>279</v>
      </c>
      <c r="AP33" s="35" t="n">
        <v>670000</v>
      </c>
      <c r="AQ33" s="35" t="n">
        <v>0</v>
      </c>
      <c r="AR33" s="35" t="n">
        <v>120000</v>
      </c>
      <c r="AS33" s="32" t="n">
        <v>80000</v>
      </c>
      <c r="AT33" s="23" t="inlineStr">
        <is>
          <t>B - Thường</t>
        </is>
      </c>
      <c r="AU33" s="23" t="inlineStr">
        <is>
          <t>CR-NỘIT-03</t>
        </is>
      </c>
      <c r="AV33" s="23" t="inlineStr">
        <is>
          <t>Zalo/Email plan 17:00</t>
        </is>
      </c>
      <c r="AW33" s="23" t="inlineStr">
        <is>
          <t>S2-C32</t>
        </is>
      </c>
      <c r="AX33" s="23" t="inlineStr">
        <is>
          <t>1.25T</t>
        </is>
      </c>
      <c r="AY33" s="23" t="inlineStr">
        <is>
          <t>Send to Clustering</t>
        </is>
      </c>
      <c r="AZ33" s="23" t="inlineStr">
        <is>
          <t>OK</t>
        </is>
      </c>
      <c r="BA33" s="23" t="inlineStr">
        <is>
          <t>Cấm tải/đường nhỏ - đã chọn xe nhỏ</t>
        </is>
      </c>
      <c r="BB33" s="23">
        <f>AM33+AN33</f>
        <v/>
      </c>
      <c r="BC33" s="23">
        <f>ROUND(W33/'03_Cost_Constraints'!$B$4*60,0)</f>
        <v/>
      </c>
      <c r="BD33" s="23">
        <f>IF(X33&lt;=500,"5 tạ",IF(X33&lt;=1250,"1.25T",IF(X33&lt;=5000,"5T",IF(X33&lt;=8000,"8T",IF(X33&lt;=15000,"3 chân","4 chân")))))</f>
        <v/>
      </c>
      <c r="BE33" s="23">
        <f>IF((BB33+BC33)&lt;=AO33,"OK","Risk")</f>
        <v/>
      </c>
      <c r="BF33" s="23">
        <f>IF(AND(AZ33="OK",BE33="OK"),"Ready","Review")</f>
        <v/>
      </c>
      <c r="BG33" s="23" t="inlineStr">
        <is>
          <t>Kế hoạch ngày hôm sau; cần chốt trước 19:00 và gửi tài xế sau duyệt</t>
        </is>
      </c>
    </row>
    <row r="34" ht="18" customHeight="1" s="17">
      <c r="A34" s="21" t="inlineStr">
        <is>
          <t>S2</t>
        </is>
      </c>
      <c r="B34" s="21" t="inlineStr">
        <is>
          <t>2026-06-05</t>
        </is>
      </c>
      <c r="C34" s="21" t="inlineStr">
        <is>
          <t>S2-ORD-033</t>
        </is>
      </c>
      <c r="D34" s="21" t="inlineStr">
        <is>
          <t>Linfox</t>
        </is>
      </c>
      <c r="E34" s="21" t="inlineStr">
        <is>
          <t>Siêu thị Ninh Bình</t>
        </is>
      </c>
      <c r="F34" s="21" t="inlineStr">
        <is>
          <t>ST</t>
        </is>
      </c>
      <c r="G34" s="21" t="inlineStr">
        <is>
          <t>EXPL</t>
        </is>
      </c>
      <c r="H34" s="21" t="inlineStr">
        <is>
          <t>Bia lon Saigon Export</t>
        </is>
      </c>
      <c r="I34" s="21" t="inlineStr">
        <is>
          <t>PK_HPL_LB</t>
        </is>
      </c>
      <c r="J34" s="21" t="inlineStr">
        <is>
          <t>HPL Depot Long Biên - 20 Thạch Bàn</t>
        </is>
      </c>
      <c r="K34" s="21" t="inlineStr">
        <is>
          <t>Hà Nội</t>
        </is>
      </c>
      <c r="L34" s="21" t="inlineStr">
        <is>
          <t>Long Biên</t>
        </is>
      </c>
      <c r="M34" s="22" t="n">
        <v>21.0261548385</v>
      </c>
      <c r="N34" s="22" t="n">
        <v>105.914182238</v>
      </c>
      <c r="O34" s="21" t="inlineStr">
        <is>
          <t>DL_NB_SIEUTHI</t>
        </is>
      </c>
      <c r="P34" s="21" t="inlineStr">
        <is>
          <t>Siêu thị Ninh Bình</t>
        </is>
      </c>
      <c r="Q34" s="21" t="inlineStr">
        <is>
          <t>Ninh Bình</t>
        </is>
      </c>
      <c r="R34" s="21" t="inlineStr">
        <is>
          <t>Hoa Lư</t>
        </is>
      </c>
      <c r="S34" s="22" t="n">
        <v>20.250614</v>
      </c>
      <c r="T34" s="22" t="n">
        <v>105.974454</v>
      </c>
      <c r="U34" s="21" t="inlineStr">
        <is>
          <t>Bắc Trung Bộ</t>
        </is>
      </c>
      <c r="V34" s="21" t="inlineStr">
        <is>
          <t>Bắc Trung Bộ</t>
        </is>
      </c>
      <c r="W34" s="29" t="n">
        <v>114</v>
      </c>
      <c r="X34" s="28" t="n">
        <v>4842</v>
      </c>
      <c r="Y34" s="29" t="n">
        <v>10.99</v>
      </c>
      <c r="Z34" s="28" t="n">
        <v>9</v>
      </c>
      <c r="AA34" s="21" t="inlineStr">
        <is>
          <t>5T</t>
        </is>
      </c>
      <c r="AB34" s="21" t="inlineStr">
        <is>
          <t>8T</t>
        </is>
      </c>
      <c r="AC34" s="21" t="inlineStr">
        <is>
          <t>No</t>
        </is>
      </c>
      <c r="AD34" s="21" t="inlineStr">
        <is>
          <t>Yes</t>
        </is>
      </c>
      <c r="AE34" s="21" t="inlineStr">
        <is>
          <t>No</t>
        </is>
      </c>
      <c r="AF34" s="21" t="inlineStr">
        <is>
          <t>No</t>
        </is>
      </c>
      <c r="AG34" s="21" t="inlineStr">
        <is>
          <t>Xe 8T vào được</t>
        </is>
      </c>
      <c r="AH34" s="21" t="inlineStr">
        <is>
          <t>07:00</t>
        </is>
      </c>
      <c r="AI34" s="21" t="inlineStr">
        <is>
          <t>09:30</t>
        </is>
      </c>
      <c r="AJ34" s="21" t="inlineStr">
        <is>
          <t>12:02</t>
        </is>
      </c>
      <c r="AK34" s="21" t="inlineStr">
        <is>
          <t>15:02</t>
        </is>
      </c>
      <c r="AL34" s="22" t="n">
        <v>45</v>
      </c>
      <c r="AM34" s="22" t="n">
        <v>40</v>
      </c>
      <c r="AN34" s="22" t="n">
        <v>35</v>
      </c>
      <c r="AO34" s="22" t="n">
        <v>482</v>
      </c>
      <c r="AP34" s="31" t="n">
        <v>3320000</v>
      </c>
      <c r="AQ34" s="31" t="n">
        <v>150000</v>
      </c>
      <c r="AR34" s="31" t="n">
        <v>0</v>
      </c>
      <c r="AS34" s="28" t="n">
        <v>80000</v>
      </c>
      <c r="AT34" s="21" t="inlineStr">
        <is>
          <t>C - Có thể thương lượng</t>
        </is>
      </c>
      <c r="AU34" s="21" t="inlineStr">
        <is>
          <t>CR-BẮCT-04</t>
        </is>
      </c>
      <c r="AV34" s="21" t="inlineStr">
        <is>
          <t>Manual nhập điều phối</t>
        </is>
      </c>
      <c r="AW34" s="21" t="inlineStr">
        <is>
          <t>S2-C33</t>
        </is>
      </c>
      <c r="AX34" s="21" t="inlineStr">
        <is>
          <t>5T</t>
        </is>
      </c>
      <c r="AY34" s="21" t="inlineStr">
        <is>
          <t>Send to Clustering</t>
        </is>
      </c>
      <c r="AZ34" s="21" t="inlineStr">
        <is>
          <t>OK</t>
        </is>
      </c>
      <c r="BA34" s="21" t="inlineStr">
        <is>
          <t>Empty-run &gt;100km cần tìm chuyến về</t>
        </is>
      </c>
      <c r="BB34" s="21">
        <f>AM34+AN34</f>
        <v/>
      </c>
      <c r="BC34" s="21">
        <f>ROUND(W34/'03_Cost_Constraints'!$B$4*60,0)</f>
        <v/>
      </c>
      <c r="BD34" s="21">
        <f>IF(X34&lt;=500,"5 tạ",IF(X34&lt;=1250,"1.25T",IF(X34&lt;=5000,"5T",IF(X34&lt;=8000,"8T",IF(X34&lt;=15000,"3 chân","4 chân")))))</f>
        <v/>
      </c>
      <c r="BE34" s="21">
        <f>IF((BB34+BC34)&lt;=AO34,"OK","Risk")</f>
        <v/>
      </c>
      <c r="BF34" s="21">
        <f>IF(AND(AZ34="OK",BE34="OK"),"Ready","Review")</f>
        <v/>
      </c>
      <c r="BG34" s="21" t="n"/>
    </row>
    <row r="35" ht="18" customHeight="1" s="17">
      <c r="A35" s="23" t="inlineStr">
        <is>
          <t>S2</t>
        </is>
      </c>
      <c r="B35" s="23" t="inlineStr">
        <is>
          <t>2026-06-05</t>
        </is>
      </c>
      <c r="C35" s="23" t="inlineStr">
        <is>
          <t>S2-ORD-034</t>
        </is>
      </c>
      <c r="D35" s="23" t="inlineStr">
        <is>
          <t>Acecook</t>
        </is>
      </c>
      <c r="E35" s="23" t="inlineStr">
        <is>
          <t>VINMART Quế Võ</t>
        </is>
      </c>
      <c r="F35" s="23" t="inlineStr">
        <is>
          <t>ST</t>
        </is>
      </c>
      <c r="G35" s="23" t="inlineStr">
        <is>
          <t>CHCA</t>
        </is>
      </c>
      <c r="H35" s="23" t="inlineStr">
        <is>
          <t>Bia lon Saigon Chill</t>
        </is>
      </c>
      <c r="I35" s="23" t="inlineStr">
        <is>
          <t>PK_HP_DINHVU</t>
        </is>
      </c>
      <c r="J35" s="23" t="inlineStr">
        <is>
          <t>Kho Hải Phòng - Đình Vũ</t>
        </is>
      </c>
      <c r="K35" s="23" t="inlineStr">
        <is>
          <t>Hải Phòng</t>
        </is>
      </c>
      <c r="L35" s="23" t="inlineStr">
        <is>
          <t>Hải An</t>
        </is>
      </c>
      <c r="M35" s="24" t="n">
        <v>20.8425</v>
      </c>
      <c r="N35" s="24" t="n">
        <v>106.77</v>
      </c>
      <c r="O35" s="23" t="inlineStr">
        <is>
          <t>DL_BN_QUEVO_01</t>
        </is>
      </c>
      <c r="P35" s="23" t="inlineStr">
        <is>
          <t>VINMART Quế Võ</t>
        </is>
      </c>
      <c r="Q35" s="23" t="inlineStr">
        <is>
          <t>Bắc Ninh</t>
        </is>
      </c>
      <c r="R35" s="23" t="inlineStr">
        <is>
          <t>Quế Võ</t>
        </is>
      </c>
      <c r="S35" s="24" t="n">
        <v>21.170139</v>
      </c>
      <c r="T35" s="24" t="n">
        <v>106.102396</v>
      </c>
      <c r="U35" s="23" t="inlineStr">
        <is>
          <t>Đông Bắc</t>
        </is>
      </c>
      <c r="V35" s="23" t="inlineStr">
        <is>
          <t>Đông Bắc</t>
        </is>
      </c>
      <c r="W35" s="33" t="n">
        <v>104</v>
      </c>
      <c r="X35" s="32" t="n">
        <v>3522</v>
      </c>
      <c r="Y35" s="33" t="n">
        <v>8</v>
      </c>
      <c r="Z35" s="32" t="n">
        <v>6</v>
      </c>
      <c r="AA35" s="23" t="inlineStr">
        <is>
          <t>5T</t>
        </is>
      </c>
      <c r="AB35" s="23" t="inlineStr">
        <is>
          <t>8T</t>
        </is>
      </c>
      <c r="AC35" s="23" t="inlineStr">
        <is>
          <t>No</t>
        </is>
      </c>
      <c r="AD35" s="23" t="inlineStr">
        <is>
          <t>Yes</t>
        </is>
      </c>
      <c r="AE35" s="23" t="inlineStr">
        <is>
          <t>No</t>
        </is>
      </c>
      <c r="AF35" s="23" t="inlineStr">
        <is>
          <t>No</t>
        </is>
      </c>
      <c r="AG35" s="23" t="inlineStr">
        <is>
          <t>Đường rộng, xe 5T/8T vào được</t>
        </is>
      </c>
      <c r="AH35" s="23" t="inlineStr">
        <is>
          <t>08:30</t>
        </is>
      </c>
      <c r="AI35" s="23" t="inlineStr">
        <is>
          <t>10:30</t>
        </is>
      </c>
      <c r="AJ35" s="23" t="inlineStr">
        <is>
          <t>13:18</t>
        </is>
      </c>
      <c r="AK35" s="23" t="inlineStr">
        <is>
          <t>16:18</t>
        </is>
      </c>
      <c r="AL35" s="24" t="n">
        <v>45</v>
      </c>
      <c r="AM35" s="24" t="n">
        <v>40</v>
      </c>
      <c r="AN35" s="24" t="n">
        <v>35</v>
      </c>
      <c r="AO35" s="24" t="n">
        <v>468</v>
      </c>
      <c r="AP35" s="35" t="n">
        <v>2500000</v>
      </c>
      <c r="AQ35" s="35" t="n">
        <v>0</v>
      </c>
      <c r="AR35" s="35" t="n">
        <v>0</v>
      </c>
      <c r="AS35" s="32" t="n">
        <v>80000</v>
      </c>
      <c r="AT35" s="23" t="inlineStr">
        <is>
          <t>B - Thường</t>
        </is>
      </c>
      <c r="AU35" s="23" t="inlineStr">
        <is>
          <t>CR-ĐÔNG-05</t>
        </is>
      </c>
      <c r="AV35" s="23" t="inlineStr">
        <is>
          <t>Excel khách hàng</t>
        </is>
      </c>
      <c r="AW35" s="23" t="inlineStr">
        <is>
          <t>S2-C34</t>
        </is>
      </c>
      <c r="AX35" s="23" t="inlineStr">
        <is>
          <t>5T</t>
        </is>
      </c>
      <c r="AY35" s="23" t="inlineStr">
        <is>
          <t>Send to Clustering</t>
        </is>
      </c>
      <c r="AZ35" s="23" t="inlineStr">
        <is>
          <t>OK</t>
        </is>
      </c>
      <c r="BA35" s="23" t="inlineStr">
        <is>
          <t>Empty-run &gt;100km cần tìm chuyến về</t>
        </is>
      </c>
      <c r="BB35" s="23">
        <f>AM35+AN35</f>
        <v/>
      </c>
      <c r="BC35" s="23">
        <f>ROUND(W35/'03_Cost_Constraints'!$B$4*60,0)</f>
        <v/>
      </c>
      <c r="BD35" s="23">
        <f>IF(X35&lt;=500,"5 tạ",IF(X35&lt;=1250,"1.25T",IF(X35&lt;=5000,"5T",IF(X35&lt;=8000,"8T",IF(X35&lt;=15000,"3 chân","4 chân")))))</f>
        <v/>
      </c>
      <c r="BE35" s="23">
        <f>IF((BB35+BC35)&lt;=AO35,"OK","Risk")</f>
        <v/>
      </c>
      <c r="BF35" s="23">
        <f>IF(AND(AZ35="OK",BE35="OK"),"Ready","Review")</f>
        <v/>
      </c>
      <c r="BG35" s="23" t="n"/>
    </row>
    <row r="36" ht="18" customHeight="1" s="17">
      <c r="A36" s="21" t="inlineStr">
        <is>
          <t>S2</t>
        </is>
      </c>
      <c r="B36" s="21" t="inlineStr">
        <is>
          <t>2026-06-05</t>
        </is>
      </c>
      <c r="C36" s="21" t="inlineStr">
        <is>
          <t>S2-ORD-035</t>
        </is>
      </c>
      <c r="D36" s="21" t="inlineStr">
        <is>
          <t>Bách Hóa Xanh</t>
        </is>
      </c>
      <c r="E36" s="21" t="inlineStr">
        <is>
          <t>LOTTE MART Cầu Giấy</t>
        </is>
      </c>
      <c r="F36" s="21" t="inlineStr">
        <is>
          <t>MT</t>
        </is>
      </c>
      <c r="G36" s="21" t="inlineStr">
        <is>
          <t>FMCG</t>
        </is>
      </c>
      <c r="H36" s="21" t="inlineStr">
        <is>
          <t>Hàng tiêu dùng nhanh hỗn hợp</t>
        </is>
      </c>
      <c r="I36" s="21" t="inlineStr">
        <is>
          <t>PK_HPL_LB</t>
        </is>
      </c>
      <c r="J36" s="21" t="inlineStr">
        <is>
          <t>HPL Depot Long Biên - 20 Thạch Bàn</t>
        </is>
      </c>
      <c r="K36" s="21" t="inlineStr">
        <is>
          <t>Hà Nội</t>
        </is>
      </c>
      <c r="L36" s="21" t="inlineStr">
        <is>
          <t>Long Biên</t>
        </is>
      </c>
      <c r="M36" s="22" t="n">
        <v>21.0261548385</v>
      </c>
      <c r="N36" s="22" t="n">
        <v>105.914182238</v>
      </c>
      <c r="O36" s="21" t="inlineStr">
        <is>
          <t>DL_HN_LOTTE_CG</t>
        </is>
      </c>
      <c r="P36" s="21" t="inlineStr">
        <is>
          <t>LOTTE MART Cầu Giấy</t>
        </is>
      </c>
      <c r="Q36" s="21" t="inlineStr">
        <is>
          <t>Hà Nội</t>
        </is>
      </c>
      <c r="R36" s="21" t="inlineStr">
        <is>
          <t>Cầu Giấy</t>
        </is>
      </c>
      <c r="S36" s="22" t="n">
        <v>21.035513</v>
      </c>
      <c r="T36" s="22" t="n">
        <v>105.794064</v>
      </c>
      <c r="U36" s="21" t="inlineStr">
        <is>
          <t>Nội thành Hà Nội</t>
        </is>
      </c>
      <c r="V36" s="21" t="inlineStr">
        <is>
          <t>Nội thành Hà Nội</t>
        </is>
      </c>
      <c r="W36" s="29" t="n">
        <v>23.4</v>
      </c>
      <c r="X36" s="28" t="n">
        <v>1445</v>
      </c>
      <c r="Y36" s="29" t="n">
        <v>7.19</v>
      </c>
      <c r="Z36" s="28" t="n">
        <v>5</v>
      </c>
      <c r="AA36" s="21" t="inlineStr">
        <is>
          <t>5T</t>
        </is>
      </c>
      <c r="AB36" s="21" t="inlineStr">
        <is>
          <t>1.25T</t>
        </is>
      </c>
      <c r="AC36" s="21" t="inlineStr">
        <is>
          <t>No</t>
        </is>
      </c>
      <c r="AD36" s="21" t="inlineStr">
        <is>
          <t>Yes</t>
        </is>
      </c>
      <c r="AE36" s="21" t="inlineStr">
        <is>
          <t>No</t>
        </is>
      </c>
      <c r="AF36" s="21" t="inlineStr">
        <is>
          <t>Yes</t>
        </is>
      </c>
      <c r="AG36" s="21" t="inlineStr">
        <is>
          <t>Khung giờ nhập kho cố định</t>
        </is>
      </c>
      <c r="AH36" s="21" t="inlineStr">
        <is>
          <t>07:30</t>
        </is>
      </c>
      <c r="AI36" s="21" t="inlineStr">
        <is>
          <t>09:00</t>
        </is>
      </c>
      <c r="AJ36" s="21" t="inlineStr">
        <is>
          <t>10:10</t>
        </is>
      </c>
      <c r="AK36" s="21" t="inlineStr">
        <is>
          <t>13:10</t>
        </is>
      </c>
      <c r="AL36" s="22" t="n">
        <v>45</v>
      </c>
      <c r="AM36" s="22" t="n">
        <v>40</v>
      </c>
      <c r="AN36" s="22" t="n">
        <v>45</v>
      </c>
      <c r="AO36" s="22" t="n">
        <v>340</v>
      </c>
      <c r="AP36" s="31" t="n">
        <v>600000</v>
      </c>
      <c r="AQ36" s="31" t="n">
        <v>0</v>
      </c>
      <c r="AR36" s="31" t="n">
        <v>120000</v>
      </c>
      <c r="AS36" s="28" t="n">
        <v>80000</v>
      </c>
      <c r="AT36" s="21" t="inlineStr">
        <is>
          <t>C - Có thể thương lượng</t>
        </is>
      </c>
      <c r="AU36" s="21" t="inlineStr">
        <is>
          <t>CR-NỘIT-01</t>
        </is>
      </c>
      <c r="AV36" s="21" t="inlineStr">
        <is>
          <t>Hệ thống khách hàng</t>
        </is>
      </c>
      <c r="AW36" s="21" t="inlineStr">
        <is>
          <t>S2-C35</t>
        </is>
      </c>
      <c r="AX36" s="21" t="inlineStr">
        <is>
          <t>Split/Chuyển tải</t>
        </is>
      </c>
      <c r="AY36" s="21" t="inlineStr">
        <is>
          <t>Split Order/Chuyển tải hoặc xin xe nhỏ nhiều chuyến</t>
        </is>
      </c>
      <c r="AZ36" s="21" t="inlineStr">
        <is>
          <t>Review</t>
        </is>
      </c>
      <c r="BA36" s="21" t="inlineStr">
        <is>
          <t>Vehicle Mismatch</t>
        </is>
      </c>
      <c r="BB36" s="21">
        <f>AM36+AN36</f>
        <v/>
      </c>
      <c r="BC36" s="21">
        <f>ROUND(W36/'03_Cost_Constraints'!$B$4*60,0)</f>
        <v/>
      </c>
      <c r="BD36" s="21">
        <f>IF(X36&lt;=500,"5 tạ",IF(X36&lt;=1250,"1.25T",IF(X36&lt;=5000,"5T",IF(X36&lt;=8000,"8T",IF(X36&lt;=15000,"3 chân","4 chân")))))</f>
        <v/>
      </c>
      <c r="BE36" s="21">
        <f>IF((BB36+BC36)&lt;=AO36,"OK","Risk")</f>
        <v/>
      </c>
      <c r="BF36" s="21">
        <f>IF(AND(AZ36="OK",BE36="OK"),"Ready","Review")</f>
        <v/>
      </c>
      <c r="BG36" s="21" t="n"/>
    </row>
    <row r="37" ht="18" customHeight="1" s="17">
      <c r="A37" s="23" t="inlineStr">
        <is>
          <t>S2</t>
        </is>
      </c>
      <c r="B37" s="23" t="inlineStr">
        <is>
          <t>2026-06-05</t>
        </is>
      </c>
      <c r="C37" s="23" t="inlineStr">
        <is>
          <t>S2-ORD-036</t>
        </is>
      </c>
      <c r="D37" s="23" t="inlineStr">
        <is>
          <t>Unilever</t>
        </is>
      </c>
      <c r="E37" s="23" t="inlineStr">
        <is>
          <t>VINMART Times City</t>
        </is>
      </c>
      <c r="F37" s="23" t="inlineStr">
        <is>
          <t>MT</t>
        </is>
      </c>
      <c r="G37" s="23" t="inlineStr">
        <is>
          <t>NOODLE</t>
        </is>
      </c>
      <c r="H37" s="23" t="inlineStr">
        <is>
          <t>Mì gói/Acecook carton</t>
        </is>
      </c>
      <c r="I37" s="23" t="inlineStr">
        <is>
          <t>PK_LINFOX_VSIP</t>
        </is>
      </c>
      <c r="J37" s="23" t="inlineStr">
        <is>
          <t>Kho Linfox KCN VSIP Bắc Ninh</t>
        </is>
      </c>
      <c r="K37" s="23" t="inlineStr">
        <is>
          <t>Bắc Ninh</t>
        </is>
      </c>
      <c r="L37" s="23" t="inlineStr">
        <is>
          <t>Từ Sơn</t>
        </is>
      </c>
      <c r="M37" s="24" t="n">
        <v>21.082707</v>
      </c>
      <c r="N37" s="24" t="n">
        <v>105.997949</v>
      </c>
      <c r="O37" s="23" t="inlineStr">
        <is>
          <t>DL_HN_TIMESCITY</t>
        </is>
      </c>
      <c r="P37" s="23" t="inlineStr">
        <is>
          <t>VINMART Times City</t>
        </is>
      </c>
      <c r="Q37" s="23" t="inlineStr">
        <is>
          <t>Hà Nội</t>
        </is>
      </c>
      <c r="R37" s="23" t="inlineStr">
        <is>
          <t>Hai Bà Trưng</t>
        </is>
      </c>
      <c r="S37" s="24" t="n">
        <v>20.994022</v>
      </c>
      <c r="T37" s="24" t="n">
        <v>105.869639</v>
      </c>
      <c r="U37" s="23" t="inlineStr">
        <is>
          <t>Nội thành Hà Nội</t>
        </is>
      </c>
      <c r="V37" s="23" t="inlineStr">
        <is>
          <t>Nội thành Hà Nội</t>
        </is>
      </c>
      <c r="W37" s="33" t="n">
        <v>28.9</v>
      </c>
      <c r="X37" s="32" t="n">
        <v>1006</v>
      </c>
      <c r="Y37" s="33" t="n">
        <v>7.73</v>
      </c>
      <c r="Z37" s="32" t="n">
        <v>6</v>
      </c>
      <c r="AA37" s="23" t="inlineStr">
        <is>
          <t>1.25T</t>
        </is>
      </c>
      <c r="AB37" s="23" t="inlineStr">
        <is>
          <t>1.25T</t>
        </is>
      </c>
      <c r="AC37" s="23" t="inlineStr">
        <is>
          <t>No</t>
        </is>
      </c>
      <c r="AD37" s="23" t="inlineStr">
        <is>
          <t>Yes</t>
        </is>
      </c>
      <c r="AE37" s="23" t="inlineStr">
        <is>
          <t>No</t>
        </is>
      </c>
      <c r="AF37" s="23" t="inlineStr">
        <is>
          <t>Yes</t>
        </is>
      </c>
      <c r="AG37" s="23" t="inlineStr">
        <is>
          <t>Nội khu, xe lớn hạn chế</t>
        </is>
      </c>
      <c r="AH37" s="23" t="inlineStr">
        <is>
          <t>08:00</t>
        </is>
      </c>
      <c r="AI37" s="23" t="inlineStr">
        <is>
          <t>10:00</t>
        </is>
      </c>
      <c r="AJ37" s="23" t="inlineStr">
        <is>
          <t>10:34</t>
        </is>
      </c>
      <c r="AK37" s="23" t="inlineStr">
        <is>
          <t>12:34</t>
        </is>
      </c>
      <c r="AL37" s="24" t="n">
        <v>45</v>
      </c>
      <c r="AM37" s="24" t="n">
        <v>25</v>
      </c>
      <c r="AN37" s="24" t="n">
        <v>30</v>
      </c>
      <c r="AO37" s="24" t="n">
        <v>274</v>
      </c>
      <c r="AP37" s="35" t="n">
        <v>930000</v>
      </c>
      <c r="AQ37" s="35" t="n">
        <v>0</v>
      </c>
      <c r="AR37" s="35" t="n">
        <v>120000</v>
      </c>
      <c r="AS37" s="32" t="n">
        <v>80000</v>
      </c>
      <c r="AT37" s="23" t="inlineStr">
        <is>
          <t>B - Thường</t>
        </is>
      </c>
      <c r="AU37" s="23" t="inlineStr">
        <is>
          <t>CR-NỘIT-02</t>
        </is>
      </c>
      <c r="AV37" s="23" t="inlineStr">
        <is>
          <t>Zalo/Email plan 17:00</t>
        </is>
      </c>
      <c r="AW37" s="23" t="inlineStr">
        <is>
          <t>S2-C35</t>
        </is>
      </c>
      <c r="AX37" s="23" t="inlineStr">
        <is>
          <t>1.25T</t>
        </is>
      </c>
      <c r="AY37" s="23" t="inlineStr">
        <is>
          <t>Send to Clustering</t>
        </is>
      </c>
      <c r="AZ37" s="23" t="inlineStr">
        <is>
          <t>OK</t>
        </is>
      </c>
      <c r="BA37" s="23" t="inlineStr">
        <is>
          <t>Cấm tải/đường nhỏ - đã chọn xe nhỏ</t>
        </is>
      </c>
      <c r="BB37" s="23">
        <f>AM37+AN37</f>
        <v/>
      </c>
      <c r="BC37" s="23">
        <f>ROUND(W37/'03_Cost_Constraints'!$B$4*60,0)</f>
        <v/>
      </c>
      <c r="BD37" s="23">
        <f>IF(X37&lt;=500,"5 tạ",IF(X37&lt;=1250,"1.25T",IF(X37&lt;=5000,"5T",IF(X37&lt;=8000,"8T",IF(X37&lt;=15000,"3 chân","4 chân")))))</f>
        <v/>
      </c>
      <c r="BE37" s="23">
        <f>IF((BB37+BC37)&lt;=AO37,"OK","Risk")</f>
        <v/>
      </c>
      <c r="BF37" s="23">
        <f>IF(AND(AZ37="OK",BE37="OK"),"Ready","Review")</f>
        <v/>
      </c>
      <c r="BG37" s="23" t="inlineStr">
        <is>
          <t>Kế hoạch ngày hôm sau; cần chốt trước 19:00 và gửi tài xế sau duyệt</t>
        </is>
      </c>
    </row>
    <row r="38" ht="18" customHeight="1" s="17">
      <c r="A38" s="21" t="inlineStr">
        <is>
          <t>S2</t>
        </is>
      </c>
      <c r="B38" s="21" t="inlineStr">
        <is>
          <t>2026-06-05</t>
        </is>
      </c>
      <c r="C38" s="21" t="inlineStr">
        <is>
          <t>S2-ORD-037</t>
        </is>
      </c>
      <c r="D38" s="21" t="inlineStr">
        <is>
          <t>VinCommerce</t>
        </is>
      </c>
      <c r="E38" s="21" t="inlineStr">
        <is>
          <t>MM Hồng Bàng</t>
        </is>
      </c>
      <c r="F38" s="21" t="inlineStr">
        <is>
          <t>MT</t>
        </is>
      </c>
      <c r="G38" s="21" t="inlineStr">
        <is>
          <t>FMCG</t>
        </is>
      </c>
      <c r="H38" s="21" t="inlineStr">
        <is>
          <t>Hàng tiêu dùng nhanh hỗn hợp</t>
        </is>
      </c>
      <c r="I38" s="21" t="inlineStr">
        <is>
          <t>PK_LINFOX_VSIP</t>
        </is>
      </c>
      <c r="J38" s="21" t="inlineStr">
        <is>
          <t>Kho Linfox KCN VSIP Bắc Ninh</t>
        </is>
      </c>
      <c r="K38" s="21" t="inlineStr">
        <is>
          <t>Bắc Ninh</t>
        </is>
      </c>
      <c r="L38" s="21" t="inlineStr">
        <is>
          <t>Từ Sơn</t>
        </is>
      </c>
      <c r="M38" s="22" t="n">
        <v>21.082707</v>
      </c>
      <c r="N38" s="22" t="n">
        <v>105.997949</v>
      </c>
      <c r="O38" s="21" t="inlineStr">
        <is>
          <t>DL_HP_HONGBANG</t>
        </is>
      </c>
      <c r="P38" s="21" t="inlineStr">
        <is>
          <t>MM Hồng Bàng</t>
        </is>
      </c>
      <c r="Q38" s="21" t="inlineStr">
        <is>
          <t>Hải Phòng</t>
        </is>
      </c>
      <c r="R38" s="21" t="inlineStr">
        <is>
          <t>Hồng Bàng</t>
        </is>
      </c>
      <c r="S38" s="22" t="n">
        <v>20.856112</v>
      </c>
      <c r="T38" s="22" t="n">
        <v>106.682239</v>
      </c>
      <c r="U38" s="21" t="inlineStr">
        <is>
          <t>Đông Bắc</t>
        </is>
      </c>
      <c r="V38" s="21" t="inlineStr">
        <is>
          <t>Đông Bắc</t>
        </is>
      </c>
      <c r="W38" s="29" t="n">
        <v>102.4</v>
      </c>
      <c r="X38" s="28" t="n">
        <v>6467</v>
      </c>
      <c r="Y38" s="29" t="n">
        <v>25.04</v>
      </c>
      <c r="Z38" s="28" t="n">
        <v>20</v>
      </c>
      <c r="AA38" s="21" t="inlineStr">
        <is>
          <t>8T</t>
        </is>
      </c>
      <c r="AB38" s="21" t="inlineStr">
        <is>
          <t>5T</t>
        </is>
      </c>
      <c r="AC38" s="21" t="inlineStr">
        <is>
          <t>No</t>
        </is>
      </c>
      <c r="AD38" s="21" t="inlineStr">
        <is>
          <t>Yes</t>
        </is>
      </c>
      <c r="AE38" s="21" t="inlineStr">
        <is>
          <t>No</t>
        </is>
      </c>
      <c r="AF38" s="21" t="inlineStr">
        <is>
          <t>No</t>
        </is>
      </c>
      <c r="AG38" s="21" t="inlineStr">
        <is>
          <t>Đường đô thị Hải Phòng, xe 5T vào được</t>
        </is>
      </c>
      <c r="AH38" s="21" t="inlineStr">
        <is>
          <t>08:00</t>
        </is>
      </c>
      <c r="AI38" s="21" t="inlineStr">
        <is>
          <t>10:30</t>
        </is>
      </c>
      <c r="AJ38" s="21" t="inlineStr">
        <is>
          <t>12:16</t>
        </is>
      </c>
      <c r="AK38" s="21" t="inlineStr">
        <is>
          <t>14:46</t>
        </is>
      </c>
      <c r="AL38" s="22" t="n">
        <v>45</v>
      </c>
      <c r="AM38" s="22" t="n">
        <v>40</v>
      </c>
      <c r="AN38" s="22" t="n">
        <v>45</v>
      </c>
      <c r="AO38" s="22" t="n">
        <v>406</v>
      </c>
      <c r="AP38" s="31" t="n">
        <v>4040000</v>
      </c>
      <c r="AQ38" s="31" t="n">
        <v>0</v>
      </c>
      <c r="AR38" s="31" t="n">
        <v>120000</v>
      </c>
      <c r="AS38" s="28" t="n">
        <v>80000</v>
      </c>
      <c r="AT38" s="21" t="inlineStr">
        <is>
          <t>C - Có thể thương lượng</t>
        </is>
      </c>
      <c r="AU38" s="21" t="inlineStr">
        <is>
          <t>CR-ĐÔNG-03</t>
        </is>
      </c>
      <c r="AV38" s="21" t="inlineStr">
        <is>
          <t>Manual nhập điều phối</t>
        </is>
      </c>
      <c r="AW38" s="21" t="inlineStr">
        <is>
          <t>S2-C37</t>
        </is>
      </c>
      <c r="AX38" s="21" t="inlineStr">
        <is>
          <t>Split/Chuyển tải</t>
        </is>
      </c>
      <c r="AY38" s="21" t="inlineStr">
        <is>
          <t>Split Order/Chuyển tải hoặc xin xe nhỏ nhiều chuyến</t>
        </is>
      </c>
      <c r="AZ38" s="21" t="inlineStr">
        <is>
          <t>Review</t>
        </is>
      </c>
      <c r="BA38" s="21" t="inlineStr">
        <is>
          <t>Vehicle Mismatch</t>
        </is>
      </c>
      <c r="BB38" s="21">
        <f>AM38+AN38</f>
        <v/>
      </c>
      <c r="BC38" s="21">
        <f>ROUND(W38/'03_Cost_Constraints'!$B$4*60,0)</f>
        <v/>
      </c>
      <c r="BD38" s="21">
        <f>IF(X38&lt;=500,"5 tạ",IF(X38&lt;=1250,"1.25T",IF(X38&lt;=5000,"5T",IF(X38&lt;=8000,"8T",IF(X38&lt;=15000,"3 chân","4 chân")))))</f>
        <v/>
      </c>
      <c r="BE38" s="21">
        <f>IF((BB38+BC38)&lt;=AO38,"OK","Risk")</f>
        <v/>
      </c>
      <c r="BF38" s="21">
        <f>IF(AND(AZ38="OK",BE38="OK"),"Ready","Review")</f>
        <v/>
      </c>
      <c r="BG38" s="21" t="n"/>
    </row>
    <row r="39" ht="18" customHeight="1" s="17">
      <c r="A39" s="23" t="inlineStr">
        <is>
          <t>S2</t>
        </is>
      </c>
      <c r="B39" s="23" t="inlineStr">
        <is>
          <t>2026-06-05</t>
        </is>
      </c>
      <c r="C39" s="23" t="inlineStr">
        <is>
          <t>S2-ORD-038</t>
        </is>
      </c>
      <c r="D39" s="23" t="inlineStr">
        <is>
          <t>Sabeco</t>
        </is>
      </c>
      <c r="E39" s="23" t="inlineStr">
        <is>
          <t>GO! Hà Nam</t>
        </is>
      </c>
      <c r="F39" s="23" t="inlineStr">
        <is>
          <t>MT</t>
        </is>
      </c>
      <c r="G39" s="23" t="inlineStr">
        <is>
          <t>SP33</t>
        </is>
      </c>
      <c r="H39" s="23" t="inlineStr">
        <is>
          <t>Bia lon Saigon Special</t>
        </is>
      </c>
      <c r="I39" s="23" t="inlineStr">
        <is>
          <t>PK_NA_BACVINH</t>
        </is>
      </c>
      <c r="J39" s="23" t="inlineStr">
        <is>
          <t>Kho DC Vinh - KCN Bắc Vinh</t>
        </is>
      </c>
      <c r="K39" s="23" t="inlineStr">
        <is>
          <t>Nghệ An</t>
        </is>
      </c>
      <c r="L39" s="23" t="inlineStr">
        <is>
          <t>Vinh</t>
        </is>
      </c>
      <c r="M39" s="24" t="n">
        <v>18.733</v>
      </c>
      <c r="N39" s="24" t="n">
        <v>105.681</v>
      </c>
      <c r="O39" s="23" t="inlineStr">
        <is>
          <t>DL_HN_GO_HANAM</t>
        </is>
      </c>
      <c r="P39" s="23" t="inlineStr">
        <is>
          <t>GO! Hà Nam</t>
        </is>
      </c>
      <c r="Q39" s="23" t="inlineStr">
        <is>
          <t>Ninh Bình</t>
        </is>
      </c>
      <c r="R39" s="23" t="inlineStr">
        <is>
          <t>Phủ Lý</t>
        </is>
      </c>
      <c r="S39" s="24" t="n">
        <v>20.541</v>
      </c>
      <c r="T39" s="24" t="n">
        <v>105.913</v>
      </c>
      <c r="U39" s="23" t="inlineStr">
        <is>
          <t>Bắc Trung Bộ</t>
        </is>
      </c>
      <c r="V39" s="23" t="inlineStr">
        <is>
          <t>Bắc Trung Bộ</t>
        </is>
      </c>
      <c r="W39" s="33" t="n">
        <v>263.9</v>
      </c>
      <c r="X39" s="32" t="n">
        <v>2506</v>
      </c>
      <c r="Y39" s="33" t="n">
        <v>4.08</v>
      </c>
      <c r="Z39" s="32" t="n">
        <v>3</v>
      </c>
      <c r="AA39" s="23" t="inlineStr">
        <is>
          <t>5T</t>
        </is>
      </c>
      <c r="AB39" s="23" t="inlineStr">
        <is>
          <t>8T</t>
        </is>
      </c>
      <c r="AC39" s="23" t="inlineStr">
        <is>
          <t>No</t>
        </is>
      </c>
      <c r="AD39" s="23" t="inlineStr">
        <is>
          <t>Yes</t>
        </is>
      </c>
      <c r="AE39" s="23" t="inlineStr">
        <is>
          <t>No</t>
        </is>
      </c>
      <c r="AF39" s="23" t="inlineStr">
        <is>
          <t>No</t>
        </is>
      </c>
      <c r="AG39" s="23" t="inlineStr">
        <is>
          <t>Xe 5T/8T vào được</t>
        </is>
      </c>
      <c r="AH39" s="23" t="inlineStr">
        <is>
          <t>07:00</t>
        </is>
      </c>
      <c r="AI39" s="23" t="inlineStr">
        <is>
          <t>09:00</t>
        </is>
      </c>
      <c r="AJ39" s="23" t="inlineStr">
        <is>
          <t>13:16</t>
        </is>
      </c>
      <c r="AK39" s="23" t="inlineStr">
        <is>
          <t>15:16</t>
        </is>
      </c>
      <c r="AL39" s="24" t="n">
        <v>30</v>
      </c>
      <c r="AM39" s="24" t="n">
        <v>40</v>
      </c>
      <c r="AN39" s="24" t="n">
        <v>45</v>
      </c>
      <c r="AO39" s="24" t="n">
        <v>496</v>
      </c>
      <c r="AP39" s="35" t="n">
        <v>4760000</v>
      </c>
      <c r="AQ39" s="35" t="n">
        <v>0</v>
      </c>
      <c r="AR39" s="35" t="n">
        <v>120000</v>
      </c>
      <c r="AS39" s="32" t="n">
        <v>80000</v>
      </c>
      <c r="AT39" s="23" t="inlineStr">
        <is>
          <t>B - Thường</t>
        </is>
      </c>
      <c r="AU39" s="23" t="inlineStr">
        <is>
          <t>CR-BẮCT-04</t>
        </is>
      </c>
      <c r="AV39" s="23" t="inlineStr">
        <is>
          <t>Excel khách hàng</t>
        </is>
      </c>
      <c r="AW39" s="23" t="inlineStr">
        <is>
          <t>S2-C38</t>
        </is>
      </c>
      <c r="AX39" s="23" t="inlineStr">
        <is>
          <t>5T</t>
        </is>
      </c>
      <c r="AY39" s="23" t="inlineStr">
        <is>
          <t>Send to Clustering</t>
        </is>
      </c>
      <c r="AZ39" s="23" t="inlineStr">
        <is>
          <t>OK</t>
        </is>
      </c>
      <c r="BA39" s="23" t="inlineStr">
        <is>
          <t>Empty-run &gt;100km cần tìm chuyến về</t>
        </is>
      </c>
      <c r="BB39" s="23">
        <f>AM39+AN39</f>
        <v/>
      </c>
      <c r="BC39" s="23">
        <f>ROUND(W39/'03_Cost_Constraints'!$B$4*60,0)</f>
        <v/>
      </c>
      <c r="BD39" s="23">
        <f>IF(X39&lt;=500,"5 tạ",IF(X39&lt;=1250,"1.25T",IF(X39&lt;=5000,"5T",IF(X39&lt;=8000,"8T",IF(X39&lt;=15000,"3 chân","4 chân")))))</f>
        <v/>
      </c>
      <c r="BE39" s="23">
        <f>IF((BB39+BC39)&lt;=AO39,"OK","Risk")</f>
        <v/>
      </c>
      <c r="BF39" s="23">
        <f>IF(AND(AZ39="OK",BE39="OK"),"Ready","Review")</f>
        <v/>
      </c>
      <c r="BG39" s="23" t="n"/>
    </row>
    <row r="40" ht="18" customHeight="1" s="17">
      <c r="A40" s="21" t="inlineStr">
        <is>
          <t>S2</t>
        </is>
      </c>
      <c r="B40" s="21" t="inlineStr">
        <is>
          <t>2026-06-05</t>
        </is>
      </c>
      <c r="C40" s="21" t="inlineStr">
        <is>
          <t>S2-ORD-039</t>
        </is>
      </c>
      <c r="D40" s="21" t="inlineStr">
        <is>
          <t>Sabeco</t>
        </is>
      </c>
      <c r="E40" s="21" t="inlineStr">
        <is>
          <t>VINMART Uông Bí</t>
        </is>
      </c>
      <c r="F40" s="21" t="inlineStr">
        <is>
          <t>ST</t>
        </is>
      </c>
      <c r="G40" s="21" t="inlineStr">
        <is>
          <t>SP33</t>
        </is>
      </c>
      <c r="H40" s="21" t="inlineStr">
        <is>
          <t>Bia lon Saigon Special</t>
        </is>
      </c>
      <c r="I40" s="21" t="inlineStr">
        <is>
          <t>PK_HP_DINHVU</t>
        </is>
      </c>
      <c r="J40" s="21" t="inlineStr">
        <is>
          <t>Kho Hải Phòng - Đình Vũ</t>
        </is>
      </c>
      <c r="K40" s="21" t="inlineStr">
        <is>
          <t>Hải Phòng</t>
        </is>
      </c>
      <c r="L40" s="21" t="inlineStr">
        <is>
          <t>Hải An</t>
        </is>
      </c>
      <c r="M40" s="22" t="n">
        <v>20.8425</v>
      </c>
      <c r="N40" s="22" t="n">
        <v>106.77</v>
      </c>
      <c r="O40" s="21" t="inlineStr">
        <is>
          <t>DL_QN_UONGBI</t>
        </is>
      </c>
      <c r="P40" s="21" t="inlineStr">
        <is>
          <t>VINMART Uông Bí</t>
        </is>
      </c>
      <c r="Q40" s="21" t="inlineStr">
        <is>
          <t>Quảng Ninh</t>
        </is>
      </c>
      <c r="R40" s="21" t="inlineStr">
        <is>
          <t>Uông Bí</t>
        </is>
      </c>
      <c r="S40" s="22" t="n">
        <v>21.031495</v>
      </c>
      <c r="T40" s="22" t="n">
        <v>106.76688</v>
      </c>
      <c r="U40" s="21" t="inlineStr">
        <is>
          <t>Đông Bắc</t>
        </is>
      </c>
      <c r="V40" s="21" t="inlineStr">
        <is>
          <t>Đông Bắc</t>
        </is>
      </c>
      <c r="W40" s="29" t="n">
        <v>33.1</v>
      </c>
      <c r="X40" s="28" t="n">
        <v>2471</v>
      </c>
      <c r="Y40" s="29" t="n">
        <v>7.1</v>
      </c>
      <c r="Z40" s="28" t="n">
        <v>5</v>
      </c>
      <c r="AA40" s="21" t="inlineStr">
        <is>
          <t>5T</t>
        </is>
      </c>
      <c r="AB40" s="21" t="inlineStr">
        <is>
          <t>8T</t>
        </is>
      </c>
      <c r="AC40" s="21" t="inlineStr">
        <is>
          <t>No</t>
        </is>
      </c>
      <c r="AD40" s="21" t="inlineStr">
        <is>
          <t>Yes</t>
        </is>
      </c>
      <c r="AE40" s="21" t="inlineStr">
        <is>
          <t>No</t>
        </is>
      </c>
      <c r="AF40" s="21" t="inlineStr">
        <is>
          <t>No</t>
        </is>
      </c>
      <c r="AG40" s="21" t="inlineStr">
        <is>
          <t>Đường tỉnh, xe 5T/8T vào được</t>
        </is>
      </c>
      <c r="AH40" s="21" t="inlineStr">
        <is>
          <t>08:30</t>
        </is>
      </c>
      <c r="AI40" s="21" t="inlineStr">
        <is>
          <t>11:00</t>
        </is>
      </c>
      <c r="AJ40" s="21" t="inlineStr">
        <is>
          <t>10:14</t>
        </is>
      </c>
      <c r="AK40" s="21" t="inlineStr">
        <is>
          <t>13:14</t>
        </is>
      </c>
      <c r="AL40" s="22" t="n">
        <v>30</v>
      </c>
      <c r="AM40" s="22" t="n">
        <v>40</v>
      </c>
      <c r="AN40" s="22" t="n">
        <v>35</v>
      </c>
      <c r="AO40" s="22" t="n">
        <v>284</v>
      </c>
      <c r="AP40" s="31" t="n">
        <v>870000</v>
      </c>
      <c r="AQ40" s="31" t="n">
        <v>150000</v>
      </c>
      <c r="AR40" s="31" t="n">
        <v>0</v>
      </c>
      <c r="AS40" s="28" t="n">
        <v>80000</v>
      </c>
      <c r="AT40" s="21" t="inlineStr">
        <is>
          <t>C - Có thể thương lượng</t>
        </is>
      </c>
      <c r="AU40" s="21" t="inlineStr">
        <is>
          <t>CR-ĐÔNG-05</t>
        </is>
      </c>
      <c r="AV40" s="21" t="inlineStr">
        <is>
          <t>Hệ thống khách hàng</t>
        </is>
      </c>
      <c r="AW40" s="21" t="inlineStr">
        <is>
          <t>S2-C39</t>
        </is>
      </c>
      <c r="AX40" s="21" t="inlineStr">
        <is>
          <t>5T</t>
        </is>
      </c>
      <c r="AY40" s="21" t="inlineStr">
        <is>
          <t>Send to Clustering</t>
        </is>
      </c>
      <c r="AZ40" s="21" t="inlineStr">
        <is>
          <t>OK</t>
        </is>
      </c>
      <c r="BA40" s="21" t="inlineStr">
        <is>
          <t>OK</t>
        </is>
      </c>
      <c r="BB40" s="21">
        <f>AM40+AN40</f>
        <v/>
      </c>
      <c r="BC40" s="21">
        <f>ROUND(W40/'03_Cost_Constraints'!$B$4*60,0)</f>
        <v/>
      </c>
      <c r="BD40" s="21">
        <f>IF(X40&lt;=500,"5 tạ",IF(X40&lt;=1250,"1.25T",IF(X40&lt;=5000,"5T",IF(X40&lt;=8000,"8T",IF(X40&lt;=15000,"3 chân","4 chân")))))</f>
        <v/>
      </c>
      <c r="BE40" s="21">
        <f>IF((BB40+BC40)&lt;=AO40,"OK","Risk")</f>
        <v/>
      </c>
      <c r="BF40" s="21">
        <f>IF(AND(AZ40="OK",BE40="OK"),"Ready","Review")</f>
        <v/>
      </c>
      <c r="BG40" s="21" t="n"/>
    </row>
    <row r="41" ht="18" customHeight="1" s="17">
      <c r="A41" s="23" t="inlineStr">
        <is>
          <t>S2</t>
        </is>
      </c>
      <c r="B41" s="23" t="inlineStr">
        <is>
          <t>2026-06-05</t>
        </is>
      </c>
      <c r="C41" s="23" t="inlineStr">
        <is>
          <t>S2-ORD-040</t>
        </is>
      </c>
      <c r="D41" s="23" t="inlineStr">
        <is>
          <t>Linfox</t>
        </is>
      </c>
      <c r="E41" s="23" t="inlineStr">
        <is>
          <t>VINMART Times City</t>
        </is>
      </c>
      <c r="F41" s="23" t="inlineStr">
        <is>
          <t>MT</t>
        </is>
      </c>
      <c r="G41" s="23" t="inlineStr">
        <is>
          <t>LASG</t>
        </is>
      </c>
      <c r="H41" s="23" t="inlineStr">
        <is>
          <t>Bia lon Saigon Lager 330ml</t>
        </is>
      </c>
      <c r="I41" s="23" t="inlineStr">
        <is>
          <t>PK_LINFOX_VSIP</t>
        </is>
      </c>
      <c r="J41" s="23" t="inlineStr">
        <is>
          <t>Kho Linfox KCN VSIP Bắc Ninh</t>
        </is>
      </c>
      <c r="K41" s="23" t="inlineStr">
        <is>
          <t>Bắc Ninh</t>
        </is>
      </c>
      <c r="L41" s="23" t="inlineStr">
        <is>
          <t>Từ Sơn</t>
        </is>
      </c>
      <c r="M41" s="24" t="n">
        <v>21.082707</v>
      </c>
      <c r="N41" s="24" t="n">
        <v>105.997949</v>
      </c>
      <c r="O41" s="23" t="inlineStr">
        <is>
          <t>DL_HN_TIMESCITY</t>
        </is>
      </c>
      <c r="P41" s="23" t="inlineStr">
        <is>
          <t>VINMART Times City</t>
        </is>
      </c>
      <c r="Q41" s="23" t="inlineStr">
        <is>
          <t>Hà Nội</t>
        </is>
      </c>
      <c r="R41" s="23" t="inlineStr">
        <is>
          <t>Hai Bà Trưng</t>
        </is>
      </c>
      <c r="S41" s="24" t="n">
        <v>20.994022</v>
      </c>
      <c r="T41" s="24" t="n">
        <v>105.869639</v>
      </c>
      <c r="U41" s="23" t="inlineStr">
        <is>
          <t>Nội thành Hà Nội</t>
        </is>
      </c>
      <c r="V41" s="23" t="inlineStr">
        <is>
          <t>Nội thành Hà Nội</t>
        </is>
      </c>
      <c r="W41" s="33" t="n">
        <v>27.6</v>
      </c>
      <c r="X41" s="32" t="n">
        <v>455</v>
      </c>
      <c r="Y41" s="33" t="n">
        <v>0.84</v>
      </c>
      <c r="Z41" s="32" t="n">
        <v>1</v>
      </c>
      <c r="AA41" s="23" t="inlineStr">
        <is>
          <t>5 tạ</t>
        </is>
      </c>
      <c r="AB41" s="23" t="inlineStr">
        <is>
          <t>1.25T</t>
        </is>
      </c>
      <c r="AC41" s="23" t="inlineStr">
        <is>
          <t>No</t>
        </is>
      </c>
      <c r="AD41" s="23" t="inlineStr">
        <is>
          <t>Yes</t>
        </is>
      </c>
      <c r="AE41" s="23" t="inlineStr">
        <is>
          <t>No</t>
        </is>
      </c>
      <c r="AF41" s="23" t="inlineStr">
        <is>
          <t>Yes</t>
        </is>
      </c>
      <c r="AG41" s="23" t="inlineStr">
        <is>
          <t>Nội khu, xe lớn hạn chế</t>
        </is>
      </c>
      <c r="AH41" s="23" t="inlineStr">
        <is>
          <t>08:30</t>
        </is>
      </c>
      <c r="AI41" s="23" t="inlineStr">
        <is>
          <t>10:00</t>
        </is>
      </c>
      <c r="AJ41" s="23" t="inlineStr">
        <is>
          <t>11:02</t>
        </is>
      </c>
      <c r="AK41" s="23" t="inlineStr">
        <is>
          <t>13:32</t>
        </is>
      </c>
      <c r="AL41" s="24" t="n">
        <v>45</v>
      </c>
      <c r="AM41" s="24" t="n">
        <v>25</v>
      </c>
      <c r="AN41" s="24" t="n">
        <v>30</v>
      </c>
      <c r="AO41" s="24" t="n">
        <v>302</v>
      </c>
      <c r="AP41" s="35" t="n">
        <v>500000</v>
      </c>
      <c r="AQ41" s="35" t="n">
        <v>0</v>
      </c>
      <c r="AR41" s="35" t="n">
        <v>120000</v>
      </c>
      <c r="AS41" s="32" t="n">
        <v>80000</v>
      </c>
      <c r="AT41" s="23" t="inlineStr">
        <is>
          <t>B - Thường</t>
        </is>
      </c>
      <c r="AU41" s="23" t="inlineStr">
        <is>
          <t>CR-NỘIT-01</t>
        </is>
      </c>
      <c r="AV41" s="23" t="inlineStr">
        <is>
          <t>Zalo/Email plan 17:00</t>
        </is>
      </c>
      <c r="AW41" s="23" t="inlineStr">
        <is>
          <t>S2-C40</t>
        </is>
      </c>
      <c r="AX41" s="23" t="inlineStr">
        <is>
          <t>5 tạ</t>
        </is>
      </c>
      <c r="AY41" s="23" t="inlineStr">
        <is>
          <t>Send to Clustering</t>
        </is>
      </c>
      <c r="AZ41" s="23" t="inlineStr">
        <is>
          <t>OK</t>
        </is>
      </c>
      <c r="BA41" s="23" t="inlineStr">
        <is>
          <t>Cấm tải/đường nhỏ - đã chọn xe nhỏ</t>
        </is>
      </c>
      <c r="BB41" s="23">
        <f>AM41+AN41</f>
        <v/>
      </c>
      <c r="BC41" s="23">
        <f>ROUND(W41/'03_Cost_Constraints'!$B$4*60,0)</f>
        <v/>
      </c>
      <c r="BD41" s="23">
        <f>IF(X41&lt;=500,"5 tạ",IF(X41&lt;=1250,"1.25T",IF(X41&lt;=5000,"5T",IF(X41&lt;=8000,"8T",IF(X41&lt;=15000,"3 chân","4 chân")))))</f>
        <v/>
      </c>
      <c r="BE41" s="23">
        <f>IF((BB41+BC41)&lt;=AO41,"OK","Risk")</f>
        <v/>
      </c>
      <c r="BF41" s="23">
        <f>IF(AND(AZ41="OK",BE41="OK"),"Ready","Review")</f>
        <v/>
      </c>
      <c r="BG41" s="23" t="inlineStr">
        <is>
          <t>Kế hoạch ngày hôm sau; cần chốt trước 19:00 và gửi tài xế sau duyệt</t>
        </is>
      </c>
    </row>
    <row r="42" ht="18" customHeight="1" s="17">
      <c r="A42" s="21" t="inlineStr">
        <is>
          <t>S2</t>
        </is>
      </c>
      <c r="B42" s="21" t="inlineStr">
        <is>
          <t>2026-06-05</t>
        </is>
      </c>
      <c r="C42" s="21" t="inlineStr">
        <is>
          <t>S2-ORD-041</t>
        </is>
      </c>
      <c r="D42" s="21" t="inlineStr">
        <is>
          <t>Linfox</t>
        </is>
      </c>
      <c r="E42" s="21" t="inlineStr">
        <is>
          <t>VINMART Phạm Ngọc Thạch</t>
        </is>
      </c>
      <c r="F42" s="21" t="inlineStr">
        <is>
          <t>ST</t>
        </is>
      </c>
      <c r="G42" s="21" t="inlineStr">
        <is>
          <t>LVCA</t>
        </is>
      </c>
      <c r="H42" s="21" t="inlineStr">
        <is>
          <t>Bia lon Lạc Việt</t>
        </is>
      </c>
      <c r="I42" s="21" t="inlineStr">
        <is>
          <t>PK_HY_MYHAO</t>
        </is>
      </c>
      <c r="J42" s="21" t="inlineStr">
        <is>
          <t>Kho/Nhà máy khách hàng Mỹ Hào</t>
        </is>
      </c>
      <c r="K42" s="21" t="inlineStr">
        <is>
          <t>Hưng Yên</t>
        </is>
      </c>
      <c r="L42" s="21" t="inlineStr">
        <is>
          <t>Mỹ Hào</t>
        </is>
      </c>
      <c r="M42" s="22" t="n">
        <v>20.9329</v>
      </c>
      <c r="N42" s="22" t="n">
        <v>106.065</v>
      </c>
      <c r="O42" s="21" t="inlineStr">
        <is>
          <t>DL_HN_PNT</t>
        </is>
      </c>
      <c r="P42" s="21" t="inlineStr">
        <is>
          <t>VINMART Phạm Ngọc Thạch</t>
        </is>
      </c>
      <c r="Q42" s="21" t="inlineStr">
        <is>
          <t>Hà Nội</t>
        </is>
      </c>
      <c r="R42" s="21" t="inlineStr">
        <is>
          <t>Đống Đa</t>
        </is>
      </c>
      <c r="S42" s="22" t="n">
        <v>21.006268</v>
      </c>
      <c r="T42" s="22" t="n">
        <v>105.831931</v>
      </c>
      <c r="U42" s="21" t="inlineStr">
        <is>
          <t>Nội thành Hà Nội</t>
        </is>
      </c>
      <c r="V42" s="21" t="inlineStr">
        <is>
          <t>Nội thành Hà Nội</t>
        </is>
      </c>
      <c r="W42" s="29" t="n">
        <v>39.2</v>
      </c>
      <c r="X42" s="28" t="n">
        <v>1130</v>
      </c>
      <c r="Y42" s="29" t="n">
        <v>2.33</v>
      </c>
      <c r="Z42" s="28" t="n">
        <v>1</v>
      </c>
      <c r="AA42" s="21" t="inlineStr">
        <is>
          <t>1.25T</t>
        </is>
      </c>
      <c r="AB42" s="21" t="inlineStr">
        <is>
          <t>1.25T</t>
        </is>
      </c>
      <c r="AC42" s="21" t="inlineStr">
        <is>
          <t>No</t>
        </is>
      </c>
      <c r="AD42" s="21" t="inlineStr">
        <is>
          <t>Yes</t>
        </is>
      </c>
      <c r="AE42" s="21" t="inlineStr">
        <is>
          <t>No</t>
        </is>
      </c>
      <c r="AF42" s="21" t="inlineStr">
        <is>
          <t>Yes</t>
        </is>
      </c>
      <c r="AG42" s="21" t="inlineStr">
        <is>
          <t>Đường đông, cần giao đúng slot</t>
        </is>
      </c>
      <c r="AH42" s="21" t="inlineStr">
        <is>
          <t>08:00</t>
        </is>
      </c>
      <c r="AI42" s="21" t="inlineStr">
        <is>
          <t>09:30</t>
        </is>
      </c>
      <c r="AJ42" s="21" t="inlineStr">
        <is>
          <t>11:22</t>
        </is>
      </c>
      <c r="AK42" s="21" t="inlineStr">
        <is>
          <t>12:52</t>
        </is>
      </c>
      <c r="AL42" s="22" t="n">
        <v>45</v>
      </c>
      <c r="AM42" s="22" t="n">
        <v>25</v>
      </c>
      <c r="AN42" s="22" t="n">
        <v>20</v>
      </c>
      <c r="AO42" s="22" t="n">
        <v>292</v>
      </c>
      <c r="AP42" s="31" t="n">
        <v>800000</v>
      </c>
      <c r="AQ42" s="31" t="n">
        <v>0</v>
      </c>
      <c r="AR42" s="31" t="n">
        <v>0</v>
      </c>
      <c r="AS42" s="28" t="n">
        <v>150000</v>
      </c>
      <c r="AT42" s="21" t="inlineStr">
        <is>
          <t>A - SLA chặt</t>
        </is>
      </c>
      <c r="AU42" s="21" t="inlineStr">
        <is>
          <t>CR-NỘIT-02</t>
        </is>
      </c>
      <c r="AV42" s="21" t="inlineStr">
        <is>
          <t>Manual nhập điều phối</t>
        </is>
      </c>
      <c r="AW42" s="21" t="inlineStr">
        <is>
          <t>S2-C02</t>
        </is>
      </c>
      <c r="AX42" s="21" t="inlineStr">
        <is>
          <t>1.25T</t>
        </is>
      </c>
      <c r="AY42" s="21" t="inlineStr">
        <is>
          <t>Send to Clustering</t>
        </is>
      </c>
      <c r="AZ42" s="21" t="inlineStr">
        <is>
          <t>OK</t>
        </is>
      </c>
      <c r="BA42" s="21" t="inlineStr">
        <is>
          <t>Cấm tải/đường nhỏ - đã chọn xe nhỏ</t>
        </is>
      </c>
      <c r="BB42" s="21">
        <f>AM42+AN42</f>
        <v/>
      </c>
      <c r="BC42" s="21">
        <f>ROUND(W42/'03_Cost_Constraints'!$B$4*60,0)</f>
        <v/>
      </c>
      <c r="BD42" s="21">
        <f>IF(X42&lt;=500,"5 tạ",IF(X42&lt;=1250,"1.25T",IF(X42&lt;=5000,"5T",IF(X42&lt;=8000,"8T",IF(X42&lt;=15000,"3 chân","4 chân")))))</f>
        <v/>
      </c>
      <c r="BE42" s="21">
        <f>IF((BB42+BC42)&lt;=AO42,"OK","Risk")</f>
        <v/>
      </c>
      <c r="BF42" s="21">
        <f>IF(AND(AZ42="OK",BE42="OK"),"Ready","Review")</f>
        <v/>
      </c>
      <c r="BG42" s="21" t="n"/>
    </row>
    <row r="43" ht="18" customHeight="1" s="17">
      <c r="A43" s="23" t="inlineStr">
        <is>
          <t>S2</t>
        </is>
      </c>
      <c r="B43" s="23" t="inlineStr">
        <is>
          <t>2026-06-05</t>
        </is>
      </c>
      <c r="C43" s="23" t="inlineStr">
        <is>
          <t>S2-ORD-042</t>
        </is>
      </c>
      <c r="D43" s="23" t="inlineStr">
        <is>
          <t>Acecook</t>
        </is>
      </c>
      <c r="E43" s="23" t="inlineStr">
        <is>
          <t>Siêu thị Thái Bình</t>
        </is>
      </c>
      <c r="F43" s="23" t="inlineStr">
        <is>
          <t>ST</t>
        </is>
      </c>
      <c r="G43" s="23" t="inlineStr">
        <is>
          <t>PAT2</t>
        </is>
      </c>
      <c r="H43" s="23" t="inlineStr">
        <is>
          <t>Bia lon 333</t>
        </is>
      </c>
      <c r="I43" s="23" t="inlineStr">
        <is>
          <t>PK_HPL_LB</t>
        </is>
      </c>
      <c r="J43" s="23" t="inlineStr">
        <is>
          <t>HPL Depot Long Biên - 20 Thạch Bàn</t>
        </is>
      </c>
      <c r="K43" s="23" t="inlineStr">
        <is>
          <t>Hà Nội</t>
        </is>
      </c>
      <c r="L43" s="23" t="inlineStr">
        <is>
          <t>Long Biên</t>
        </is>
      </c>
      <c r="M43" s="24" t="n">
        <v>21.0261548385</v>
      </c>
      <c r="N43" s="24" t="n">
        <v>105.914182238</v>
      </c>
      <c r="O43" s="23" t="inlineStr">
        <is>
          <t>DL_TB_SIEUTHI</t>
        </is>
      </c>
      <c r="P43" s="23" t="inlineStr">
        <is>
          <t>Siêu thị Thái Bình</t>
        </is>
      </c>
      <c r="Q43" s="23" t="inlineStr">
        <is>
          <t>Hưng Yên</t>
        </is>
      </c>
      <c r="R43" s="23" t="inlineStr">
        <is>
          <t>Thái Bình</t>
        </is>
      </c>
      <c r="S43" s="24" t="n">
        <v>20.446344</v>
      </c>
      <c r="T43" s="24" t="n">
        <v>106.336582</v>
      </c>
      <c r="U43" s="23" t="inlineStr">
        <is>
          <t>Đông Nam Hà Nội</t>
        </is>
      </c>
      <c r="V43" s="23" t="inlineStr">
        <is>
          <t>Đông Nam Hà Nội</t>
        </is>
      </c>
      <c r="W43" s="33" t="n">
        <v>109.8</v>
      </c>
      <c r="X43" s="32" t="n">
        <v>2498</v>
      </c>
      <c r="Y43" s="33" t="n">
        <v>6.61</v>
      </c>
      <c r="Z43" s="32" t="n">
        <v>5</v>
      </c>
      <c r="AA43" s="23" t="inlineStr">
        <is>
          <t>5T</t>
        </is>
      </c>
      <c r="AB43" s="23" t="inlineStr">
        <is>
          <t>8T</t>
        </is>
      </c>
      <c r="AC43" s="23" t="inlineStr">
        <is>
          <t>No</t>
        </is>
      </c>
      <c r="AD43" s="23" t="inlineStr">
        <is>
          <t>Yes</t>
        </is>
      </c>
      <c r="AE43" s="23" t="inlineStr">
        <is>
          <t>No</t>
        </is>
      </c>
      <c r="AF43" s="23" t="inlineStr">
        <is>
          <t>No</t>
        </is>
      </c>
      <c r="AG43" s="23" t="inlineStr">
        <is>
          <t>Ngoại thành, xe 5T/8T</t>
        </is>
      </c>
      <c r="AH43" s="23" t="inlineStr">
        <is>
          <t>08:30</t>
        </is>
      </c>
      <c r="AI43" s="23" t="inlineStr">
        <is>
          <t>10:30</t>
        </is>
      </c>
      <c r="AJ43" s="23" t="inlineStr">
        <is>
          <t>11:56</t>
        </is>
      </c>
      <c r="AK43" s="23" t="inlineStr">
        <is>
          <t>14:26</t>
        </is>
      </c>
      <c r="AL43" s="24" t="n">
        <v>45</v>
      </c>
      <c r="AM43" s="24" t="n">
        <v>40</v>
      </c>
      <c r="AN43" s="24" t="n">
        <v>35</v>
      </c>
      <c r="AO43" s="24" t="n">
        <v>356</v>
      </c>
      <c r="AP43" s="35" t="n">
        <v>2020000</v>
      </c>
      <c r="AQ43" s="35" t="n">
        <v>150000</v>
      </c>
      <c r="AR43" s="35" t="n">
        <v>0</v>
      </c>
      <c r="AS43" s="32" t="n">
        <v>80000</v>
      </c>
      <c r="AT43" s="23" t="inlineStr">
        <is>
          <t>C - Có thể thương lượng</t>
        </is>
      </c>
      <c r="AU43" s="23" t="inlineStr">
        <is>
          <t>CR-ĐÔNG-03</t>
        </is>
      </c>
      <c r="AV43" s="23" t="inlineStr">
        <is>
          <t>Excel khách hàng</t>
        </is>
      </c>
      <c r="AW43" s="23" t="inlineStr">
        <is>
          <t>S2-C03</t>
        </is>
      </c>
      <c r="AX43" s="23" t="inlineStr">
        <is>
          <t>5T</t>
        </is>
      </c>
      <c r="AY43" s="23" t="inlineStr">
        <is>
          <t>Send to Clustering</t>
        </is>
      </c>
      <c r="AZ43" s="23" t="inlineStr">
        <is>
          <t>OK</t>
        </is>
      </c>
      <c r="BA43" s="23" t="inlineStr">
        <is>
          <t>Empty-run &gt;100km cần tìm chuyến về</t>
        </is>
      </c>
      <c r="BB43" s="23">
        <f>AM43+AN43</f>
        <v/>
      </c>
      <c r="BC43" s="23">
        <f>ROUND(W43/'03_Cost_Constraints'!$B$4*60,0)</f>
        <v/>
      </c>
      <c r="BD43" s="23">
        <f>IF(X43&lt;=500,"5 tạ",IF(X43&lt;=1250,"1.25T",IF(X43&lt;=5000,"5T",IF(X43&lt;=8000,"8T",IF(X43&lt;=15000,"3 chân","4 chân")))))</f>
        <v/>
      </c>
      <c r="BE43" s="23">
        <f>IF((BB43+BC43)&lt;=AO43,"OK","Risk")</f>
        <v/>
      </c>
      <c r="BF43" s="23">
        <f>IF(AND(AZ43="OK",BE43="OK"),"Ready","Review")</f>
        <v/>
      </c>
      <c r="BG43" s="23" t="n"/>
    </row>
    <row r="44" ht="18" customHeight="1" s="17">
      <c r="A44" s="21" t="inlineStr">
        <is>
          <t>S2</t>
        </is>
      </c>
      <c r="B44" s="21" t="inlineStr">
        <is>
          <t>2026-06-05</t>
        </is>
      </c>
      <c r="C44" s="21" t="inlineStr">
        <is>
          <t>S2-ORD-043</t>
        </is>
      </c>
      <c r="D44" s="21" t="inlineStr">
        <is>
          <t>Bách Hóa Xanh</t>
        </is>
      </c>
      <c r="E44" s="21" t="inlineStr">
        <is>
          <t>Thái Dương</t>
        </is>
      </c>
      <c r="F44" s="21" t="inlineStr">
        <is>
          <t>Đại lý</t>
        </is>
      </c>
      <c r="G44" s="21" t="inlineStr">
        <is>
          <t>LVCA</t>
        </is>
      </c>
      <c r="H44" s="21" t="inlineStr">
        <is>
          <t>Bia lon Lạc Việt</t>
        </is>
      </c>
      <c r="I44" s="21" t="inlineStr">
        <is>
          <t>PK_HPL_LB</t>
        </is>
      </c>
      <c r="J44" s="21" t="inlineStr">
        <is>
          <t>HPL Depot Long Biên - 20 Thạch Bàn</t>
        </is>
      </c>
      <c r="K44" s="21" t="inlineStr">
        <is>
          <t>Hà Nội</t>
        </is>
      </c>
      <c r="L44" s="21" t="inlineStr">
        <is>
          <t>Long Biên</t>
        </is>
      </c>
      <c r="M44" s="22" t="n">
        <v>21.0261548385</v>
      </c>
      <c r="N44" s="22" t="n">
        <v>105.914182238</v>
      </c>
      <c r="O44" s="21" t="inlineStr">
        <is>
          <t>DL_HN_THAIDUONG</t>
        </is>
      </c>
      <c r="P44" s="21" t="inlineStr">
        <is>
          <t>Thái Dương</t>
        </is>
      </c>
      <c r="Q44" s="21" t="inlineStr">
        <is>
          <t>Hà Nội</t>
        </is>
      </c>
      <c r="R44" s="21" t="inlineStr">
        <is>
          <t>Hà Nội</t>
        </is>
      </c>
      <c r="S44" s="22" t="n">
        <v>20.929215</v>
      </c>
      <c r="T44" s="22" t="n">
        <v>105.869998</v>
      </c>
      <c r="U44" s="21" t="inlineStr">
        <is>
          <t>Nội thành Hà Nội</t>
        </is>
      </c>
      <c r="V44" s="21" t="inlineStr">
        <is>
          <t>Nội thành Hà Nội</t>
        </is>
      </c>
      <c r="W44" s="29" t="n">
        <v>21.5</v>
      </c>
      <c r="X44" s="28" t="n">
        <v>1070</v>
      </c>
      <c r="Y44" s="29" t="n">
        <v>2.13</v>
      </c>
      <c r="Z44" s="28" t="n">
        <v>1</v>
      </c>
      <c r="AA44" s="21" t="inlineStr">
        <is>
          <t>1.25T</t>
        </is>
      </c>
      <c r="AB44" s="21" t="inlineStr">
        <is>
          <t>1.25T</t>
        </is>
      </c>
      <c r="AC44" s="21" t="inlineStr">
        <is>
          <t>No</t>
        </is>
      </c>
      <c r="AD44" s="21" t="inlineStr">
        <is>
          <t>Yes</t>
        </is>
      </c>
      <c r="AE44" s="21" t="inlineStr">
        <is>
          <t>No</t>
        </is>
      </c>
      <c r="AF44" s="21" t="inlineStr">
        <is>
          <t>Yes</t>
        </is>
      </c>
      <c r="AG44" s="21" t="inlineStr">
        <is>
          <t>Đường nhỏ, ưu tiên xe &lt;=1.25T</t>
        </is>
      </c>
      <c r="AH44" s="21" t="inlineStr">
        <is>
          <t>07:00</t>
        </is>
      </c>
      <c r="AI44" s="21" t="inlineStr">
        <is>
          <t>08:30</t>
        </is>
      </c>
      <c r="AJ44" s="21" t="inlineStr">
        <is>
          <t>09:21</t>
        </is>
      </c>
      <c r="AK44" s="21" t="inlineStr">
        <is>
          <t>10:51</t>
        </is>
      </c>
      <c r="AL44" s="22" t="n">
        <v>45</v>
      </c>
      <c r="AM44" s="22" t="n">
        <v>25</v>
      </c>
      <c r="AN44" s="22" t="n">
        <v>20</v>
      </c>
      <c r="AO44" s="22" t="n">
        <v>231</v>
      </c>
      <c r="AP44" s="31" t="n">
        <v>550000</v>
      </c>
      <c r="AQ44" s="31" t="n">
        <v>0</v>
      </c>
      <c r="AR44" s="31" t="n">
        <v>0</v>
      </c>
      <c r="AS44" s="28" t="n">
        <v>150000</v>
      </c>
      <c r="AT44" s="21" t="inlineStr">
        <is>
          <t>A - SLA chặt</t>
        </is>
      </c>
      <c r="AU44" s="21" t="inlineStr">
        <is>
          <t>CR-NỘIT-04</t>
        </is>
      </c>
      <c r="AV44" s="21" t="inlineStr">
        <is>
          <t>Hệ thống khách hàng</t>
        </is>
      </c>
      <c r="AW44" s="21" t="inlineStr">
        <is>
          <t>S2-C04</t>
        </is>
      </c>
      <c r="AX44" s="21" t="inlineStr">
        <is>
          <t>1.25T</t>
        </is>
      </c>
      <c r="AY44" s="21" t="inlineStr">
        <is>
          <t>Send to Clustering</t>
        </is>
      </c>
      <c r="AZ44" s="21" t="inlineStr">
        <is>
          <t>OK</t>
        </is>
      </c>
      <c r="BA44" s="21" t="inlineStr">
        <is>
          <t>Cấm tải/đường nhỏ - đã chọn xe nhỏ</t>
        </is>
      </c>
      <c r="BB44" s="21">
        <f>AM44+AN44</f>
        <v/>
      </c>
      <c r="BC44" s="21">
        <f>ROUND(W44/'03_Cost_Constraints'!$B$4*60,0)</f>
        <v/>
      </c>
      <c r="BD44" s="21">
        <f>IF(X44&lt;=500,"5 tạ",IF(X44&lt;=1250,"1.25T",IF(X44&lt;=5000,"5T",IF(X44&lt;=8000,"8T",IF(X44&lt;=15000,"3 chân","4 chân")))))</f>
        <v/>
      </c>
      <c r="BE44" s="21">
        <f>IF((BB44+BC44)&lt;=AO44,"OK","Risk")</f>
        <v/>
      </c>
      <c r="BF44" s="21">
        <f>IF(AND(AZ44="OK",BE44="OK"),"Ready","Review")</f>
        <v/>
      </c>
      <c r="BG44" s="21" t="n"/>
    </row>
    <row r="45" ht="18" customHeight="1" s="17">
      <c r="A45" s="23" t="inlineStr">
        <is>
          <t>S2</t>
        </is>
      </c>
      <c r="B45" s="23" t="inlineStr">
        <is>
          <t>2026-06-05</t>
        </is>
      </c>
      <c r="C45" s="23" t="inlineStr">
        <is>
          <t>S2-ORD-044</t>
        </is>
      </c>
      <c r="D45" s="23" t="inlineStr">
        <is>
          <t>Unilever</t>
        </is>
      </c>
      <c r="E45" s="23" t="inlineStr">
        <is>
          <t>VINMART Vũ Trọng Phụng</t>
        </is>
      </c>
      <c r="F45" s="23" t="inlineStr">
        <is>
          <t>ST</t>
        </is>
      </c>
      <c r="G45" s="23" t="inlineStr">
        <is>
          <t>NOODLE</t>
        </is>
      </c>
      <c r="H45" s="23" t="inlineStr">
        <is>
          <t>Mì gói/Acecook carton</t>
        </is>
      </c>
      <c r="I45" s="23" t="inlineStr">
        <is>
          <t>PK_HPL_LB</t>
        </is>
      </c>
      <c r="J45" s="23" t="inlineStr">
        <is>
          <t>HPL Depot Long Biên - 20 Thạch Bàn</t>
        </is>
      </c>
      <c r="K45" s="23" t="inlineStr">
        <is>
          <t>Hà Nội</t>
        </is>
      </c>
      <c r="L45" s="23" t="inlineStr">
        <is>
          <t>Long Biên</t>
        </is>
      </c>
      <c r="M45" s="24" t="n">
        <v>21.0261548385</v>
      </c>
      <c r="N45" s="24" t="n">
        <v>105.914182238</v>
      </c>
      <c r="O45" s="23" t="inlineStr">
        <is>
          <t>DL_HN_VUTRONGPHUNG</t>
        </is>
      </c>
      <c r="P45" s="23" t="inlineStr">
        <is>
          <t>VINMART Vũ Trọng Phụng</t>
        </is>
      </c>
      <c r="Q45" s="23" t="inlineStr">
        <is>
          <t>Hà Nội</t>
        </is>
      </c>
      <c r="R45" s="23" t="inlineStr">
        <is>
          <t>Thanh Xuân</t>
        </is>
      </c>
      <c r="S45" s="24" t="n">
        <v>20.997621</v>
      </c>
      <c r="T45" s="24" t="n">
        <v>105.809443</v>
      </c>
      <c r="U45" s="23" t="inlineStr">
        <is>
          <t>Nội thành Hà Nội</t>
        </is>
      </c>
      <c r="V45" s="23" t="inlineStr">
        <is>
          <t>Nội thành Hà Nội</t>
        </is>
      </c>
      <c r="W45" s="33" t="n">
        <v>21.2</v>
      </c>
      <c r="X45" s="32" t="n">
        <v>1169</v>
      </c>
      <c r="Y45" s="33" t="n">
        <v>12.57</v>
      </c>
      <c r="Z45" s="32" t="n">
        <v>10</v>
      </c>
      <c r="AA45" s="23" t="inlineStr">
        <is>
          <t>5T</t>
        </is>
      </c>
      <c r="AB45" s="23" t="inlineStr">
        <is>
          <t>1.25T</t>
        </is>
      </c>
      <c r="AC45" s="23" t="inlineStr">
        <is>
          <t>No</t>
        </is>
      </c>
      <c r="AD45" s="23" t="inlineStr">
        <is>
          <t>Yes</t>
        </is>
      </c>
      <c r="AE45" s="23" t="inlineStr">
        <is>
          <t>No</t>
        </is>
      </c>
      <c r="AF45" s="23" t="inlineStr">
        <is>
          <t>Yes</t>
        </is>
      </c>
      <c r="AG45" s="23" t="inlineStr">
        <is>
          <t>Hầm giao nhận thấp</t>
        </is>
      </c>
      <c r="AH45" s="23" t="inlineStr">
        <is>
          <t>08:30</t>
        </is>
      </c>
      <c r="AI45" s="23" t="inlineStr">
        <is>
          <t>10:30</t>
        </is>
      </c>
      <c r="AJ45" s="23" t="inlineStr">
        <is>
          <t>11:36</t>
        </is>
      </c>
      <c r="AK45" s="23" t="inlineStr">
        <is>
          <t>14:36</t>
        </is>
      </c>
      <c r="AL45" s="24" t="n">
        <v>45</v>
      </c>
      <c r="AM45" s="24" t="n">
        <v>40</v>
      </c>
      <c r="AN45" s="24" t="n">
        <v>35</v>
      </c>
      <c r="AO45" s="24" t="n">
        <v>366</v>
      </c>
      <c r="AP45" s="35" t="n">
        <v>910000</v>
      </c>
      <c r="AQ45" s="35" t="n">
        <v>0</v>
      </c>
      <c r="AR45" s="35" t="n">
        <v>0</v>
      </c>
      <c r="AS45" s="32" t="n">
        <v>80000</v>
      </c>
      <c r="AT45" s="23" t="inlineStr">
        <is>
          <t>B - Thường</t>
        </is>
      </c>
      <c r="AU45" s="23" t="inlineStr">
        <is>
          <t>CR-NỘIT-05</t>
        </is>
      </c>
      <c r="AV45" s="23" t="inlineStr">
        <is>
          <t>Zalo/Email plan 17:00</t>
        </is>
      </c>
      <c r="AW45" s="23" t="inlineStr">
        <is>
          <t>S2-C05</t>
        </is>
      </c>
      <c r="AX45" s="23" t="inlineStr">
        <is>
          <t>Split/Chuyển tải</t>
        </is>
      </c>
      <c r="AY45" s="23" t="inlineStr">
        <is>
          <t>Split Order/Chuyển tải hoặc xin xe nhỏ nhiều chuyến</t>
        </is>
      </c>
      <c r="AZ45" s="23" t="inlineStr">
        <is>
          <t>Review</t>
        </is>
      </c>
      <c r="BA45" s="23" t="inlineStr">
        <is>
          <t>Vehicle Mismatch</t>
        </is>
      </c>
      <c r="BB45" s="23">
        <f>AM45+AN45</f>
        <v/>
      </c>
      <c r="BC45" s="23">
        <f>ROUND(W45/'03_Cost_Constraints'!$B$4*60,0)</f>
        <v/>
      </c>
      <c r="BD45" s="23">
        <f>IF(X45&lt;=500,"5 tạ",IF(X45&lt;=1250,"1.25T",IF(X45&lt;=5000,"5T",IF(X45&lt;=8000,"8T",IF(X45&lt;=15000,"3 chân","4 chân")))))</f>
        <v/>
      </c>
      <c r="BE45" s="23">
        <f>IF((BB45+BC45)&lt;=AO45,"OK","Risk")</f>
        <v/>
      </c>
      <c r="BF45" s="23">
        <f>IF(AND(AZ45="OK",BE45="OK"),"Ready","Review")</f>
        <v/>
      </c>
      <c r="BG45" s="23" t="inlineStr">
        <is>
          <t>Kế hoạch ngày hôm sau; cần chốt trước 19:00 và gửi tài xế sau duyệt</t>
        </is>
      </c>
    </row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Z2:BG45">
    <cfRule type="expression" priority="1" dxfId="4">
      <formula>$BH2="Review"</formula>
    </cfRule>
  </conditionalFormatting>
  <conditionalFormatting sqref="BA2:BA45">
    <cfRule type="expression" priority="2" dxfId="5">
      <formula>OR(ISNUMBER(SEARCH("Mismatch",BA2)),ISNUMBER(SEARCH("Conflict",BA2)),ISNUMBER(SEARCH("Shortage",BA2)))</formula>
    </cfRule>
  </conditionalFormatting>
  <dataValidations count="2">
    <dataValidation sqref="BA2:BA45" showDropDown="0" showInputMessage="0" showErrorMessage="0" allowBlank="1" type="list">
      <formula1>"OK,Cấm tải/đường nhỏ - đã chọn xe nhỏ,Vehicle Mismatch,Time Window Conflict,Empty-run &gt;100km cần tìm chuyến về,Capacity Shortage Candidate"</formula1>
    </dataValidation>
    <dataValidation sqref="AZ2:AZ45" showDropDown="0" showInputMessage="0" showErrorMessage="0" allowBlank="1" type="list">
      <formula1>"OK,Review"</formula1>
    </dataValidation>
  </dataValidations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2"/>
    <col width="15" customWidth="1" style="17" min="2" max="2"/>
    <col width="18" customWidth="1" style="17" min="3" max="3"/>
    <col width="16" customWidth="1" style="17" min="4" max="4"/>
    <col width="36" customWidth="1" style="17" min="5" max="5"/>
    <col width="16" customWidth="1" style="17" min="6" max="9"/>
    <col width="13" customWidth="1" style="17" min="7" max="7"/>
    <col width="30" customWidth="1" style="17" min="8" max="8"/>
    <col width="16" customWidth="1" style="17" min="9" max="9"/>
    <col width="36" customWidth="1" style="17" min="10" max="10"/>
    <col width="17" customWidth="1" style="17" min="11" max="12"/>
    <col width="17" customWidth="1" style="17" min="12" max="12"/>
    <col width="15" customWidth="1" style="17" min="13" max="14"/>
    <col width="15" customWidth="1" style="17" min="14" max="14"/>
    <col width="20" customWidth="1" style="17" min="15" max="15"/>
    <col width="36" customWidth="1" style="17" min="16" max="16"/>
    <col width="19" customWidth="1" style="17" min="17" max="18"/>
    <col width="19" customWidth="1" style="17" min="18" max="18"/>
    <col width="14" customWidth="1" style="17" min="19" max="20"/>
    <col width="14" customWidth="1" style="17" min="20" max="20"/>
    <col width="18" customWidth="1" style="17" min="21" max="32"/>
    <col width="18" customWidth="1" style="17" min="22" max="22"/>
    <col width="20" customWidth="1" style="17" min="23" max="23"/>
    <col width="13" customWidth="1" style="17" min="24" max="24"/>
    <col width="13" customWidth="1" style="17" min="25" max="25"/>
    <col width="13" customWidth="1" style="17" min="26" max="26"/>
    <col width="18" customWidth="1" style="17" min="27" max="27"/>
    <col width="26" customWidth="1" style="17" min="28" max="28"/>
    <col width="24" customWidth="1" style="17" min="29" max="29"/>
    <col width="17" customWidth="1" style="17" min="30" max="30"/>
    <col width="19" customWidth="1" style="17" min="31" max="31"/>
    <col width="24" customWidth="1" style="17" min="32" max="32"/>
    <col width="40" customWidth="1" style="17" min="33" max="33"/>
    <col width="17" customWidth="1" style="17" min="34" max="46"/>
    <col width="15" customWidth="1" style="17" min="35" max="35"/>
    <col width="15" customWidth="1" style="17" min="36" max="36"/>
    <col width="13" customWidth="1" style="17" min="37" max="37"/>
    <col width="13" customWidth="1" style="17" min="38" max="38"/>
    <col width="20" customWidth="1" style="17" min="39" max="39"/>
    <col width="18" customWidth="1" style="17" min="40" max="40"/>
    <col width="15" customWidth="1" style="17" min="41" max="41"/>
    <col width="21" customWidth="1" style="17" min="42" max="42"/>
    <col width="20" customWidth="1" style="17" min="43" max="43"/>
    <col width="28" customWidth="1" style="17" min="44" max="44"/>
    <col width="26" customWidth="1" style="17" min="45" max="45"/>
    <col width="25" customWidth="1" style="17" min="46" max="46"/>
    <col width="19" customWidth="1" style="17" min="47" max="47"/>
    <col width="23" customWidth="1" style="17" min="48" max="50"/>
    <col width="17" customWidth="1" style="17" min="49" max="49"/>
    <col width="24" customWidth="1" style="17" min="50" max="50"/>
    <col width="44" customWidth="1" style="17" min="51" max="51"/>
    <col width="19" customWidth="1" style="17" min="52" max="58"/>
    <col width="36" customWidth="1" style="17" min="53" max="53"/>
    <col width="19" customWidth="1" style="17" min="54" max="54"/>
    <col width="18" customWidth="1" style="17" min="55" max="55"/>
    <col width="15" customWidth="1" style="17" min="56" max="56"/>
    <col width="16" customWidth="1" style="17" min="57" max="57"/>
    <col width="22" customWidth="1" style="17" min="58" max="58"/>
    <col width="44" customWidth="1" style="17" min="59" max="59"/>
  </cols>
  <sheetData>
    <row r="1" ht="26" customHeight="1" s="17">
      <c r="A1" s="20" t="inlineStr">
        <is>
          <t>Scenario_ID</t>
        </is>
      </c>
      <c r="B1" s="20" t="inlineStr">
        <is>
          <t>Planning_Date</t>
        </is>
      </c>
      <c r="C1" s="20" t="inlineStr">
        <is>
          <t>Order_ID</t>
        </is>
      </c>
      <c r="D1" s="20" t="inlineStr">
        <is>
          <t>Customer_Group</t>
        </is>
      </c>
      <c r="E1" s="20" t="inlineStr">
        <is>
          <t>Customer_Name</t>
        </is>
      </c>
      <c r="F1" s="20" t="inlineStr">
        <is>
          <t>Channel</t>
        </is>
      </c>
      <c r="G1" s="20" t="inlineStr">
        <is>
          <t>SKU_Code</t>
        </is>
      </c>
      <c r="H1" s="20" t="inlineStr">
        <is>
          <t>Product_Group</t>
        </is>
      </c>
      <c r="I1" s="20" t="inlineStr">
        <is>
          <t>Pickup_ID</t>
        </is>
      </c>
      <c r="J1" s="20" t="inlineStr">
        <is>
          <t>Pickup_Name</t>
        </is>
      </c>
      <c r="K1" s="20" t="inlineStr">
        <is>
          <t>Pickup_Province</t>
        </is>
      </c>
      <c r="L1" s="20" t="inlineStr">
        <is>
          <t>Pickup_District</t>
        </is>
      </c>
      <c r="M1" s="20" t="inlineStr">
        <is>
          <t>Pickup_Lat</t>
        </is>
      </c>
      <c r="N1" s="20" t="inlineStr">
        <is>
          <t>Pickup_Lon</t>
        </is>
      </c>
      <c r="O1" s="20" t="inlineStr">
        <is>
          <t>Delivery_ID</t>
        </is>
      </c>
      <c r="P1" s="20" t="inlineStr">
        <is>
          <t>Delivery_Name</t>
        </is>
      </c>
      <c r="Q1" s="20" t="inlineStr">
        <is>
          <t>Delivery_Province</t>
        </is>
      </c>
      <c r="R1" s="20" t="inlineStr">
        <is>
          <t>Delivery_District</t>
        </is>
      </c>
      <c r="S1" s="20" t="inlineStr">
        <is>
          <t>Delivery_Lat</t>
        </is>
      </c>
      <c r="T1" s="20" t="inlineStr">
        <is>
          <t>Delivery_Lon</t>
        </is>
      </c>
      <c r="U1" s="20" t="inlineStr">
        <is>
          <t>Corridor</t>
        </is>
      </c>
      <c r="V1" s="20" t="inlineStr">
        <is>
          <t>Route_Axis</t>
        </is>
      </c>
      <c r="W1" s="20" t="inlineStr">
        <is>
          <t>Direct_Distance_km</t>
        </is>
      </c>
      <c r="X1" s="20" t="inlineStr">
        <is>
          <t>Weight_kg</t>
        </is>
      </c>
      <c r="Y1" s="20" t="inlineStr">
        <is>
          <t>Volume_m3</t>
        </is>
      </c>
      <c r="Z1" s="20" t="inlineStr">
        <is>
          <t>Pallet_Qty</t>
        </is>
      </c>
      <c r="AA1" s="20" t="inlineStr">
        <is>
          <t>Min_Vehicle_Type</t>
        </is>
      </c>
      <c r="AB1" s="20" t="inlineStr">
        <is>
          <t>Max_Vehicle_Type_Allowed</t>
        </is>
      </c>
      <c r="AC1" s="20" t="inlineStr">
        <is>
          <t>Required_Refrigeration</t>
        </is>
      </c>
      <c r="AD1" s="20" t="inlineStr">
        <is>
          <t>Can_Consolidate</t>
        </is>
      </c>
      <c r="AE1" s="20" t="inlineStr">
        <is>
          <t>Dedicated_Vehicle</t>
        </is>
      </c>
      <c r="AF1" s="20" t="inlineStr">
        <is>
          <t>Inner_City_Restriction</t>
        </is>
      </c>
      <c r="AG1" s="20" t="inlineStr">
        <is>
          <t>Access_Note</t>
        </is>
      </c>
      <c r="AH1" s="20" t="inlineStr">
        <is>
          <t>Pickup_TW_Start</t>
        </is>
      </c>
      <c r="AI1" s="20" t="inlineStr">
        <is>
          <t>Pickup_TW_End</t>
        </is>
      </c>
      <c r="AJ1" s="20" t="inlineStr">
        <is>
          <t>Drop_TW_Start</t>
        </is>
      </c>
      <c r="AK1" s="20" t="inlineStr">
        <is>
          <t>Drop_TW_End</t>
        </is>
      </c>
      <c r="AL1" s="20" t="inlineStr">
        <is>
          <t>TW_Flex_Min</t>
        </is>
      </c>
      <c r="AM1" s="20" t="inlineStr">
        <is>
          <t>Pickup_Service_Min</t>
        </is>
      </c>
      <c r="AN1" s="20" t="inlineStr">
        <is>
          <t>Drop_Service_Min</t>
        </is>
      </c>
      <c r="AO1" s="20" t="inlineStr">
        <is>
          <t>Lead_Time_Min</t>
        </is>
      </c>
      <c r="AP1" s="20" t="inlineStr">
        <is>
          <t>Freight_Revenue_VND</t>
        </is>
      </c>
      <c r="AQ1" s="20" t="inlineStr">
        <is>
          <t>Extra_Stop_Fee_VND</t>
        </is>
      </c>
      <c r="AR1" s="20" t="inlineStr">
        <is>
          <t>Waiting_Fee_Chargeable_VND</t>
        </is>
      </c>
      <c r="AS1" s="20" t="inlineStr">
        <is>
          <t>Late_Penalty_VND_per_30m</t>
        </is>
      </c>
      <c r="AT1" s="20" t="inlineStr">
        <is>
          <t>Customer_Priority</t>
        </is>
      </c>
      <c r="AU1" s="20" t="inlineStr">
        <is>
          <t>Contract_Route_ID</t>
        </is>
      </c>
      <c r="AV1" s="20" t="inlineStr">
        <is>
          <t>Source_System</t>
        </is>
      </c>
      <c r="AW1" s="20" t="inlineStr">
        <is>
          <t>Seed_Cluster_ID</t>
        </is>
      </c>
      <c r="AX1" s="20" t="inlineStr">
        <is>
          <t>Suggested_Vehicle_Type</t>
        </is>
      </c>
      <c r="AY1" s="20" t="inlineStr">
        <is>
          <t>Suggested_Action</t>
        </is>
      </c>
      <c r="AZ1" s="20" t="inlineStr">
        <is>
          <t>Validation_Status</t>
        </is>
      </c>
      <c r="BA1" s="20" t="inlineStr">
        <is>
          <t>Risk_Flag</t>
        </is>
      </c>
      <c r="BB1" s="20" t="inlineStr">
        <is>
          <t>Total_Service_Min</t>
        </is>
      </c>
      <c r="BC1" s="20" t="inlineStr">
        <is>
          <t>Direct_Drive_Min</t>
        </is>
      </c>
      <c r="BD1" s="20" t="inlineStr">
        <is>
          <t>Load_Class_kg</t>
        </is>
      </c>
      <c r="BE1" s="20" t="inlineStr">
        <is>
          <t>LeadTime_Check</t>
        </is>
      </c>
      <c r="BF1" s="20" t="inlineStr">
        <is>
          <t>Algorithm_Ready_Flag</t>
        </is>
      </c>
      <c r="BG1" s="20" t="inlineStr">
        <is>
          <t>Notes</t>
        </is>
      </c>
    </row>
    <row r="2" ht="18" customHeight="1" s="17">
      <c r="A2" s="21" t="inlineStr">
        <is>
          <t>S3</t>
        </is>
      </c>
      <c r="B2" s="21" t="inlineStr">
        <is>
          <t>2026-06-05</t>
        </is>
      </c>
      <c r="C2" s="21" t="inlineStr">
        <is>
          <t>S3-ORD-001</t>
        </is>
      </c>
      <c r="D2" s="21" t="inlineStr">
        <is>
          <t>Linfox</t>
        </is>
      </c>
      <c r="E2" s="21" t="inlineStr">
        <is>
          <t>VINMART Võ Thị Sáu</t>
        </is>
      </c>
      <c r="F2" s="21" t="inlineStr">
        <is>
          <t>ST</t>
        </is>
      </c>
      <c r="G2" s="21" t="inlineStr">
        <is>
          <t>CHCA</t>
        </is>
      </c>
      <c r="H2" s="21" t="inlineStr">
        <is>
          <t>Bia lon Saigon Chill</t>
        </is>
      </c>
      <c r="I2" s="21" t="inlineStr">
        <is>
          <t>PK_LINFOX_VSIP</t>
        </is>
      </c>
      <c r="J2" s="21" t="inlineStr">
        <is>
          <t>Kho Linfox KCN VSIP Bắc Ninh</t>
        </is>
      </c>
      <c r="K2" s="21" t="inlineStr">
        <is>
          <t>Bắc Ninh</t>
        </is>
      </c>
      <c r="L2" s="21" t="inlineStr">
        <is>
          <t>Từ Sơn</t>
        </is>
      </c>
      <c r="M2" s="22" t="n">
        <v>21.082707</v>
      </c>
      <c r="N2" s="22" t="n">
        <v>105.997949</v>
      </c>
      <c r="O2" s="21" t="inlineStr">
        <is>
          <t>DL_HN_VOTHISAU</t>
        </is>
      </c>
      <c r="P2" s="21" t="inlineStr">
        <is>
          <t>VINMART Võ Thị Sáu</t>
        </is>
      </c>
      <c r="Q2" s="21" t="inlineStr">
        <is>
          <t>Hà Nội</t>
        </is>
      </c>
      <c r="R2" s="21" t="inlineStr">
        <is>
          <t>Hai Bà Trưng</t>
        </is>
      </c>
      <c r="S2" s="22" t="n">
        <v>21.00441</v>
      </c>
      <c r="T2" s="22" t="n">
        <v>105.855148</v>
      </c>
      <c r="U2" s="21" t="inlineStr">
        <is>
          <t>Nội thành Hà Nội</t>
        </is>
      </c>
      <c r="V2" s="21" t="inlineStr">
        <is>
          <t>Nội thành Hà Nội</t>
        </is>
      </c>
      <c r="W2" s="29" t="n">
        <v>26.9</v>
      </c>
      <c r="X2" s="28" t="n">
        <v>497</v>
      </c>
      <c r="Y2" s="29" t="n">
        <v>0.9</v>
      </c>
      <c r="Z2" s="28" t="n">
        <v>1</v>
      </c>
      <c r="AA2" s="21" t="inlineStr">
        <is>
          <t>5 tạ</t>
        </is>
      </c>
      <c r="AB2" s="21" t="inlineStr">
        <is>
          <t>1.25T</t>
        </is>
      </c>
      <c r="AC2" s="21" t="inlineStr">
        <is>
          <t>No</t>
        </is>
      </c>
      <c r="AD2" s="21" t="inlineStr">
        <is>
          <t>Yes</t>
        </is>
      </c>
      <c r="AE2" s="21" t="inlineStr">
        <is>
          <t>No</t>
        </is>
      </c>
      <c r="AF2" s="21" t="inlineStr">
        <is>
          <t>Yes</t>
        </is>
      </c>
      <c r="AG2" s="21" t="inlineStr">
        <is>
          <t>Giờ cấm tải, xe &lt;=1.25T</t>
        </is>
      </c>
      <c r="AH2" s="21" t="inlineStr">
        <is>
          <t>07:00</t>
        </is>
      </c>
      <c r="AI2" s="21" t="inlineStr">
        <is>
          <t>09:00</t>
        </is>
      </c>
      <c r="AJ2" s="21" t="inlineStr">
        <is>
          <t>08:31</t>
        </is>
      </c>
      <c r="AK2" s="21" t="inlineStr">
        <is>
          <t>11:31</t>
        </is>
      </c>
      <c r="AL2" s="22" t="n">
        <v>45</v>
      </c>
      <c r="AM2" s="22" t="n">
        <v>25</v>
      </c>
      <c r="AN2" s="22" t="n">
        <v>20</v>
      </c>
      <c r="AO2" s="22" t="n">
        <v>271</v>
      </c>
      <c r="AP2" s="31" t="n">
        <v>510000</v>
      </c>
      <c r="AQ2" s="31" t="n">
        <v>0</v>
      </c>
      <c r="AR2" s="31" t="n">
        <v>0</v>
      </c>
      <c r="AS2" s="28" t="n">
        <v>80000</v>
      </c>
      <c r="AT2" s="21" t="inlineStr">
        <is>
          <t>B - Thường</t>
        </is>
      </c>
      <c r="AU2" s="21" t="inlineStr">
        <is>
          <t>CR-NỘIT-02</t>
        </is>
      </c>
      <c r="AV2" s="21" t="inlineStr">
        <is>
          <t>Manual nhập điều phối</t>
        </is>
      </c>
      <c r="AW2" s="21" t="inlineStr">
        <is>
          <t>S3-C01</t>
        </is>
      </c>
      <c r="AX2" s="21" t="inlineStr">
        <is>
          <t>5 tạ</t>
        </is>
      </c>
      <c r="AY2" s="21" t="inlineStr">
        <is>
          <t>Send to Clustering</t>
        </is>
      </c>
      <c r="AZ2" s="21" t="inlineStr">
        <is>
          <t>OK</t>
        </is>
      </c>
      <c r="BA2" s="21" t="inlineStr">
        <is>
          <t>Cấm tải/đường nhỏ - đã chọn xe nhỏ</t>
        </is>
      </c>
      <c r="BB2" s="21">
        <f>AM2+AN2</f>
        <v/>
      </c>
      <c r="BC2" s="21">
        <f>ROUND(W2/'03_Cost_Constraints'!$B$4*60,0)</f>
        <v/>
      </c>
      <c r="BD2" s="21">
        <f>IF(X2&lt;=500,"5 tạ",IF(X2&lt;=1250,"1.25T",IF(X2&lt;=5000,"5T",IF(X2&lt;=8000,"8T",IF(X2&lt;=15000,"3 chân","4 chân")))))</f>
        <v/>
      </c>
      <c r="BE2" s="21">
        <f>IF((BB2+BC2)&lt;=AO2,"OK","Risk")</f>
        <v/>
      </c>
      <c r="BF2" s="21">
        <f>IF(AND(AZ2="OK",BE2="OK"),"Ready","Review")</f>
        <v/>
      </c>
      <c r="BG2" s="21" t="n"/>
    </row>
    <row r="3" ht="18" customHeight="1" s="17">
      <c r="A3" s="23" t="inlineStr">
        <is>
          <t>S3</t>
        </is>
      </c>
      <c r="B3" s="23" t="inlineStr">
        <is>
          <t>2026-06-05</t>
        </is>
      </c>
      <c r="C3" s="23" t="inlineStr">
        <is>
          <t>S3-ORD-002</t>
        </is>
      </c>
      <c r="D3" s="23" t="inlineStr">
        <is>
          <t>MM Mega Market</t>
        </is>
      </c>
      <c r="E3" s="23" t="inlineStr">
        <is>
          <t>VINMART Royal City</t>
        </is>
      </c>
      <c r="F3" s="23" t="inlineStr">
        <is>
          <t>MT</t>
        </is>
      </c>
      <c r="G3" s="23" t="inlineStr">
        <is>
          <t>LVCA</t>
        </is>
      </c>
      <c r="H3" s="23" t="inlineStr">
        <is>
          <t>Bia lon Lạc Việt</t>
        </is>
      </c>
      <c r="I3" s="23" t="inlineStr">
        <is>
          <t>PK_LINFOX_VSIP</t>
        </is>
      </c>
      <c r="J3" s="23" t="inlineStr">
        <is>
          <t>Kho Linfox KCN VSIP Bắc Ninh</t>
        </is>
      </c>
      <c r="K3" s="23" t="inlineStr">
        <is>
          <t>Bắc Ninh</t>
        </is>
      </c>
      <c r="L3" s="23" t="inlineStr">
        <is>
          <t>Từ Sơn</t>
        </is>
      </c>
      <c r="M3" s="24" t="n">
        <v>21.082707</v>
      </c>
      <c r="N3" s="24" t="n">
        <v>105.997949</v>
      </c>
      <c r="O3" s="23" t="inlineStr">
        <is>
          <t>DL_HN_ROYAL</t>
        </is>
      </c>
      <c r="P3" s="23" t="inlineStr">
        <is>
          <t>VINMART Royal City</t>
        </is>
      </c>
      <c r="Q3" s="23" t="inlineStr">
        <is>
          <t>Hà Nội</t>
        </is>
      </c>
      <c r="R3" s="23" t="inlineStr">
        <is>
          <t>Thanh Xuân</t>
        </is>
      </c>
      <c r="S3" s="24" t="n">
        <v>21.003388</v>
      </c>
      <c r="T3" s="24" t="n">
        <v>105.816212</v>
      </c>
      <c r="U3" s="23" t="inlineStr">
        <is>
          <t>Nội thành Hà Nội</t>
        </is>
      </c>
      <c r="V3" s="23" t="inlineStr">
        <is>
          <t>Nội thành Hà Nội</t>
        </is>
      </c>
      <c r="W3" s="33" t="n">
        <v>36.9</v>
      </c>
      <c r="X3" s="32" t="n">
        <v>481</v>
      </c>
      <c r="Y3" s="33" t="n">
        <v>1.21</v>
      </c>
      <c r="Z3" s="32" t="n">
        <v>1</v>
      </c>
      <c r="AA3" s="23" t="inlineStr">
        <is>
          <t>5 tạ</t>
        </is>
      </c>
      <c r="AB3" s="23" t="inlineStr">
        <is>
          <t>1.25T</t>
        </is>
      </c>
      <c r="AC3" s="23" t="inlineStr">
        <is>
          <t>No</t>
        </is>
      </c>
      <c r="AD3" s="23" t="inlineStr">
        <is>
          <t>Yes</t>
        </is>
      </c>
      <c r="AE3" s="23" t="inlineStr">
        <is>
          <t>No</t>
        </is>
      </c>
      <c r="AF3" s="23" t="inlineStr">
        <is>
          <t>Yes</t>
        </is>
      </c>
      <c r="AG3" s="23" t="inlineStr">
        <is>
          <t>Hầm trung tâm thương mại</t>
        </is>
      </c>
      <c r="AH3" s="23" t="inlineStr">
        <is>
          <t>07:30</t>
        </is>
      </c>
      <c r="AI3" s="23" t="inlineStr">
        <is>
          <t>10:00</t>
        </is>
      </c>
      <c r="AJ3" s="23" t="inlineStr">
        <is>
          <t>10:18</t>
        </is>
      </c>
      <c r="AK3" s="23" t="inlineStr">
        <is>
          <t>11:48</t>
        </is>
      </c>
      <c r="AL3" s="24" t="n">
        <v>30</v>
      </c>
      <c r="AM3" s="24" t="n">
        <v>25</v>
      </c>
      <c r="AN3" s="24" t="n">
        <v>30</v>
      </c>
      <c r="AO3" s="24" t="n">
        <v>258</v>
      </c>
      <c r="AP3" s="35" t="n">
        <v>530000</v>
      </c>
      <c r="AQ3" s="35" t="n">
        <v>0</v>
      </c>
      <c r="AR3" s="35" t="n">
        <v>120000</v>
      </c>
      <c r="AS3" s="32" t="n">
        <v>80000</v>
      </c>
      <c r="AT3" s="23" t="inlineStr">
        <is>
          <t>C - Có thể thương lượng</t>
        </is>
      </c>
      <c r="AU3" s="23" t="inlineStr">
        <is>
          <t>CR-NỘIT-03</t>
        </is>
      </c>
      <c r="AV3" s="23" t="inlineStr">
        <is>
          <t>Excel khách hàng</t>
        </is>
      </c>
      <c r="AW3" s="23" t="inlineStr">
        <is>
          <t>S3-C02</t>
        </is>
      </c>
      <c r="AX3" s="23" t="inlineStr">
        <is>
          <t>5 tạ</t>
        </is>
      </c>
      <c r="AY3" s="23" t="inlineStr">
        <is>
          <t>Send to Clustering</t>
        </is>
      </c>
      <c r="AZ3" s="23" t="inlineStr">
        <is>
          <t>OK</t>
        </is>
      </c>
      <c r="BA3" s="23" t="inlineStr">
        <is>
          <t>Cấm tải/đường nhỏ - đã chọn xe nhỏ</t>
        </is>
      </c>
      <c r="BB3" s="23">
        <f>AM3+AN3</f>
        <v/>
      </c>
      <c r="BC3" s="23">
        <f>ROUND(W3/'03_Cost_Constraints'!$B$4*60,0)</f>
        <v/>
      </c>
      <c r="BD3" s="23">
        <f>IF(X3&lt;=500,"5 tạ",IF(X3&lt;=1250,"1.25T",IF(X3&lt;=5000,"5T",IF(X3&lt;=8000,"8T",IF(X3&lt;=15000,"3 chân","4 chân")))))</f>
        <v/>
      </c>
      <c r="BE3" s="23">
        <f>IF((BB3+BC3)&lt;=AO3,"OK","Risk")</f>
        <v/>
      </c>
      <c r="BF3" s="23">
        <f>IF(AND(AZ3="OK",BE3="OK"),"Ready","Review")</f>
        <v/>
      </c>
      <c r="BG3" s="23" t="n"/>
    </row>
    <row r="4" ht="18" customHeight="1" s="17">
      <c r="A4" s="21" t="inlineStr">
        <is>
          <t>S3</t>
        </is>
      </c>
      <c r="B4" s="21" t="inlineStr">
        <is>
          <t>2026-06-05</t>
        </is>
      </c>
      <c r="C4" s="21" t="inlineStr">
        <is>
          <t>S3-ORD-003</t>
        </is>
      </c>
      <c r="D4" s="21" t="inlineStr">
        <is>
          <t>VinCommerce</t>
        </is>
      </c>
      <c r="E4" s="21" t="inlineStr">
        <is>
          <t>MM Hạ Long</t>
        </is>
      </c>
      <c r="F4" s="21" t="inlineStr">
        <is>
          <t>MT</t>
        </is>
      </c>
      <c r="G4" s="21" t="inlineStr">
        <is>
          <t>NOODLE</t>
        </is>
      </c>
      <c r="H4" s="21" t="inlineStr">
        <is>
          <t>Mì gói/Acecook carton</t>
        </is>
      </c>
      <c r="I4" s="21" t="inlineStr">
        <is>
          <t>PK_HPL_LB</t>
        </is>
      </c>
      <c r="J4" s="21" t="inlineStr">
        <is>
          <t>HPL Depot Long Biên - 20 Thạch Bàn</t>
        </is>
      </c>
      <c r="K4" s="21" t="inlineStr">
        <is>
          <t>Hà Nội</t>
        </is>
      </c>
      <c r="L4" s="21" t="inlineStr">
        <is>
          <t>Long Biên</t>
        </is>
      </c>
      <c r="M4" s="22" t="n">
        <v>21.0261548385</v>
      </c>
      <c r="N4" s="22" t="n">
        <v>105.914182238</v>
      </c>
      <c r="O4" s="21" t="inlineStr">
        <is>
          <t>DL_QN_HALONG</t>
        </is>
      </c>
      <c r="P4" s="21" t="inlineStr">
        <is>
          <t>MM Hạ Long</t>
        </is>
      </c>
      <c r="Q4" s="21" t="inlineStr">
        <is>
          <t>Quảng Ninh</t>
        </is>
      </c>
      <c r="R4" s="21" t="inlineStr">
        <is>
          <t>Hạ Long</t>
        </is>
      </c>
      <c r="S4" s="22" t="n">
        <v>20.95129</v>
      </c>
      <c r="T4" s="22" t="n">
        <v>107.08008</v>
      </c>
      <c r="U4" s="21" t="inlineStr">
        <is>
          <t>Đông Bắc</t>
        </is>
      </c>
      <c r="V4" s="21" t="inlineStr">
        <is>
          <t>Đông Bắc</t>
        </is>
      </c>
      <c r="W4" s="29" t="n">
        <v>161.6</v>
      </c>
      <c r="X4" s="28" t="n">
        <v>6568</v>
      </c>
      <c r="Y4" s="29" t="n">
        <v>49.49</v>
      </c>
      <c r="Z4" s="28" t="n">
        <v>41</v>
      </c>
      <c r="AA4" s="21" t="inlineStr">
        <is>
          <t>3 chân</t>
        </is>
      </c>
      <c r="AB4" s="21" t="inlineStr">
        <is>
          <t>8T</t>
        </is>
      </c>
      <c r="AC4" s="21" t="inlineStr">
        <is>
          <t>No</t>
        </is>
      </c>
      <c r="AD4" s="21" t="inlineStr">
        <is>
          <t>Yes</t>
        </is>
      </c>
      <c r="AE4" s="21" t="inlineStr">
        <is>
          <t>No</t>
        </is>
      </c>
      <c r="AF4" s="21" t="inlineStr">
        <is>
          <t>No</t>
        </is>
      </c>
      <c r="AG4" s="21" t="inlineStr">
        <is>
          <t>Đường ven biển, xe 8T vào được</t>
        </is>
      </c>
      <c r="AH4" s="21" t="inlineStr">
        <is>
          <t>09:00</t>
        </is>
      </c>
      <c r="AI4" s="21" t="inlineStr">
        <is>
          <t>11:00</t>
        </is>
      </c>
      <c r="AJ4" s="21" t="inlineStr">
        <is>
          <t>15:03</t>
        </is>
      </c>
      <c r="AK4" s="21" t="inlineStr">
        <is>
          <t>16:33</t>
        </is>
      </c>
      <c r="AL4" s="22" t="n">
        <v>45</v>
      </c>
      <c r="AM4" s="22" t="n">
        <v>120</v>
      </c>
      <c r="AN4" s="22" t="n">
        <v>100</v>
      </c>
      <c r="AO4" s="22" t="n">
        <v>453</v>
      </c>
      <c r="AP4" s="31" t="n">
        <v>6960000</v>
      </c>
      <c r="AQ4" s="31" t="n">
        <v>150000</v>
      </c>
      <c r="AR4" s="31" t="n">
        <v>120000</v>
      </c>
      <c r="AS4" s="28" t="n">
        <v>80000</v>
      </c>
      <c r="AT4" s="21" t="inlineStr">
        <is>
          <t>B - Thường</t>
        </is>
      </c>
      <c r="AU4" s="21" t="inlineStr">
        <is>
          <t>CR-ĐÔNG-04</t>
        </is>
      </c>
      <c r="AV4" s="21" t="inlineStr">
        <is>
          <t>Hệ thống khách hàng</t>
        </is>
      </c>
      <c r="AW4" s="21" t="inlineStr">
        <is>
          <t>S3-C03</t>
        </is>
      </c>
      <c r="AX4" s="21" t="inlineStr">
        <is>
          <t>Split/Chuyển tải</t>
        </is>
      </c>
      <c r="AY4" s="21" t="inlineStr">
        <is>
          <t>Split Order/Chuyển tải hoặc xin xe nhỏ nhiều chuyến</t>
        </is>
      </c>
      <c r="AZ4" s="21" t="inlineStr">
        <is>
          <t>Review</t>
        </is>
      </c>
      <c r="BA4" s="21" t="inlineStr">
        <is>
          <t>Vehicle Mismatch</t>
        </is>
      </c>
      <c r="BB4" s="21">
        <f>AM4+AN4</f>
        <v/>
      </c>
      <c r="BC4" s="21">
        <f>ROUND(W4/'03_Cost_Constraints'!$B$4*60,0)</f>
        <v/>
      </c>
      <c r="BD4" s="21">
        <f>IF(X4&lt;=500,"5 tạ",IF(X4&lt;=1250,"1.25T",IF(X4&lt;=5000,"5T",IF(X4&lt;=8000,"8T",IF(X4&lt;=15000,"3 chân","4 chân")))))</f>
        <v/>
      </c>
      <c r="BE4" s="21">
        <f>IF((BB4+BC4)&lt;=AO4,"OK","Risk")</f>
        <v/>
      </c>
      <c r="BF4" s="21">
        <f>IF(AND(AZ4="OK",BE4="OK"),"Ready","Review")</f>
        <v/>
      </c>
      <c r="BG4" s="21" t="n"/>
    </row>
    <row r="5" ht="18" customHeight="1" s="17">
      <c r="A5" s="23" t="inlineStr">
        <is>
          <t>S3</t>
        </is>
      </c>
      <c r="B5" s="23" t="inlineStr">
        <is>
          <t>2026-06-05</t>
        </is>
      </c>
      <c r="C5" s="23" t="inlineStr">
        <is>
          <t>S3-ORD-004</t>
        </is>
      </c>
      <c r="D5" s="23" t="inlineStr">
        <is>
          <t>Unilever</t>
        </is>
      </c>
      <c r="E5" s="23" t="inlineStr">
        <is>
          <t>Siêu thị Thanh Hóa</t>
        </is>
      </c>
      <c r="F5" s="23" t="inlineStr">
        <is>
          <t>MT</t>
        </is>
      </c>
      <c r="G5" s="23" t="inlineStr">
        <is>
          <t>CHCA</t>
        </is>
      </c>
      <c r="H5" s="23" t="inlineStr">
        <is>
          <t>Bia lon Saigon Chill</t>
        </is>
      </c>
      <c r="I5" s="23" t="inlineStr">
        <is>
          <t>PK_TH_QX</t>
        </is>
      </c>
      <c r="J5" s="23" t="inlineStr">
        <is>
          <t>Kho DC Thanh Hóa - Quảng Xương</t>
        </is>
      </c>
      <c r="K5" s="23" t="inlineStr">
        <is>
          <t>Thanh Hóa</t>
        </is>
      </c>
      <c r="L5" s="23" t="inlineStr">
        <is>
          <t>Quảng Xương</t>
        </is>
      </c>
      <c r="M5" s="24" t="n">
        <v>19.731</v>
      </c>
      <c r="N5" s="24" t="n">
        <v>105.815</v>
      </c>
      <c r="O5" s="23" t="inlineStr">
        <is>
          <t>DL_TH_SIEUTHI</t>
        </is>
      </c>
      <c r="P5" s="23" t="inlineStr">
        <is>
          <t>Siêu thị Thanh Hóa</t>
        </is>
      </c>
      <c r="Q5" s="23" t="inlineStr">
        <is>
          <t>Thanh Hóa</t>
        </is>
      </c>
      <c r="R5" s="23" t="inlineStr">
        <is>
          <t>Hạc Thành</t>
        </is>
      </c>
      <c r="S5" s="24" t="n">
        <v>19.8076</v>
      </c>
      <c r="T5" s="24" t="n">
        <v>105.77639</v>
      </c>
      <c r="U5" s="23" t="inlineStr">
        <is>
          <t>Bắc Trung Bộ</t>
        </is>
      </c>
      <c r="V5" s="23" t="inlineStr">
        <is>
          <t>Bắc Trung Bộ</t>
        </is>
      </c>
      <c r="W5" s="33" t="n">
        <v>19.6</v>
      </c>
      <c r="X5" s="32" t="n">
        <v>10489</v>
      </c>
      <c r="Y5" s="33" t="n">
        <v>23.77</v>
      </c>
      <c r="Z5" s="32" t="n">
        <v>19</v>
      </c>
      <c r="AA5" s="23" t="inlineStr">
        <is>
          <t>3 chân</t>
        </is>
      </c>
      <c r="AB5" s="23" t="inlineStr">
        <is>
          <t>5T</t>
        </is>
      </c>
      <c r="AC5" s="23" t="inlineStr">
        <is>
          <t>No</t>
        </is>
      </c>
      <c r="AD5" s="23" t="inlineStr">
        <is>
          <t>Yes</t>
        </is>
      </c>
      <c r="AE5" s="23" t="inlineStr">
        <is>
          <t>No</t>
        </is>
      </c>
      <c r="AF5" s="23" t="inlineStr">
        <is>
          <t>No</t>
        </is>
      </c>
      <c r="AG5" s="23" t="inlineStr">
        <is>
          <t>Đường đô thị, xe 5T vào được</t>
        </is>
      </c>
      <c r="AH5" s="23" t="inlineStr">
        <is>
          <t>07:00</t>
        </is>
      </c>
      <c r="AI5" s="23" t="inlineStr">
        <is>
          <t>09:00</t>
        </is>
      </c>
      <c r="AJ5" s="23" t="inlineStr">
        <is>
          <t>10:46</t>
        </is>
      </c>
      <c r="AK5" s="23" t="inlineStr">
        <is>
          <t>12:46</t>
        </is>
      </c>
      <c r="AL5" s="24" t="n">
        <v>45</v>
      </c>
      <c r="AM5" s="24" t="n">
        <v>120</v>
      </c>
      <c r="AN5" s="24" t="n">
        <v>100</v>
      </c>
      <c r="AO5" s="24" t="n">
        <v>346</v>
      </c>
      <c r="AP5" s="35" t="n">
        <v>1510000</v>
      </c>
      <c r="AQ5" s="35" t="n">
        <v>0</v>
      </c>
      <c r="AR5" s="35" t="n">
        <v>120000</v>
      </c>
      <c r="AS5" s="32" t="n">
        <v>150000</v>
      </c>
      <c r="AT5" s="23" t="inlineStr">
        <is>
          <t>A - SLA chặt</t>
        </is>
      </c>
      <c r="AU5" s="23" t="inlineStr">
        <is>
          <t>CR-BẮCT-05</t>
        </is>
      </c>
      <c r="AV5" s="23" t="inlineStr">
        <is>
          <t>Zalo/Email plan 17:00</t>
        </is>
      </c>
      <c r="AW5" s="23" t="inlineStr">
        <is>
          <t>S3-C04</t>
        </is>
      </c>
      <c r="AX5" s="23" t="inlineStr">
        <is>
          <t>Split/Chuyển tải</t>
        </is>
      </c>
      <c r="AY5" s="23" t="inlineStr">
        <is>
          <t>Split Order/Chuyển tải hoặc xin xe nhỏ nhiều chuyến</t>
        </is>
      </c>
      <c r="AZ5" s="23" t="inlineStr">
        <is>
          <t>Review</t>
        </is>
      </c>
      <c r="BA5" s="23" t="inlineStr">
        <is>
          <t>Vehicle Mismatch</t>
        </is>
      </c>
      <c r="BB5" s="23">
        <f>AM5+AN5</f>
        <v/>
      </c>
      <c r="BC5" s="23">
        <f>ROUND(W5/'03_Cost_Constraints'!$B$4*60,0)</f>
        <v/>
      </c>
      <c r="BD5" s="23">
        <f>IF(X5&lt;=500,"5 tạ",IF(X5&lt;=1250,"1.25T",IF(X5&lt;=5000,"5T",IF(X5&lt;=8000,"8T",IF(X5&lt;=15000,"3 chân","4 chân")))))</f>
        <v/>
      </c>
      <c r="BE5" s="23">
        <f>IF((BB5+BC5)&lt;=AO5,"OK","Risk")</f>
        <v/>
      </c>
      <c r="BF5" s="23">
        <f>IF(AND(AZ5="OK",BE5="OK"),"Ready","Review")</f>
        <v/>
      </c>
      <c r="BG5" s="23" t="inlineStr">
        <is>
          <t>Kế hoạch ngày hôm sau; cần chốt trước 19:00 và gửi tài xế sau duyệt</t>
        </is>
      </c>
    </row>
    <row r="6" ht="18" customHeight="1" s="17">
      <c r="A6" s="21" t="inlineStr">
        <is>
          <t>S3</t>
        </is>
      </c>
      <c r="B6" s="21" t="inlineStr">
        <is>
          <t>2026-06-05</t>
        </is>
      </c>
      <c r="C6" s="21" t="inlineStr">
        <is>
          <t>S3-ORD-005</t>
        </is>
      </c>
      <c r="D6" s="21" t="inlineStr">
        <is>
          <t>VinCommerce</t>
        </is>
      </c>
      <c r="E6" s="21" t="inlineStr">
        <is>
          <t>LOTTE MART Ba Đình</t>
        </is>
      </c>
      <c r="F6" s="21" t="inlineStr">
        <is>
          <t>MT</t>
        </is>
      </c>
      <c r="G6" s="21" t="inlineStr">
        <is>
          <t>FMCG</t>
        </is>
      </c>
      <c r="H6" s="21" t="inlineStr">
        <is>
          <t>Hàng tiêu dùng nhanh hỗn hợp</t>
        </is>
      </c>
      <c r="I6" s="21" t="inlineStr">
        <is>
          <t>PK_HY_MYHAO</t>
        </is>
      </c>
      <c r="J6" s="21" t="inlineStr">
        <is>
          <t>Kho/Nhà máy khách hàng Mỹ Hào</t>
        </is>
      </c>
      <c r="K6" s="21" t="inlineStr">
        <is>
          <t>Hưng Yên</t>
        </is>
      </c>
      <c r="L6" s="21" t="inlineStr">
        <is>
          <t>Mỹ Hào</t>
        </is>
      </c>
      <c r="M6" s="22" t="n">
        <v>20.9329</v>
      </c>
      <c r="N6" s="22" t="n">
        <v>106.065</v>
      </c>
      <c r="O6" s="21" t="inlineStr">
        <is>
          <t>DL_HN_LOTTE_BD</t>
        </is>
      </c>
      <c r="P6" s="21" t="inlineStr">
        <is>
          <t>LOTTE MART Ba Đình</t>
        </is>
      </c>
      <c r="Q6" s="21" t="inlineStr">
        <is>
          <t>Hà Nội</t>
        </is>
      </c>
      <c r="R6" s="21" t="inlineStr">
        <is>
          <t>Ba Đình</t>
        </is>
      </c>
      <c r="S6" s="22" t="n">
        <v>21.032177</v>
      </c>
      <c r="T6" s="22" t="n">
        <v>105.812441</v>
      </c>
      <c r="U6" s="21" t="inlineStr">
        <is>
          <t>Nội thành Hà Nội</t>
        </is>
      </c>
      <c r="V6" s="21" t="inlineStr">
        <is>
          <t>Nội thành Hà Nội</t>
        </is>
      </c>
      <c r="W6" s="29" t="n">
        <v>47.8</v>
      </c>
      <c r="X6" s="28" t="n">
        <v>1455</v>
      </c>
      <c r="Y6" s="29" t="n">
        <v>6.44</v>
      </c>
      <c r="Z6" s="28" t="n">
        <v>5</v>
      </c>
      <c r="AA6" s="21" t="inlineStr">
        <is>
          <t>5T</t>
        </is>
      </c>
      <c r="AB6" s="21" t="inlineStr">
        <is>
          <t>1.25T</t>
        </is>
      </c>
      <c r="AC6" s="21" t="inlineStr">
        <is>
          <t>No</t>
        </is>
      </c>
      <c r="AD6" s="21" t="inlineStr">
        <is>
          <t>Yes</t>
        </is>
      </c>
      <c r="AE6" s="21" t="inlineStr">
        <is>
          <t>No</t>
        </is>
      </c>
      <c r="AF6" s="21" t="inlineStr">
        <is>
          <t>Yes</t>
        </is>
      </c>
      <c r="AG6" s="21" t="inlineStr">
        <is>
          <t>Giờ cấm tải, ưu tiên xe 1.25T</t>
        </is>
      </c>
      <c r="AH6" s="21" t="inlineStr">
        <is>
          <t>08:30</t>
        </is>
      </c>
      <c r="AI6" s="21" t="inlineStr">
        <is>
          <t>10:00</t>
        </is>
      </c>
      <c r="AJ6" s="21" t="inlineStr">
        <is>
          <t>09:51</t>
        </is>
      </c>
      <c r="AK6" s="21" t="inlineStr">
        <is>
          <t>12:21</t>
        </is>
      </c>
      <c r="AL6" s="22" t="n">
        <v>45</v>
      </c>
      <c r="AM6" s="22" t="n">
        <v>40</v>
      </c>
      <c r="AN6" s="22" t="n">
        <v>45</v>
      </c>
      <c r="AO6" s="22" t="n">
        <v>231</v>
      </c>
      <c r="AP6" s="31" t="n">
        <v>920000</v>
      </c>
      <c r="AQ6" s="31" t="n">
        <v>0</v>
      </c>
      <c r="AR6" s="31" t="n">
        <v>120000</v>
      </c>
      <c r="AS6" s="28" t="n">
        <v>80000</v>
      </c>
      <c r="AT6" s="21" t="inlineStr">
        <is>
          <t>B - Thường</t>
        </is>
      </c>
      <c r="AU6" s="21" t="inlineStr">
        <is>
          <t>CR-NỘIT-01</t>
        </is>
      </c>
      <c r="AV6" s="21" t="inlineStr">
        <is>
          <t>Manual nhập điều phối</t>
        </is>
      </c>
      <c r="AW6" s="21" t="inlineStr">
        <is>
          <t>S3-C05</t>
        </is>
      </c>
      <c r="AX6" s="21" t="inlineStr">
        <is>
          <t>Split/Chuyển tải</t>
        </is>
      </c>
      <c r="AY6" s="21" t="inlineStr">
        <is>
          <t>Split Order/Chuyển tải hoặc xin xe nhỏ nhiều chuyến</t>
        </is>
      </c>
      <c r="AZ6" s="21" t="inlineStr">
        <is>
          <t>Review</t>
        </is>
      </c>
      <c r="BA6" s="21" t="inlineStr">
        <is>
          <t>Vehicle Mismatch</t>
        </is>
      </c>
      <c r="BB6" s="21">
        <f>AM6+AN6</f>
        <v/>
      </c>
      <c r="BC6" s="21">
        <f>ROUND(W6/'03_Cost_Constraints'!$B$4*60,0)</f>
        <v/>
      </c>
      <c r="BD6" s="21">
        <f>IF(X6&lt;=500,"5 tạ",IF(X6&lt;=1250,"1.25T",IF(X6&lt;=5000,"5T",IF(X6&lt;=8000,"8T",IF(X6&lt;=15000,"3 chân","4 chân")))))</f>
        <v/>
      </c>
      <c r="BE6" s="21">
        <f>IF((BB6+BC6)&lt;=AO6,"OK","Risk")</f>
        <v/>
      </c>
      <c r="BF6" s="21">
        <f>IF(AND(AZ6="OK",BE6="OK"),"Ready","Review")</f>
        <v/>
      </c>
      <c r="BG6" s="21" t="inlineStr">
        <is>
          <t>Lead time hẹp, cần cảnh báo hoặc xin nới giờ</t>
        </is>
      </c>
    </row>
    <row r="7" ht="18" customHeight="1" s="17">
      <c r="A7" s="23" t="inlineStr">
        <is>
          <t>S3</t>
        </is>
      </c>
      <c r="B7" s="23" t="inlineStr">
        <is>
          <t>2026-06-05</t>
        </is>
      </c>
      <c r="C7" s="23" t="inlineStr">
        <is>
          <t>S3-ORD-006</t>
        </is>
      </c>
      <c r="D7" s="23" t="inlineStr">
        <is>
          <t>Unilever</t>
        </is>
      </c>
      <c r="E7" s="23" t="inlineStr">
        <is>
          <t>VINMART Võ Thị Sáu</t>
        </is>
      </c>
      <c r="F7" s="23" t="inlineStr">
        <is>
          <t>ST</t>
        </is>
      </c>
      <c r="G7" s="23" t="inlineStr">
        <is>
          <t>MILK</t>
        </is>
      </c>
      <c r="H7" s="23" t="inlineStr">
        <is>
          <t>Sữa hộp carton</t>
        </is>
      </c>
      <c r="I7" s="23" t="inlineStr">
        <is>
          <t>PK_HY_MYHAO</t>
        </is>
      </c>
      <c r="J7" s="23" t="inlineStr">
        <is>
          <t>Kho/Nhà máy khách hàng Mỹ Hào</t>
        </is>
      </c>
      <c r="K7" s="23" t="inlineStr">
        <is>
          <t>Hưng Yên</t>
        </is>
      </c>
      <c r="L7" s="23" t="inlineStr">
        <is>
          <t>Mỹ Hào</t>
        </is>
      </c>
      <c r="M7" s="24" t="n">
        <v>20.9329</v>
      </c>
      <c r="N7" s="24" t="n">
        <v>106.065</v>
      </c>
      <c r="O7" s="23" t="inlineStr">
        <is>
          <t>DL_HN_VOTHISAU</t>
        </is>
      </c>
      <c r="P7" s="23" t="inlineStr">
        <is>
          <t>VINMART Võ Thị Sáu</t>
        </is>
      </c>
      <c r="Q7" s="23" t="inlineStr">
        <is>
          <t>Hà Nội</t>
        </is>
      </c>
      <c r="R7" s="23" t="inlineStr">
        <is>
          <t>Hai Bà Trưng</t>
        </is>
      </c>
      <c r="S7" s="24" t="n">
        <v>21.00441</v>
      </c>
      <c r="T7" s="24" t="n">
        <v>105.855148</v>
      </c>
      <c r="U7" s="23" t="inlineStr">
        <is>
          <t>Nội thành Hà Nội</t>
        </is>
      </c>
      <c r="V7" s="23" t="inlineStr">
        <is>
          <t>Nội thành Hà Nội</t>
        </is>
      </c>
      <c r="W7" s="33" t="n">
        <v>40.5</v>
      </c>
      <c r="X7" s="32" t="n">
        <v>642</v>
      </c>
      <c r="Y7" s="33" t="n">
        <v>1.64</v>
      </c>
      <c r="Z7" s="32" t="n">
        <v>1</v>
      </c>
      <c r="AA7" s="23" t="inlineStr">
        <is>
          <t>1.25T</t>
        </is>
      </c>
      <c r="AB7" s="23" t="inlineStr">
        <is>
          <t>1.25T</t>
        </is>
      </c>
      <c r="AC7" s="23" t="inlineStr">
        <is>
          <t>No</t>
        </is>
      </c>
      <c r="AD7" s="23" t="inlineStr">
        <is>
          <t>Yes</t>
        </is>
      </c>
      <c r="AE7" s="23" t="inlineStr">
        <is>
          <t>No</t>
        </is>
      </c>
      <c r="AF7" s="23" t="inlineStr">
        <is>
          <t>Yes</t>
        </is>
      </c>
      <c r="AG7" s="23" t="inlineStr">
        <is>
          <t>Giờ cấm tải, xe &lt;=1.25T</t>
        </is>
      </c>
      <c r="AH7" s="23" t="inlineStr">
        <is>
          <t>08:30</t>
        </is>
      </c>
      <c r="AI7" s="23" t="inlineStr">
        <is>
          <t>10:00</t>
        </is>
      </c>
      <c r="AJ7" s="23" t="inlineStr">
        <is>
          <t>11:54</t>
        </is>
      </c>
      <c r="AK7" s="23" t="inlineStr">
        <is>
          <t>13:54</t>
        </is>
      </c>
      <c r="AL7" s="24" t="n">
        <v>45</v>
      </c>
      <c r="AM7" s="24" t="n">
        <v>25</v>
      </c>
      <c r="AN7" s="24" t="n">
        <v>20</v>
      </c>
      <c r="AO7" s="24" t="n">
        <v>324</v>
      </c>
      <c r="AP7" s="35" t="n">
        <v>570000</v>
      </c>
      <c r="AQ7" s="35" t="n">
        <v>150000</v>
      </c>
      <c r="AR7" s="35" t="n">
        <v>0</v>
      </c>
      <c r="AS7" s="32" t="n">
        <v>150000</v>
      </c>
      <c r="AT7" s="23" t="inlineStr">
        <is>
          <t>A - SLA chặt</t>
        </is>
      </c>
      <c r="AU7" s="23" t="inlineStr">
        <is>
          <t>CR-NỘIT-02</t>
        </is>
      </c>
      <c r="AV7" s="23" t="inlineStr">
        <is>
          <t>Excel khách hàng</t>
        </is>
      </c>
      <c r="AW7" s="23" t="inlineStr">
        <is>
          <t>S3-C06</t>
        </is>
      </c>
      <c r="AX7" s="23" t="inlineStr">
        <is>
          <t>1.25T</t>
        </is>
      </c>
      <c r="AY7" s="23" t="inlineStr">
        <is>
          <t>Send to Clustering</t>
        </is>
      </c>
      <c r="AZ7" s="23" t="inlineStr">
        <is>
          <t>OK</t>
        </is>
      </c>
      <c r="BA7" s="23" t="inlineStr">
        <is>
          <t>Cấm tải/đường nhỏ - đã chọn xe nhỏ</t>
        </is>
      </c>
      <c r="BB7" s="23">
        <f>AM7+AN7</f>
        <v/>
      </c>
      <c r="BC7" s="23">
        <f>ROUND(W7/'03_Cost_Constraints'!$B$4*60,0)</f>
        <v/>
      </c>
      <c r="BD7" s="23">
        <f>IF(X7&lt;=500,"5 tạ",IF(X7&lt;=1250,"1.25T",IF(X7&lt;=5000,"5T",IF(X7&lt;=8000,"8T",IF(X7&lt;=15000,"3 chân","4 chân")))))</f>
        <v/>
      </c>
      <c r="BE7" s="23">
        <f>IF((BB7+BC7)&lt;=AO7,"OK","Risk")</f>
        <v/>
      </c>
      <c r="BF7" s="23">
        <f>IF(AND(AZ7="OK",BE7="OK"),"Ready","Review")</f>
        <v/>
      </c>
      <c r="BG7" s="23" t="n"/>
    </row>
    <row r="8" ht="18" customHeight="1" s="17">
      <c r="A8" s="21" t="inlineStr">
        <is>
          <t>S3</t>
        </is>
      </c>
      <c r="B8" s="21" t="inlineStr">
        <is>
          <t>2026-06-05</t>
        </is>
      </c>
      <c r="C8" s="21" t="inlineStr">
        <is>
          <t>S3-ORD-007</t>
        </is>
      </c>
      <c r="D8" s="21" t="inlineStr">
        <is>
          <t>Unilever</t>
        </is>
      </c>
      <c r="E8" s="21" t="inlineStr">
        <is>
          <t>VINMART Royal City</t>
        </is>
      </c>
      <c r="F8" s="21" t="inlineStr">
        <is>
          <t>MT</t>
        </is>
      </c>
      <c r="G8" s="21" t="inlineStr">
        <is>
          <t>SP33</t>
        </is>
      </c>
      <c r="H8" s="21" t="inlineStr">
        <is>
          <t>Bia lon Saigon Special</t>
        </is>
      </c>
      <c r="I8" s="21" t="inlineStr">
        <is>
          <t>PK_HY_MYHAO</t>
        </is>
      </c>
      <c r="J8" s="21" t="inlineStr">
        <is>
          <t>Kho/Nhà máy khách hàng Mỹ Hào</t>
        </is>
      </c>
      <c r="K8" s="21" t="inlineStr">
        <is>
          <t>Hưng Yên</t>
        </is>
      </c>
      <c r="L8" s="21" t="inlineStr">
        <is>
          <t>Mỹ Hào</t>
        </is>
      </c>
      <c r="M8" s="22" t="n">
        <v>20.9329</v>
      </c>
      <c r="N8" s="22" t="n">
        <v>106.065</v>
      </c>
      <c r="O8" s="21" t="inlineStr">
        <is>
          <t>DL_HN_ROYAL</t>
        </is>
      </c>
      <c r="P8" s="21" t="inlineStr">
        <is>
          <t>VINMART Royal City</t>
        </is>
      </c>
      <c r="Q8" s="21" t="inlineStr">
        <is>
          <t>Hà Nội</t>
        </is>
      </c>
      <c r="R8" s="21" t="inlineStr">
        <is>
          <t>Thanh Xuân</t>
        </is>
      </c>
      <c r="S8" s="22" t="n">
        <v>21.003388</v>
      </c>
      <c r="T8" s="22" t="n">
        <v>105.816212</v>
      </c>
      <c r="U8" s="21" t="inlineStr">
        <is>
          <t>Nội thành Hà Nội</t>
        </is>
      </c>
      <c r="V8" s="21" t="inlineStr">
        <is>
          <t>Nội thành Hà Nội</t>
        </is>
      </c>
      <c r="W8" s="29" t="n">
        <v>41.5</v>
      </c>
      <c r="X8" s="28" t="n">
        <v>400</v>
      </c>
      <c r="Y8" s="29" t="n">
        <v>0.71</v>
      </c>
      <c r="Z8" s="28" t="n">
        <v>1</v>
      </c>
      <c r="AA8" s="21" t="inlineStr">
        <is>
          <t>5 tạ</t>
        </is>
      </c>
      <c r="AB8" s="21" t="inlineStr">
        <is>
          <t>1.25T</t>
        </is>
      </c>
      <c r="AC8" s="21" t="inlineStr">
        <is>
          <t>No</t>
        </is>
      </c>
      <c r="AD8" s="21" t="inlineStr">
        <is>
          <t>Yes</t>
        </is>
      </c>
      <c r="AE8" s="21" t="inlineStr">
        <is>
          <t>No</t>
        </is>
      </c>
      <c r="AF8" s="21" t="inlineStr">
        <is>
          <t>Yes</t>
        </is>
      </c>
      <c r="AG8" s="21" t="inlineStr">
        <is>
          <t>Hầm trung tâm thương mại</t>
        </is>
      </c>
      <c r="AH8" s="21" t="inlineStr">
        <is>
          <t>07:30</t>
        </is>
      </c>
      <c r="AI8" s="21" t="inlineStr">
        <is>
          <t>10:00</t>
        </is>
      </c>
      <c r="AJ8" s="21" t="inlineStr">
        <is>
          <t>10:26</t>
        </is>
      </c>
      <c r="AK8" s="21" t="inlineStr">
        <is>
          <t>12:26</t>
        </is>
      </c>
      <c r="AL8" s="22" t="n">
        <v>45</v>
      </c>
      <c r="AM8" s="22" t="n">
        <v>25</v>
      </c>
      <c r="AN8" s="22" t="n">
        <v>30</v>
      </c>
      <c r="AO8" s="22" t="n">
        <v>296</v>
      </c>
      <c r="AP8" s="31" t="n">
        <v>670000</v>
      </c>
      <c r="AQ8" s="31" t="n">
        <v>0</v>
      </c>
      <c r="AR8" s="31" t="n">
        <v>120000</v>
      </c>
      <c r="AS8" s="28" t="n">
        <v>80000</v>
      </c>
      <c r="AT8" s="21" t="inlineStr">
        <is>
          <t>C - Có thể thương lượng</t>
        </is>
      </c>
      <c r="AU8" s="21" t="inlineStr">
        <is>
          <t>CR-NỘIT-03</t>
        </is>
      </c>
      <c r="AV8" s="21" t="inlineStr">
        <is>
          <t>Hệ thống khách hàng</t>
        </is>
      </c>
      <c r="AW8" s="21" t="inlineStr">
        <is>
          <t>S3-C07</t>
        </is>
      </c>
      <c r="AX8" s="21" t="inlineStr">
        <is>
          <t>5 tạ</t>
        </is>
      </c>
      <c r="AY8" s="21" t="inlineStr">
        <is>
          <t>Send to Clustering</t>
        </is>
      </c>
      <c r="AZ8" s="21" t="inlineStr">
        <is>
          <t>OK</t>
        </is>
      </c>
      <c r="BA8" s="21" t="inlineStr">
        <is>
          <t>Cấm tải/đường nhỏ - đã chọn xe nhỏ</t>
        </is>
      </c>
      <c r="BB8" s="21">
        <f>AM8+AN8</f>
        <v/>
      </c>
      <c r="BC8" s="21">
        <f>ROUND(W8/'03_Cost_Constraints'!$B$4*60,0)</f>
        <v/>
      </c>
      <c r="BD8" s="21">
        <f>IF(X8&lt;=500,"5 tạ",IF(X8&lt;=1250,"1.25T",IF(X8&lt;=5000,"5T",IF(X8&lt;=8000,"8T",IF(X8&lt;=15000,"3 chân","4 chân")))))</f>
        <v/>
      </c>
      <c r="BE8" s="21">
        <f>IF((BB8+BC8)&lt;=AO8,"OK","Risk")</f>
        <v/>
      </c>
      <c r="BF8" s="21">
        <f>IF(AND(AZ8="OK",BE8="OK"),"Ready","Review")</f>
        <v/>
      </c>
      <c r="BG8" s="21" t="n"/>
    </row>
    <row r="9" ht="18" customHeight="1" s="17">
      <c r="A9" s="23" t="inlineStr">
        <is>
          <t>S3</t>
        </is>
      </c>
      <c r="B9" s="23" t="inlineStr">
        <is>
          <t>2026-06-05</t>
        </is>
      </c>
      <c r="C9" s="23" t="inlineStr">
        <is>
          <t>S3-ORD-008</t>
        </is>
      </c>
      <c r="D9" s="23" t="inlineStr">
        <is>
          <t>Masan</t>
        </is>
      </c>
      <c r="E9" s="23" t="inlineStr">
        <is>
          <t>Siêu thị Ninh Bình</t>
        </is>
      </c>
      <c r="F9" s="23" t="inlineStr">
        <is>
          <t>ST</t>
        </is>
      </c>
      <c r="G9" s="23" t="inlineStr">
        <is>
          <t>POSM</t>
        </is>
      </c>
      <c r="H9" s="23" t="inlineStr">
        <is>
          <t>POSM trưng bày</t>
        </is>
      </c>
      <c r="I9" s="23" t="inlineStr">
        <is>
          <t>PK_HPL_LB</t>
        </is>
      </c>
      <c r="J9" s="23" t="inlineStr">
        <is>
          <t>HPL Depot Long Biên - 20 Thạch Bàn</t>
        </is>
      </c>
      <c r="K9" s="23" t="inlineStr">
        <is>
          <t>Hà Nội</t>
        </is>
      </c>
      <c r="L9" s="23" t="inlineStr">
        <is>
          <t>Long Biên</t>
        </is>
      </c>
      <c r="M9" s="24" t="n">
        <v>21.0261548385</v>
      </c>
      <c r="N9" s="24" t="n">
        <v>105.914182238</v>
      </c>
      <c r="O9" s="23" t="inlineStr">
        <is>
          <t>DL_NB_SIEUTHI</t>
        </is>
      </c>
      <c r="P9" s="23" t="inlineStr">
        <is>
          <t>Siêu thị Ninh Bình</t>
        </is>
      </c>
      <c r="Q9" s="23" t="inlineStr">
        <is>
          <t>Ninh Bình</t>
        </is>
      </c>
      <c r="R9" s="23" t="inlineStr">
        <is>
          <t>Hoa Lư</t>
        </is>
      </c>
      <c r="S9" s="24" t="n">
        <v>20.250614</v>
      </c>
      <c r="T9" s="24" t="n">
        <v>105.974454</v>
      </c>
      <c r="U9" s="23" t="inlineStr">
        <is>
          <t>Bắc Trung Bộ</t>
        </is>
      </c>
      <c r="V9" s="23" t="inlineStr">
        <is>
          <t>Bắc Trung Bộ</t>
        </is>
      </c>
      <c r="W9" s="33" t="n">
        <v>112.5</v>
      </c>
      <c r="X9" s="32" t="n">
        <v>7895</v>
      </c>
      <c r="Y9" s="33" t="n">
        <v>151.81</v>
      </c>
      <c r="Z9" s="32" t="n">
        <v>126</v>
      </c>
      <c r="AA9" s="23" t="inlineStr">
        <is>
          <t>Container</t>
        </is>
      </c>
      <c r="AB9" s="23" t="inlineStr">
        <is>
          <t>8T</t>
        </is>
      </c>
      <c r="AC9" s="23" t="inlineStr">
        <is>
          <t>No</t>
        </is>
      </c>
      <c r="AD9" s="23" t="inlineStr">
        <is>
          <t>Yes</t>
        </is>
      </c>
      <c r="AE9" s="23" t="inlineStr">
        <is>
          <t>No</t>
        </is>
      </c>
      <c r="AF9" s="23" t="inlineStr">
        <is>
          <t>No</t>
        </is>
      </c>
      <c r="AG9" s="23" t="inlineStr">
        <is>
          <t>Xe 8T vào được</t>
        </is>
      </c>
      <c r="AH9" s="23" t="inlineStr">
        <is>
          <t>07:00</t>
        </is>
      </c>
      <c r="AI9" s="23" t="inlineStr">
        <is>
          <t>08:30</t>
        </is>
      </c>
      <c r="AJ9" s="23" t="inlineStr">
        <is>
          <t>11:50</t>
        </is>
      </c>
      <c r="AK9" s="23" t="inlineStr">
        <is>
          <t>14:50</t>
        </is>
      </c>
      <c r="AL9" s="24" t="n">
        <v>30</v>
      </c>
      <c r="AM9" s="24" t="n">
        <v>120</v>
      </c>
      <c r="AN9" s="24" t="n">
        <v>90</v>
      </c>
      <c r="AO9" s="24" t="n">
        <v>470</v>
      </c>
      <c r="AP9" s="35" t="n">
        <v>5410000</v>
      </c>
      <c r="AQ9" s="35" t="n">
        <v>0</v>
      </c>
      <c r="AR9" s="35" t="n">
        <v>0</v>
      </c>
      <c r="AS9" s="32" t="n">
        <v>80000</v>
      </c>
      <c r="AT9" s="23" t="inlineStr">
        <is>
          <t>B - Thường</t>
        </is>
      </c>
      <c r="AU9" s="23" t="inlineStr">
        <is>
          <t>CR-BẮCT-04</t>
        </is>
      </c>
      <c r="AV9" s="23" t="inlineStr">
        <is>
          <t>Zalo/Email plan 17:00</t>
        </is>
      </c>
      <c r="AW9" s="23" t="inlineStr">
        <is>
          <t>S3-C08</t>
        </is>
      </c>
      <c r="AX9" s="23" t="inlineStr">
        <is>
          <t>Split/Chuyển tải</t>
        </is>
      </c>
      <c r="AY9" s="23" t="inlineStr">
        <is>
          <t>Split Order/Chuyển tải hoặc xin xe nhỏ nhiều chuyến</t>
        </is>
      </c>
      <c r="AZ9" s="23" t="inlineStr">
        <is>
          <t>Review</t>
        </is>
      </c>
      <c r="BA9" s="23" t="inlineStr">
        <is>
          <t>Vehicle Mismatch</t>
        </is>
      </c>
      <c r="BB9" s="23">
        <f>AM9+AN9</f>
        <v/>
      </c>
      <c r="BC9" s="23">
        <f>ROUND(W9/'03_Cost_Constraints'!$B$4*60,0)</f>
        <v/>
      </c>
      <c r="BD9" s="23">
        <f>IF(X9&lt;=500,"5 tạ",IF(X9&lt;=1250,"1.25T",IF(X9&lt;=5000,"5T",IF(X9&lt;=8000,"8T",IF(X9&lt;=15000,"3 chân","4 chân")))))</f>
        <v/>
      </c>
      <c r="BE9" s="23">
        <f>IF((BB9+BC9)&lt;=AO9,"OK","Risk")</f>
        <v/>
      </c>
      <c r="BF9" s="23">
        <f>IF(AND(AZ9="OK",BE9="OK"),"Ready","Review")</f>
        <v/>
      </c>
      <c r="BG9" s="23" t="inlineStr">
        <is>
          <t>Kế hoạch ngày hôm sau; cần chốt trước 19:00 và gửi tài xế sau duyệt</t>
        </is>
      </c>
    </row>
    <row r="10" ht="18" customHeight="1" s="17">
      <c r="A10" s="21" t="inlineStr">
        <is>
          <t>S3</t>
        </is>
      </c>
      <c r="B10" s="21" t="inlineStr">
        <is>
          <t>2026-06-05</t>
        </is>
      </c>
      <c r="C10" s="21" t="inlineStr">
        <is>
          <t>S3-ORD-009</t>
        </is>
      </c>
      <c r="D10" s="21" t="inlineStr">
        <is>
          <t>Sabeco</t>
        </is>
      </c>
      <c r="E10" s="21" t="inlineStr">
        <is>
          <t>Minh Tuấn</t>
        </is>
      </c>
      <c r="F10" s="21" t="inlineStr">
        <is>
          <t>Đại lý</t>
        </is>
      </c>
      <c r="G10" s="21" t="inlineStr">
        <is>
          <t>EXPL</t>
        </is>
      </c>
      <c r="H10" s="21" t="inlineStr">
        <is>
          <t>Bia lon Saigon Export</t>
        </is>
      </c>
      <c r="I10" s="21" t="inlineStr">
        <is>
          <t>PK_LINFOX_VSIP</t>
        </is>
      </c>
      <c r="J10" s="21" t="inlineStr">
        <is>
          <t>Kho Linfox KCN VSIP Bắc Ninh</t>
        </is>
      </c>
      <c r="K10" s="21" t="inlineStr">
        <is>
          <t>Bắc Ninh</t>
        </is>
      </c>
      <c r="L10" s="21" t="inlineStr">
        <is>
          <t>Từ Sơn</t>
        </is>
      </c>
      <c r="M10" s="22" t="n">
        <v>21.082707</v>
      </c>
      <c r="N10" s="22" t="n">
        <v>105.997949</v>
      </c>
      <c r="O10" s="21" t="inlineStr">
        <is>
          <t>DL_HN_MINHTUAN</t>
        </is>
      </c>
      <c r="P10" s="21" t="inlineStr">
        <is>
          <t>Minh Tuấn</t>
        </is>
      </c>
      <c r="Q10" s="21" t="inlineStr">
        <is>
          <t>Hà Nội</t>
        </is>
      </c>
      <c r="R10" s="21" t="inlineStr">
        <is>
          <t>Hà Nội</t>
        </is>
      </c>
      <c r="S10" s="22" t="n">
        <v>20.954079</v>
      </c>
      <c r="T10" s="22" t="n">
        <v>105.837255</v>
      </c>
      <c r="U10" s="21" t="inlineStr">
        <is>
          <t>Nội thành Hà Nội</t>
        </is>
      </c>
      <c r="V10" s="21" t="inlineStr">
        <is>
          <t>Nội thành Hà Nội</t>
        </is>
      </c>
      <c r="W10" s="29" t="n">
        <v>39.6</v>
      </c>
      <c r="X10" s="28" t="n">
        <v>730</v>
      </c>
      <c r="Y10" s="29" t="n">
        <v>1.55</v>
      </c>
      <c r="Z10" s="28" t="n">
        <v>1</v>
      </c>
      <c r="AA10" s="21" t="inlineStr">
        <is>
          <t>1.25T</t>
        </is>
      </c>
      <c r="AB10" s="21" t="inlineStr">
        <is>
          <t>1.25T</t>
        </is>
      </c>
      <c r="AC10" s="21" t="inlineStr">
        <is>
          <t>No</t>
        </is>
      </c>
      <c r="AD10" s="21" t="inlineStr">
        <is>
          <t>Yes</t>
        </is>
      </c>
      <c r="AE10" s="21" t="inlineStr">
        <is>
          <t>No</t>
        </is>
      </c>
      <c r="AF10" s="21" t="inlineStr">
        <is>
          <t>Yes</t>
        </is>
      </c>
      <c r="AG10" s="21" t="inlineStr">
        <is>
          <t>Đường nhỏ, dây điện thấp</t>
        </is>
      </c>
      <c r="AH10" s="21" t="inlineStr">
        <is>
          <t>08:00</t>
        </is>
      </c>
      <c r="AI10" s="21" t="inlineStr">
        <is>
          <t>10:00</t>
        </is>
      </c>
      <c r="AJ10" s="21" t="inlineStr">
        <is>
          <t>10:52</t>
        </is>
      </c>
      <c r="AK10" s="21" t="inlineStr">
        <is>
          <t>13:22</t>
        </is>
      </c>
      <c r="AL10" s="22" t="n">
        <v>30</v>
      </c>
      <c r="AM10" s="22" t="n">
        <v>25</v>
      </c>
      <c r="AN10" s="22" t="n">
        <v>20</v>
      </c>
      <c r="AO10" s="22" t="n">
        <v>322</v>
      </c>
      <c r="AP10" s="31" t="n">
        <v>730000</v>
      </c>
      <c r="AQ10" s="31" t="n">
        <v>150000</v>
      </c>
      <c r="AR10" s="31" t="n">
        <v>0</v>
      </c>
      <c r="AS10" s="28" t="n">
        <v>80000</v>
      </c>
      <c r="AT10" s="21" t="inlineStr">
        <is>
          <t>C - Có thể thương lượng</t>
        </is>
      </c>
      <c r="AU10" s="21" t="inlineStr">
        <is>
          <t>CR-NỘIT-05</t>
        </is>
      </c>
      <c r="AV10" s="21" t="inlineStr">
        <is>
          <t>Manual nhập điều phối</t>
        </is>
      </c>
      <c r="AW10" s="21" t="inlineStr">
        <is>
          <t>S3-C09</t>
        </is>
      </c>
      <c r="AX10" s="21" t="inlineStr">
        <is>
          <t>1.25T</t>
        </is>
      </c>
      <c r="AY10" s="21" t="inlineStr">
        <is>
          <t>Send to Clustering</t>
        </is>
      </c>
      <c r="AZ10" s="21" t="inlineStr">
        <is>
          <t>OK</t>
        </is>
      </c>
      <c r="BA10" s="21" t="inlineStr">
        <is>
          <t>Cấm tải/đường nhỏ - đã chọn xe nhỏ</t>
        </is>
      </c>
      <c r="BB10" s="21">
        <f>AM10+AN10</f>
        <v/>
      </c>
      <c r="BC10" s="21">
        <f>ROUND(W10/'03_Cost_Constraints'!$B$4*60,0)</f>
        <v/>
      </c>
      <c r="BD10" s="21">
        <f>IF(X10&lt;=500,"5 tạ",IF(X10&lt;=1250,"1.25T",IF(X10&lt;=5000,"5T",IF(X10&lt;=8000,"8T",IF(X10&lt;=15000,"3 chân","4 chân")))))</f>
        <v/>
      </c>
      <c r="BE10" s="21">
        <f>IF((BB10+BC10)&lt;=AO10,"OK","Risk")</f>
        <v/>
      </c>
      <c r="BF10" s="21">
        <f>IF(AND(AZ10="OK",BE10="OK"),"Ready","Review")</f>
        <v/>
      </c>
      <c r="BG10" s="21" t="n"/>
    </row>
    <row r="11" ht="18" customHeight="1" s="17">
      <c r="A11" s="23" t="inlineStr">
        <is>
          <t>S3</t>
        </is>
      </c>
      <c r="B11" s="23" t="inlineStr">
        <is>
          <t>2026-06-05</t>
        </is>
      </c>
      <c r="C11" s="23" t="inlineStr">
        <is>
          <t>S3-ORD-010</t>
        </is>
      </c>
      <c r="D11" s="23" t="inlineStr">
        <is>
          <t>Bách Hóa Xanh</t>
        </is>
      </c>
      <c r="E11" s="23" t="inlineStr">
        <is>
          <t>AKJUKY</t>
        </is>
      </c>
      <c r="F11" s="23" t="inlineStr">
        <is>
          <t>Đại lý</t>
        </is>
      </c>
      <c r="G11" s="23" t="inlineStr">
        <is>
          <t>PAT2</t>
        </is>
      </c>
      <c r="H11" s="23" t="inlineStr">
        <is>
          <t>Bia lon 333</t>
        </is>
      </c>
      <c r="I11" s="23" t="inlineStr">
        <is>
          <t>PK_LINFOX_VSIP</t>
        </is>
      </c>
      <c r="J11" s="23" t="inlineStr">
        <is>
          <t>Kho Linfox KCN VSIP Bắc Ninh</t>
        </is>
      </c>
      <c r="K11" s="23" t="inlineStr">
        <is>
          <t>Bắc Ninh</t>
        </is>
      </c>
      <c r="L11" s="23" t="inlineStr">
        <is>
          <t>Từ Sơn</t>
        </is>
      </c>
      <c r="M11" s="24" t="n">
        <v>21.082707</v>
      </c>
      <c r="N11" s="24" t="n">
        <v>105.997949</v>
      </c>
      <c r="O11" s="23" t="inlineStr">
        <is>
          <t>DL_HN_AKJUKY</t>
        </is>
      </c>
      <c r="P11" s="23" t="inlineStr">
        <is>
          <t>AKJUKY</t>
        </is>
      </c>
      <c r="Q11" s="23" t="inlineStr">
        <is>
          <t>Hà Nội</t>
        </is>
      </c>
      <c r="R11" s="23" t="inlineStr">
        <is>
          <t>Long Biên</t>
        </is>
      </c>
      <c r="S11" s="24" t="n">
        <v>21.063695</v>
      </c>
      <c r="T11" s="24" t="n">
        <v>105.889986</v>
      </c>
      <c r="U11" s="23" t="inlineStr">
        <is>
          <t>Nội thành Hà Nội</t>
        </is>
      </c>
      <c r="V11" s="23" t="inlineStr">
        <is>
          <t>Nội thành Hà Nội</t>
        </is>
      </c>
      <c r="W11" s="33" t="n">
        <v>19.6</v>
      </c>
      <c r="X11" s="32" t="n">
        <v>1566</v>
      </c>
      <c r="Y11" s="33" t="n">
        <v>4</v>
      </c>
      <c r="Z11" s="32" t="n">
        <v>3</v>
      </c>
      <c r="AA11" s="23" t="inlineStr">
        <is>
          <t>5T</t>
        </is>
      </c>
      <c r="AB11" s="23" t="inlineStr">
        <is>
          <t>1.25T</t>
        </is>
      </c>
      <c r="AC11" s="23" t="inlineStr">
        <is>
          <t>No</t>
        </is>
      </c>
      <c r="AD11" s="23" t="inlineStr">
        <is>
          <t>Yes</t>
        </is>
      </c>
      <c r="AE11" s="23" t="inlineStr">
        <is>
          <t>No</t>
        </is>
      </c>
      <c r="AF11" s="23" t="inlineStr">
        <is>
          <t>Yes</t>
        </is>
      </c>
      <c r="AG11" s="23" t="inlineStr">
        <is>
          <t>Đường nhỏ nội đô</t>
        </is>
      </c>
      <c r="AH11" s="23" t="inlineStr">
        <is>
          <t>07:00</t>
        </is>
      </c>
      <c r="AI11" s="23" t="inlineStr">
        <is>
          <t>09:00</t>
        </is>
      </c>
      <c r="AJ11" s="23" t="inlineStr">
        <is>
          <t>10:03</t>
        </is>
      </c>
      <c r="AK11" s="23" t="inlineStr">
        <is>
          <t>13:03</t>
        </is>
      </c>
      <c r="AL11" s="24" t="n">
        <v>45</v>
      </c>
      <c r="AM11" s="24" t="n">
        <v>40</v>
      </c>
      <c r="AN11" s="24" t="n">
        <v>35</v>
      </c>
      <c r="AO11" s="24" t="n">
        <v>363</v>
      </c>
      <c r="AP11" s="35" t="n">
        <v>940000</v>
      </c>
      <c r="AQ11" s="35" t="n">
        <v>0</v>
      </c>
      <c r="AR11" s="35" t="n">
        <v>0</v>
      </c>
      <c r="AS11" s="32" t="n">
        <v>80000</v>
      </c>
      <c r="AT11" s="23" t="inlineStr">
        <is>
          <t>C - Có thể thương lượng</t>
        </is>
      </c>
      <c r="AU11" s="23" t="inlineStr">
        <is>
          <t>CR-NỘIT-01</t>
        </is>
      </c>
      <c r="AV11" s="23" t="inlineStr">
        <is>
          <t>Excel khách hàng</t>
        </is>
      </c>
      <c r="AW11" s="23" t="inlineStr">
        <is>
          <t>S3-C10</t>
        </is>
      </c>
      <c r="AX11" s="23" t="inlineStr">
        <is>
          <t>Split/Chuyển tải</t>
        </is>
      </c>
      <c r="AY11" s="23" t="inlineStr">
        <is>
          <t>Split Order/Chuyển tải hoặc xin xe nhỏ nhiều chuyến</t>
        </is>
      </c>
      <c r="AZ11" s="23" t="inlineStr">
        <is>
          <t>Review</t>
        </is>
      </c>
      <c r="BA11" s="23" t="inlineStr">
        <is>
          <t>Vehicle Mismatch</t>
        </is>
      </c>
      <c r="BB11" s="23">
        <f>AM11+AN11</f>
        <v/>
      </c>
      <c r="BC11" s="23">
        <f>ROUND(W11/'03_Cost_Constraints'!$B$4*60,0)</f>
        <v/>
      </c>
      <c r="BD11" s="23">
        <f>IF(X11&lt;=500,"5 tạ",IF(X11&lt;=1250,"1.25T",IF(X11&lt;=5000,"5T",IF(X11&lt;=8000,"8T",IF(X11&lt;=15000,"3 chân","4 chân")))))</f>
        <v/>
      </c>
      <c r="BE11" s="23">
        <f>IF((BB11+BC11)&lt;=AO11,"OK","Risk")</f>
        <v/>
      </c>
      <c r="BF11" s="23">
        <f>IF(AND(AZ11="OK",BE11="OK"),"Ready","Review")</f>
        <v/>
      </c>
      <c r="BG11" s="23" t="n"/>
    </row>
    <row r="12" ht="18" customHeight="1" s="17">
      <c r="A12" s="21" t="inlineStr">
        <is>
          <t>S3</t>
        </is>
      </c>
      <c r="B12" s="21" t="inlineStr">
        <is>
          <t>2026-06-05</t>
        </is>
      </c>
      <c r="C12" s="21" t="inlineStr">
        <is>
          <t>S3-ORD-011</t>
        </is>
      </c>
      <c r="D12" s="21" t="inlineStr">
        <is>
          <t>VinCommerce</t>
        </is>
      </c>
      <c r="E12" s="21" t="inlineStr">
        <is>
          <t>VINMART Phạm Ngọc Thạch</t>
        </is>
      </c>
      <c r="F12" s="21" t="inlineStr">
        <is>
          <t>ST</t>
        </is>
      </c>
      <c r="G12" s="21" t="inlineStr">
        <is>
          <t>LVCA</t>
        </is>
      </c>
      <c r="H12" s="21" t="inlineStr">
        <is>
          <t>Bia lon Lạc Việt</t>
        </is>
      </c>
      <c r="I12" s="21" t="inlineStr">
        <is>
          <t>PK_LINFOX_VSIP</t>
        </is>
      </c>
      <c r="J12" s="21" t="inlineStr">
        <is>
          <t>Kho Linfox KCN VSIP Bắc Ninh</t>
        </is>
      </c>
      <c r="K12" s="21" t="inlineStr">
        <is>
          <t>Bắc Ninh</t>
        </is>
      </c>
      <c r="L12" s="21" t="inlineStr">
        <is>
          <t>Từ Sơn</t>
        </is>
      </c>
      <c r="M12" s="22" t="n">
        <v>21.082707</v>
      </c>
      <c r="N12" s="22" t="n">
        <v>105.997949</v>
      </c>
      <c r="O12" s="21" t="inlineStr">
        <is>
          <t>DL_HN_PNT</t>
        </is>
      </c>
      <c r="P12" s="21" t="inlineStr">
        <is>
          <t>VINMART Phạm Ngọc Thạch</t>
        </is>
      </c>
      <c r="Q12" s="21" t="inlineStr">
        <is>
          <t>Hà Nội</t>
        </is>
      </c>
      <c r="R12" s="21" t="inlineStr">
        <is>
          <t>Đống Đa</t>
        </is>
      </c>
      <c r="S12" s="22" t="n">
        <v>21.006268</v>
      </c>
      <c r="T12" s="22" t="n">
        <v>105.831931</v>
      </c>
      <c r="U12" s="21" t="inlineStr">
        <is>
          <t>Nội thành Hà Nội</t>
        </is>
      </c>
      <c r="V12" s="21" t="inlineStr">
        <is>
          <t>Nội thành Hà Nội</t>
        </is>
      </c>
      <c r="W12" s="29" t="n">
        <v>34.7</v>
      </c>
      <c r="X12" s="28" t="n">
        <v>1606</v>
      </c>
      <c r="Y12" s="29" t="n">
        <v>4.1</v>
      </c>
      <c r="Z12" s="28" t="n">
        <v>3</v>
      </c>
      <c r="AA12" s="21" t="inlineStr">
        <is>
          <t>5T</t>
        </is>
      </c>
      <c r="AB12" s="21" t="inlineStr">
        <is>
          <t>1.25T</t>
        </is>
      </c>
      <c r="AC12" s="21" t="inlineStr">
        <is>
          <t>No</t>
        </is>
      </c>
      <c r="AD12" s="21" t="inlineStr">
        <is>
          <t>Yes</t>
        </is>
      </c>
      <c r="AE12" s="21" t="inlineStr">
        <is>
          <t>No</t>
        </is>
      </c>
      <c r="AF12" s="21" t="inlineStr">
        <is>
          <t>Yes</t>
        </is>
      </c>
      <c r="AG12" s="21" t="inlineStr">
        <is>
          <t>Đường đông, cần giao đúng slot</t>
        </is>
      </c>
      <c r="AH12" s="21" t="inlineStr">
        <is>
          <t>08:30</t>
        </is>
      </c>
      <c r="AI12" s="21" t="inlineStr">
        <is>
          <t>10:00</t>
        </is>
      </c>
      <c r="AJ12" s="21" t="inlineStr">
        <is>
          <t>11:29</t>
        </is>
      </c>
      <c r="AK12" s="21" t="inlineStr">
        <is>
          <t>14:29</t>
        </is>
      </c>
      <c r="AL12" s="22" t="n">
        <v>45</v>
      </c>
      <c r="AM12" s="22" t="n">
        <v>40</v>
      </c>
      <c r="AN12" s="22" t="n">
        <v>35</v>
      </c>
      <c r="AO12" s="22" t="n">
        <v>359</v>
      </c>
      <c r="AP12" s="31" t="n">
        <v>860000</v>
      </c>
      <c r="AQ12" s="31" t="n">
        <v>0</v>
      </c>
      <c r="AR12" s="31" t="n">
        <v>0</v>
      </c>
      <c r="AS12" s="28" t="n">
        <v>80000</v>
      </c>
      <c r="AT12" s="21" t="inlineStr">
        <is>
          <t>B - Thường</t>
        </is>
      </c>
      <c r="AU12" s="21" t="inlineStr">
        <is>
          <t>CR-NỘIT-02</t>
        </is>
      </c>
      <c r="AV12" s="21" t="inlineStr">
        <is>
          <t>Hệ thống khách hàng</t>
        </is>
      </c>
      <c r="AW12" s="21" t="inlineStr">
        <is>
          <t>S3-C11</t>
        </is>
      </c>
      <c r="AX12" s="21" t="inlineStr">
        <is>
          <t>Split/Chuyển tải</t>
        </is>
      </c>
      <c r="AY12" s="21" t="inlineStr">
        <is>
          <t>Split Order/Chuyển tải hoặc xin xe nhỏ nhiều chuyến</t>
        </is>
      </c>
      <c r="AZ12" s="21" t="inlineStr">
        <is>
          <t>Review</t>
        </is>
      </c>
      <c r="BA12" s="21" t="inlineStr">
        <is>
          <t>Vehicle Mismatch</t>
        </is>
      </c>
      <c r="BB12" s="21">
        <f>AM12+AN12</f>
        <v/>
      </c>
      <c r="BC12" s="21">
        <f>ROUND(W12/'03_Cost_Constraints'!$B$4*60,0)</f>
        <v/>
      </c>
      <c r="BD12" s="21">
        <f>IF(X12&lt;=500,"5 tạ",IF(X12&lt;=1250,"1.25T",IF(X12&lt;=5000,"5T",IF(X12&lt;=8000,"8T",IF(X12&lt;=15000,"3 chân","4 chân")))))</f>
        <v/>
      </c>
      <c r="BE12" s="21">
        <f>IF((BB12+BC12)&lt;=AO12,"OK","Risk")</f>
        <v/>
      </c>
      <c r="BF12" s="21">
        <f>IF(AND(AZ12="OK",BE12="OK"),"Ready","Review")</f>
        <v/>
      </c>
      <c r="BG12" s="21" t="n"/>
    </row>
    <row r="13" ht="18" customHeight="1" s="17">
      <c r="A13" s="23" t="inlineStr">
        <is>
          <t>S3</t>
        </is>
      </c>
      <c r="B13" s="23" t="inlineStr">
        <is>
          <t>2026-06-05</t>
        </is>
      </c>
      <c r="C13" s="23" t="inlineStr">
        <is>
          <t>S3-ORD-012</t>
        </is>
      </c>
      <c r="D13" s="23" t="inlineStr">
        <is>
          <t>Bách Hóa Xanh</t>
        </is>
      </c>
      <c r="E13" s="23" t="inlineStr">
        <is>
          <t>Siêu thị Hải Dương</t>
        </is>
      </c>
      <c r="F13" s="23" t="inlineStr">
        <is>
          <t>ST</t>
        </is>
      </c>
      <c r="G13" s="23" t="inlineStr">
        <is>
          <t>EXPL</t>
        </is>
      </c>
      <c r="H13" s="23" t="inlineStr">
        <is>
          <t>Bia lon Saigon Export</t>
        </is>
      </c>
      <c r="I13" s="23" t="inlineStr">
        <is>
          <t>PK_HPL_LB</t>
        </is>
      </c>
      <c r="J13" s="23" t="inlineStr">
        <is>
          <t>HPL Depot Long Biên - 20 Thạch Bàn</t>
        </is>
      </c>
      <c r="K13" s="23" t="inlineStr">
        <is>
          <t>Hà Nội</t>
        </is>
      </c>
      <c r="L13" s="23" t="inlineStr">
        <is>
          <t>Long Biên</t>
        </is>
      </c>
      <c r="M13" s="24" t="n">
        <v>21.0261548385</v>
      </c>
      <c r="N13" s="24" t="n">
        <v>105.914182238</v>
      </c>
      <c r="O13" s="23" t="inlineStr">
        <is>
          <t>DL_HD_SIEUTHI</t>
        </is>
      </c>
      <c r="P13" s="23" t="inlineStr">
        <is>
          <t>Siêu thị Hải Dương</t>
        </is>
      </c>
      <c r="Q13" s="23" t="inlineStr">
        <is>
          <t>Hải Phòng</t>
        </is>
      </c>
      <c r="R13" s="23" t="inlineStr">
        <is>
          <t>Hải Dương</t>
        </is>
      </c>
      <c r="S13" s="24" t="n">
        <v>20.937341</v>
      </c>
      <c r="T13" s="24" t="n">
        <v>106.314555</v>
      </c>
      <c r="U13" s="23" t="inlineStr">
        <is>
          <t>Đông Bắc</t>
        </is>
      </c>
      <c r="V13" s="23" t="inlineStr">
        <is>
          <t>Đông Bắc</t>
        </is>
      </c>
      <c r="W13" s="33" t="n">
        <v>62.1</v>
      </c>
      <c r="X13" s="32" t="n">
        <v>4877</v>
      </c>
      <c r="Y13" s="33" t="n">
        <v>9.960000000000001</v>
      </c>
      <c r="Z13" s="32" t="n">
        <v>8</v>
      </c>
      <c r="AA13" s="23" t="inlineStr">
        <is>
          <t>5T</t>
        </is>
      </c>
      <c r="AB13" s="23" t="inlineStr">
        <is>
          <t>8T</t>
        </is>
      </c>
      <c r="AC13" s="23" t="inlineStr">
        <is>
          <t>No</t>
        </is>
      </c>
      <c r="AD13" s="23" t="inlineStr">
        <is>
          <t>Yes</t>
        </is>
      </c>
      <c r="AE13" s="23" t="inlineStr">
        <is>
          <t>No</t>
        </is>
      </c>
      <c r="AF13" s="23" t="inlineStr">
        <is>
          <t>No</t>
        </is>
      </c>
      <c r="AG13" s="23" t="inlineStr">
        <is>
          <t>Quốc lộ 5, xe 8T vào được</t>
        </is>
      </c>
      <c r="AH13" s="23" t="inlineStr">
        <is>
          <t>09:00</t>
        </is>
      </c>
      <c r="AI13" s="23" t="inlineStr">
        <is>
          <t>11:30</t>
        </is>
      </c>
      <c r="AJ13" s="23" t="inlineStr">
        <is>
          <t>11:52</t>
        </is>
      </c>
      <c r="AK13" s="23" t="inlineStr">
        <is>
          <t>13:52</t>
        </is>
      </c>
      <c r="AL13" s="24" t="n">
        <v>45</v>
      </c>
      <c r="AM13" s="24" t="n">
        <v>40</v>
      </c>
      <c r="AN13" s="24" t="n">
        <v>35</v>
      </c>
      <c r="AO13" s="24" t="n">
        <v>292</v>
      </c>
      <c r="AP13" s="35" t="n">
        <v>2170000</v>
      </c>
      <c r="AQ13" s="35" t="n">
        <v>0</v>
      </c>
      <c r="AR13" s="35" t="n">
        <v>0</v>
      </c>
      <c r="AS13" s="32" t="n">
        <v>80000</v>
      </c>
      <c r="AT13" s="23" t="inlineStr">
        <is>
          <t>C - Có thể thương lượng</t>
        </is>
      </c>
      <c r="AU13" s="23" t="inlineStr">
        <is>
          <t>CR-ĐÔNG-03</t>
        </is>
      </c>
      <c r="AV13" s="23" t="inlineStr">
        <is>
          <t>Zalo/Email plan 17:00</t>
        </is>
      </c>
      <c r="AW13" s="23" t="inlineStr">
        <is>
          <t>S3-C11</t>
        </is>
      </c>
      <c r="AX13" s="23" t="inlineStr">
        <is>
          <t>5T</t>
        </is>
      </c>
      <c r="AY13" s="23" t="inlineStr">
        <is>
          <t>Send to Clustering</t>
        </is>
      </c>
      <c r="AZ13" s="23" t="inlineStr">
        <is>
          <t>OK</t>
        </is>
      </c>
      <c r="BA13" s="23" t="inlineStr">
        <is>
          <t>OK</t>
        </is>
      </c>
      <c r="BB13" s="23">
        <f>AM13+AN13</f>
        <v/>
      </c>
      <c r="BC13" s="23">
        <f>ROUND(W13/'03_Cost_Constraints'!$B$4*60,0)</f>
        <v/>
      </c>
      <c r="BD13" s="23">
        <f>IF(X13&lt;=500,"5 tạ",IF(X13&lt;=1250,"1.25T",IF(X13&lt;=5000,"5T",IF(X13&lt;=8000,"8T",IF(X13&lt;=15000,"3 chân","4 chân")))))</f>
        <v/>
      </c>
      <c r="BE13" s="23">
        <f>IF((BB13+BC13)&lt;=AO13,"OK","Risk")</f>
        <v/>
      </c>
      <c r="BF13" s="23">
        <f>IF(AND(AZ13="OK",BE13="OK"),"Ready","Review")</f>
        <v/>
      </c>
      <c r="BG13" s="23" t="inlineStr">
        <is>
          <t>Kế hoạch ngày hôm sau; cần chốt trước 19:00 và gửi tài xế sau duyệt</t>
        </is>
      </c>
    </row>
    <row r="14" ht="18" customHeight="1" s="17">
      <c r="A14" s="21" t="inlineStr">
        <is>
          <t>S3</t>
        </is>
      </c>
      <c r="B14" s="21" t="inlineStr">
        <is>
          <t>2026-06-05</t>
        </is>
      </c>
      <c r="C14" s="21" t="inlineStr">
        <is>
          <t>S3-ORD-013</t>
        </is>
      </c>
      <c r="D14" s="21" t="inlineStr">
        <is>
          <t>Masan</t>
        </is>
      </c>
      <c r="E14" s="21" t="inlineStr">
        <is>
          <t>BHX Thanh Hóa - Kho DC Quảng Xương</t>
        </is>
      </c>
      <c r="F14" s="21" t="inlineStr">
        <is>
          <t>DC</t>
        </is>
      </c>
      <c r="G14" s="21" t="inlineStr">
        <is>
          <t>MILK</t>
        </is>
      </c>
      <c r="H14" s="21" t="inlineStr">
        <is>
          <t>Sữa hộp carton</t>
        </is>
      </c>
      <c r="I14" s="21" t="inlineStr">
        <is>
          <t>PK_TH_QX</t>
        </is>
      </c>
      <c r="J14" s="21" t="inlineStr">
        <is>
          <t>Kho DC Thanh Hóa - Quảng Xương</t>
        </is>
      </c>
      <c r="K14" s="21" t="inlineStr">
        <is>
          <t>Thanh Hóa</t>
        </is>
      </c>
      <c r="L14" s="21" t="inlineStr">
        <is>
          <t>Quảng Xương</t>
        </is>
      </c>
      <c r="M14" s="22" t="n">
        <v>19.731</v>
      </c>
      <c r="N14" s="22" t="n">
        <v>105.815</v>
      </c>
      <c r="O14" s="21" t="inlineStr">
        <is>
          <t>DL_TH_BHX_QX</t>
        </is>
      </c>
      <c r="P14" s="21" t="inlineStr">
        <is>
          <t>BHX Thanh Hóa - Kho DC Quảng Xương</t>
        </is>
      </c>
      <c r="Q14" s="21" t="inlineStr">
        <is>
          <t>Thanh Hóa</t>
        </is>
      </c>
      <c r="R14" s="21" t="inlineStr">
        <is>
          <t>Quảng Xương</t>
        </is>
      </c>
      <c r="S14" s="22" t="n">
        <v>19.731</v>
      </c>
      <c r="T14" s="22" t="n">
        <v>105.815</v>
      </c>
      <c r="U14" s="21" t="inlineStr">
        <is>
          <t>Bắc Trung Bộ</t>
        </is>
      </c>
      <c r="V14" s="21" t="inlineStr">
        <is>
          <t>Bắc Trung Bộ</t>
        </is>
      </c>
      <c r="W14" s="29" t="n">
        <v>3.5</v>
      </c>
      <c r="X14" s="28" t="n">
        <v>9506</v>
      </c>
      <c r="Y14" s="29" t="n">
        <v>30.41</v>
      </c>
      <c r="Z14" s="28" t="n">
        <v>25</v>
      </c>
      <c r="AA14" s="21" t="inlineStr">
        <is>
          <t>3 chân</t>
        </is>
      </c>
      <c r="AB14" s="21" t="inlineStr">
        <is>
          <t>3 chân</t>
        </is>
      </c>
      <c r="AC14" s="21" t="inlineStr">
        <is>
          <t>No</t>
        </is>
      </c>
      <c r="AD14" s="21" t="inlineStr">
        <is>
          <t>No</t>
        </is>
      </c>
      <c r="AE14" s="21" t="inlineStr">
        <is>
          <t>Yes</t>
        </is>
      </c>
      <c r="AF14" s="21" t="inlineStr">
        <is>
          <t>No</t>
        </is>
      </c>
      <c r="AG14" s="21" t="inlineStr">
        <is>
          <t>DC có thể nhận xe 8T/3 chân</t>
        </is>
      </c>
      <c r="AH14" s="21" t="inlineStr">
        <is>
          <t>09:00</t>
        </is>
      </c>
      <c r="AI14" s="21" t="inlineStr">
        <is>
          <t>11:00</t>
        </is>
      </c>
      <c r="AJ14" s="21" t="inlineStr">
        <is>
          <t>12:24</t>
        </is>
      </c>
      <c r="AK14" s="21" t="inlineStr">
        <is>
          <t>14:54</t>
        </is>
      </c>
      <c r="AL14" s="22" t="n">
        <v>30</v>
      </c>
      <c r="AM14" s="22" t="n">
        <v>120</v>
      </c>
      <c r="AN14" s="22" t="n">
        <v>90</v>
      </c>
      <c r="AO14" s="22" t="n">
        <v>354</v>
      </c>
      <c r="AP14" s="31" t="n">
        <v>620000</v>
      </c>
      <c r="AQ14" s="31" t="n">
        <v>0</v>
      </c>
      <c r="AR14" s="31" t="n">
        <v>0</v>
      </c>
      <c r="AS14" s="28" t="n">
        <v>150000</v>
      </c>
      <c r="AT14" s="21" t="inlineStr">
        <is>
          <t>A - SLA chặt</t>
        </is>
      </c>
      <c r="AU14" s="21" t="inlineStr">
        <is>
          <t>CR-BẮCT-04</t>
        </is>
      </c>
      <c r="AV14" s="21" t="inlineStr">
        <is>
          <t>Manual nhập điều phối</t>
        </is>
      </c>
      <c r="AW14" s="21" t="inlineStr">
        <is>
          <t>S3-C13</t>
        </is>
      </c>
      <c r="AX14" s="21" t="inlineStr">
        <is>
          <t>3 chân</t>
        </is>
      </c>
      <c r="AY14" s="21" t="inlineStr">
        <is>
          <t>Send to Clustering</t>
        </is>
      </c>
      <c r="AZ14" s="21" t="inlineStr">
        <is>
          <t>OK</t>
        </is>
      </c>
      <c r="BA14" s="21" t="inlineStr">
        <is>
          <t>OK</t>
        </is>
      </c>
      <c r="BB14" s="21">
        <f>AM14+AN14</f>
        <v/>
      </c>
      <c r="BC14" s="21">
        <f>ROUND(W14/'03_Cost_Constraints'!$B$4*60,0)</f>
        <v/>
      </c>
      <c r="BD14" s="21">
        <f>IF(X14&lt;=500,"5 tạ",IF(X14&lt;=1250,"1.25T",IF(X14&lt;=5000,"5T",IF(X14&lt;=8000,"8T",IF(X14&lt;=15000,"3 chân","4 chân")))))</f>
        <v/>
      </c>
      <c r="BE14" s="21">
        <f>IF((BB14+BC14)&lt;=AO14,"OK","Risk")</f>
        <v/>
      </c>
      <c r="BF14" s="21">
        <f>IF(AND(AZ14="OK",BE14="OK"),"Ready","Review")</f>
        <v/>
      </c>
      <c r="BG14" s="21" t="n"/>
    </row>
    <row r="15" ht="18" customHeight="1" s="17">
      <c r="A15" s="23" t="inlineStr">
        <is>
          <t>S3</t>
        </is>
      </c>
      <c r="B15" s="23" t="inlineStr">
        <is>
          <t>2026-06-05</t>
        </is>
      </c>
      <c r="C15" s="23" t="inlineStr">
        <is>
          <t>S3-ORD-014</t>
        </is>
      </c>
      <c r="D15" s="23" t="inlineStr">
        <is>
          <t>Unilever</t>
        </is>
      </c>
      <c r="E15" s="23" t="inlineStr">
        <is>
          <t>VINMART Uông Bí</t>
        </is>
      </c>
      <c r="F15" s="23" t="inlineStr">
        <is>
          <t>ST</t>
        </is>
      </c>
      <c r="G15" s="23" t="inlineStr">
        <is>
          <t>CHCA</t>
        </is>
      </c>
      <c r="H15" s="23" t="inlineStr">
        <is>
          <t>Bia lon Saigon Chill</t>
        </is>
      </c>
      <c r="I15" s="23" t="inlineStr">
        <is>
          <t>PK_HPL_LB</t>
        </is>
      </c>
      <c r="J15" s="23" t="inlineStr">
        <is>
          <t>HPL Depot Long Biên - 20 Thạch Bàn</t>
        </is>
      </c>
      <c r="K15" s="23" t="inlineStr">
        <is>
          <t>Hà Nội</t>
        </is>
      </c>
      <c r="L15" s="23" t="inlineStr">
        <is>
          <t>Long Biên</t>
        </is>
      </c>
      <c r="M15" s="24" t="n">
        <v>21.0261548385</v>
      </c>
      <c r="N15" s="24" t="n">
        <v>105.914182238</v>
      </c>
      <c r="O15" s="23" t="inlineStr">
        <is>
          <t>DL_QN_UONGBI</t>
        </is>
      </c>
      <c r="P15" s="23" t="inlineStr">
        <is>
          <t>VINMART Uông Bí</t>
        </is>
      </c>
      <c r="Q15" s="23" t="inlineStr">
        <is>
          <t>Quảng Ninh</t>
        </is>
      </c>
      <c r="R15" s="23" t="inlineStr">
        <is>
          <t>Uông Bí</t>
        </is>
      </c>
      <c r="S15" s="24" t="n">
        <v>21.031495</v>
      </c>
      <c r="T15" s="24" t="n">
        <v>106.76688</v>
      </c>
      <c r="U15" s="23" t="inlineStr">
        <is>
          <t>Đông Bắc</t>
        </is>
      </c>
      <c r="V15" s="23" t="inlineStr">
        <is>
          <t>Đông Bắc</t>
        </is>
      </c>
      <c r="W15" s="33" t="n">
        <v>115.1</v>
      </c>
      <c r="X15" s="32" t="n">
        <v>1261</v>
      </c>
      <c r="Y15" s="33" t="n">
        <v>3.55</v>
      </c>
      <c r="Z15" s="32" t="n">
        <v>2</v>
      </c>
      <c r="AA15" s="23" t="inlineStr">
        <is>
          <t>5T</t>
        </is>
      </c>
      <c r="AB15" s="23" t="inlineStr">
        <is>
          <t>8T</t>
        </is>
      </c>
      <c r="AC15" s="23" t="inlineStr">
        <is>
          <t>No</t>
        </is>
      </c>
      <c r="AD15" s="23" t="inlineStr">
        <is>
          <t>Yes</t>
        </is>
      </c>
      <c r="AE15" s="23" t="inlineStr">
        <is>
          <t>No</t>
        </is>
      </c>
      <c r="AF15" s="23" t="inlineStr">
        <is>
          <t>No</t>
        </is>
      </c>
      <c r="AG15" s="23" t="inlineStr">
        <is>
          <t>Đường tỉnh, xe 5T/8T vào được</t>
        </is>
      </c>
      <c r="AH15" s="23" t="inlineStr">
        <is>
          <t>09:00</t>
        </is>
      </c>
      <c r="AI15" s="23" t="inlineStr">
        <is>
          <t>11:30</t>
        </is>
      </c>
      <c r="AJ15" s="23" t="inlineStr">
        <is>
          <t>12:33</t>
        </is>
      </c>
      <c r="AK15" s="23" t="inlineStr">
        <is>
          <t>14:33</t>
        </is>
      </c>
      <c r="AL15" s="24" t="n">
        <v>45</v>
      </c>
      <c r="AM15" s="24" t="n">
        <v>40</v>
      </c>
      <c r="AN15" s="24" t="n">
        <v>35</v>
      </c>
      <c r="AO15" s="24" t="n">
        <v>333</v>
      </c>
      <c r="AP15" s="35" t="n">
        <v>1200000</v>
      </c>
      <c r="AQ15" s="35" t="n">
        <v>0</v>
      </c>
      <c r="AR15" s="35" t="n">
        <v>0</v>
      </c>
      <c r="AS15" s="32" t="n">
        <v>80000</v>
      </c>
      <c r="AT15" s="23" t="inlineStr">
        <is>
          <t>C - Có thể thương lượng</t>
        </is>
      </c>
      <c r="AU15" s="23" t="inlineStr">
        <is>
          <t>CR-ĐÔNG-05</t>
        </is>
      </c>
      <c r="AV15" s="23" t="inlineStr">
        <is>
          <t>Excel khách hàng</t>
        </is>
      </c>
      <c r="AW15" s="23" t="inlineStr">
        <is>
          <t>S3-C14</t>
        </is>
      </c>
      <c r="AX15" s="23" t="inlineStr">
        <is>
          <t>5T</t>
        </is>
      </c>
      <c r="AY15" s="23" t="inlineStr">
        <is>
          <t>Send to Clustering</t>
        </is>
      </c>
      <c r="AZ15" s="23" t="inlineStr">
        <is>
          <t>OK</t>
        </is>
      </c>
      <c r="BA15" s="23" t="inlineStr">
        <is>
          <t>Empty-run &gt;100km cần tìm chuyến về</t>
        </is>
      </c>
      <c r="BB15" s="23">
        <f>AM15+AN15</f>
        <v/>
      </c>
      <c r="BC15" s="23">
        <f>ROUND(W15/'03_Cost_Constraints'!$B$4*60,0)</f>
        <v/>
      </c>
      <c r="BD15" s="23">
        <f>IF(X15&lt;=500,"5 tạ",IF(X15&lt;=1250,"1.25T",IF(X15&lt;=5000,"5T",IF(X15&lt;=8000,"8T",IF(X15&lt;=15000,"3 chân","4 chân")))))</f>
        <v/>
      </c>
      <c r="BE15" s="23">
        <f>IF((BB15+BC15)&lt;=AO15,"OK","Risk")</f>
        <v/>
      </c>
      <c r="BF15" s="23">
        <f>IF(AND(AZ15="OK",BE15="OK"),"Ready","Review")</f>
        <v/>
      </c>
      <c r="BG15" s="23" t="n"/>
    </row>
    <row r="16" ht="18" customHeight="1" s="17">
      <c r="A16" s="21" t="inlineStr">
        <is>
          <t>S3</t>
        </is>
      </c>
      <c r="B16" s="21" t="inlineStr">
        <is>
          <t>2026-06-05</t>
        </is>
      </c>
      <c r="C16" s="21" t="inlineStr">
        <is>
          <t>S3-ORD-015</t>
        </is>
      </c>
      <c r="D16" s="21" t="inlineStr">
        <is>
          <t>Unilever</t>
        </is>
      </c>
      <c r="E16" s="21" t="inlineStr">
        <is>
          <t>VINMART Trung Hòa</t>
        </is>
      </c>
      <c r="F16" s="21" t="inlineStr">
        <is>
          <t>ST</t>
        </is>
      </c>
      <c r="G16" s="21" t="inlineStr">
        <is>
          <t>MILK</t>
        </is>
      </c>
      <c r="H16" s="21" t="inlineStr">
        <is>
          <t>Sữa hộp carton</t>
        </is>
      </c>
      <c r="I16" s="21" t="inlineStr">
        <is>
          <t>PK_HY_MYHAO</t>
        </is>
      </c>
      <c r="J16" s="21" t="inlineStr">
        <is>
          <t>Kho/Nhà máy khách hàng Mỹ Hào</t>
        </is>
      </c>
      <c r="K16" s="21" t="inlineStr">
        <is>
          <t>Hưng Yên</t>
        </is>
      </c>
      <c r="L16" s="21" t="inlineStr">
        <is>
          <t>Mỹ Hào</t>
        </is>
      </c>
      <c r="M16" s="22" t="n">
        <v>20.9329</v>
      </c>
      <c r="N16" s="22" t="n">
        <v>106.065</v>
      </c>
      <c r="O16" s="21" t="inlineStr">
        <is>
          <t>DL_HN_TRUNGHOA</t>
        </is>
      </c>
      <c r="P16" s="21" t="inlineStr">
        <is>
          <t>VINMART Trung Hòa</t>
        </is>
      </c>
      <c r="Q16" s="21" t="inlineStr">
        <is>
          <t>Hà Nội</t>
        </is>
      </c>
      <c r="R16" s="21" t="inlineStr">
        <is>
          <t>Cầu Giấy</t>
        </is>
      </c>
      <c r="S16" s="22" t="n">
        <v>21.007288</v>
      </c>
      <c r="T16" s="22" t="n">
        <v>105.80157</v>
      </c>
      <c r="U16" s="21" t="inlineStr">
        <is>
          <t>Nội thành Hà Nội</t>
        </is>
      </c>
      <c r="V16" s="21" t="inlineStr">
        <is>
          <t>Nội thành Hà Nội</t>
        </is>
      </c>
      <c r="W16" s="29" t="n">
        <v>43.2</v>
      </c>
      <c r="X16" s="28" t="n">
        <v>958</v>
      </c>
      <c r="Y16" s="29" t="n">
        <v>2.2</v>
      </c>
      <c r="Z16" s="28" t="n">
        <v>1</v>
      </c>
      <c r="AA16" s="21" t="inlineStr">
        <is>
          <t>1.25T</t>
        </is>
      </c>
      <c r="AB16" s="21" t="inlineStr">
        <is>
          <t>1.25T</t>
        </is>
      </c>
      <c r="AC16" s="21" t="inlineStr">
        <is>
          <t>No</t>
        </is>
      </c>
      <c r="AD16" s="21" t="inlineStr">
        <is>
          <t>Yes</t>
        </is>
      </c>
      <c r="AE16" s="21" t="inlineStr">
        <is>
          <t>No</t>
        </is>
      </c>
      <c r="AF16" s="21" t="inlineStr">
        <is>
          <t>Yes</t>
        </is>
      </c>
      <c r="AG16" s="21" t="inlineStr">
        <is>
          <t>Khung giờ giao sát, bãi giao hẹp</t>
        </is>
      </c>
      <c r="AH16" s="21" t="inlineStr">
        <is>
          <t>08:00</t>
        </is>
      </c>
      <c r="AI16" s="21" t="inlineStr">
        <is>
          <t>10:30</t>
        </is>
      </c>
      <c r="AJ16" s="21" t="inlineStr">
        <is>
          <t>11:29</t>
        </is>
      </c>
      <c r="AK16" s="21" t="inlineStr">
        <is>
          <t>13:29</t>
        </is>
      </c>
      <c r="AL16" s="22" t="n">
        <v>45</v>
      </c>
      <c r="AM16" s="22" t="n">
        <v>25</v>
      </c>
      <c r="AN16" s="22" t="n">
        <v>20</v>
      </c>
      <c r="AO16" s="22" t="n">
        <v>329</v>
      </c>
      <c r="AP16" s="31" t="n">
        <v>790000</v>
      </c>
      <c r="AQ16" s="31" t="n">
        <v>150000</v>
      </c>
      <c r="AR16" s="31" t="n">
        <v>0</v>
      </c>
      <c r="AS16" s="28" t="n">
        <v>80000</v>
      </c>
      <c r="AT16" s="21" t="inlineStr">
        <is>
          <t>C - Có thể thương lượng</t>
        </is>
      </c>
      <c r="AU16" s="21" t="inlineStr">
        <is>
          <t>CR-NỘIT-01</t>
        </is>
      </c>
      <c r="AV16" s="21" t="inlineStr">
        <is>
          <t>Hệ thống khách hàng</t>
        </is>
      </c>
      <c r="AW16" s="21" t="inlineStr">
        <is>
          <t>S3-C15</t>
        </is>
      </c>
      <c r="AX16" s="21" t="inlineStr">
        <is>
          <t>1.25T</t>
        </is>
      </c>
      <c r="AY16" s="21" t="inlineStr">
        <is>
          <t>Send to Clustering</t>
        </is>
      </c>
      <c r="AZ16" s="21" t="inlineStr">
        <is>
          <t>OK</t>
        </is>
      </c>
      <c r="BA16" s="21" t="inlineStr">
        <is>
          <t>Cấm tải/đường nhỏ - đã chọn xe nhỏ</t>
        </is>
      </c>
      <c r="BB16" s="21">
        <f>AM16+AN16</f>
        <v/>
      </c>
      <c r="BC16" s="21">
        <f>ROUND(W16/'03_Cost_Constraints'!$B$4*60,0)</f>
        <v/>
      </c>
      <c r="BD16" s="21">
        <f>IF(X16&lt;=500,"5 tạ",IF(X16&lt;=1250,"1.25T",IF(X16&lt;=5000,"5T",IF(X16&lt;=8000,"8T",IF(X16&lt;=15000,"3 chân","4 chân")))))</f>
        <v/>
      </c>
      <c r="BE16" s="21">
        <f>IF((BB16+BC16)&lt;=AO16,"OK","Risk")</f>
        <v/>
      </c>
      <c r="BF16" s="21">
        <f>IF(AND(AZ16="OK",BE16="OK"),"Ready","Review")</f>
        <v/>
      </c>
      <c r="BG16" s="21" t="n"/>
    </row>
    <row r="17" ht="18" customHeight="1" s="17">
      <c r="A17" s="23" t="inlineStr">
        <is>
          <t>S3</t>
        </is>
      </c>
      <c r="B17" s="23" t="inlineStr">
        <is>
          <t>2026-06-05</t>
        </is>
      </c>
      <c r="C17" s="23" t="inlineStr">
        <is>
          <t>S3-ORD-016</t>
        </is>
      </c>
      <c r="D17" s="23" t="inlineStr">
        <is>
          <t>Acecook</t>
        </is>
      </c>
      <c r="E17" s="23" t="inlineStr">
        <is>
          <t>TOPS MARKET ParkCity</t>
        </is>
      </c>
      <c r="F17" s="23" t="inlineStr">
        <is>
          <t>MT</t>
        </is>
      </c>
      <c r="G17" s="23" t="inlineStr">
        <is>
          <t>FMCG</t>
        </is>
      </c>
      <c r="H17" s="23" t="inlineStr">
        <is>
          <t>Hàng tiêu dùng nhanh hỗn hợp</t>
        </is>
      </c>
      <c r="I17" s="23" t="inlineStr">
        <is>
          <t>PK_HPL_LB</t>
        </is>
      </c>
      <c r="J17" s="23" t="inlineStr">
        <is>
          <t>HPL Depot Long Biên - 20 Thạch Bàn</t>
        </is>
      </c>
      <c r="K17" s="23" t="inlineStr">
        <is>
          <t>Hà Nội</t>
        </is>
      </c>
      <c r="L17" s="23" t="inlineStr">
        <is>
          <t>Long Biên</t>
        </is>
      </c>
      <c r="M17" s="24" t="n">
        <v>21.0261548385</v>
      </c>
      <c r="N17" s="24" t="n">
        <v>105.914182238</v>
      </c>
      <c r="O17" s="23" t="inlineStr">
        <is>
          <t>DL_HN_PARKCITY</t>
        </is>
      </c>
      <c r="P17" s="23" t="inlineStr">
        <is>
          <t>TOPS MARKET ParkCity</t>
        </is>
      </c>
      <c r="Q17" s="23" t="inlineStr">
        <is>
          <t>Hà Nội</t>
        </is>
      </c>
      <c r="R17" s="23" t="inlineStr">
        <is>
          <t>Hà Đông</t>
        </is>
      </c>
      <c r="S17" s="24" t="n">
        <v>20.965724</v>
      </c>
      <c r="T17" s="24" t="n">
        <v>105.756143</v>
      </c>
      <c r="U17" s="23" t="inlineStr">
        <is>
          <t>Nội thành Hà Nội</t>
        </is>
      </c>
      <c r="V17" s="23" t="inlineStr">
        <is>
          <t>Nội thành Hà Nội</t>
        </is>
      </c>
      <c r="W17" s="33" t="n">
        <v>31.7</v>
      </c>
      <c r="X17" s="32" t="n">
        <v>1705</v>
      </c>
      <c r="Y17" s="33" t="n">
        <v>7.94</v>
      </c>
      <c r="Z17" s="32" t="n">
        <v>6</v>
      </c>
      <c r="AA17" s="23" t="inlineStr">
        <is>
          <t>5T</t>
        </is>
      </c>
      <c r="AB17" s="23" t="inlineStr">
        <is>
          <t>1.25T</t>
        </is>
      </c>
      <c r="AC17" s="23" t="inlineStr">
        <is>
          <t>No</t>
        </is>
      </c>
      <c r="AD17" s="23" t="inlineStr">
        <is>
          <t>Yes</t>
        </is>
      </c>
      <c r="AE17" s="23" t="inlineStr">
        <is>
          <t>No</t>
        </is>
      </c>
      <c r="AF17" s="23" t="inlineStr">
        <is>
          <t>Yes</t>
        </is>
      </c>
      <c r="AG17" s="23" t="inlineStr">
        <is>
          <t>Bãi giao giới hạn chiều cao</t>
        </is>
      </c>
      <c r="AH17" s="23" t="inlineStr">
        <is>
          <t>07:00</t>
        </is>
      </c>
      <c r="AI17" s="23" t="inlineStr">
        <is>
          <t>09:30</t>
        </is>
      </c>
      <c r="AJ17" s="23" t="inlineStr">
        <is>
          <t>09:24</t>
        </is>
      </c>
      <c r="AK17" s="23" t="inlineStr">
        <is>
          <t>11:24</t>
        </is>
      </c>
      <c r="AL17" s="24" t="n">
        <v>45</v>
      </c>
      <c r="AM17" s="24" t="n">
        <v>40</v>
      </c>
      <c r="AN17" s="24" t="n">
        <v>45</v>
      </c>
      <c r="AO17" s="24" t="n">
        <v>264</v>
      </c>
      <c r="AP17" s="35" t="n">
        <v>700000</v>
      </c>
      <c r="AQ17" s="35" t="n">
        <v>0</v>
      </c>
      <c r="AR17" s="35" t="n">
        <v>120000</v>
      </c>
      <c r="AS17" s="32" t="n">
        <v>80000</v>
      </c>
      <c r="AT17" s="23" t="inlineStr">
        <is>
          <t>B - Thường</t>
        </is>
      </c>
      <c r="AU17" s="23" t="inlineStr">
        <is>
          <t>CR-NỘIT-02</t>
        </is>
      </c>
      <c r="AV17" s="23" t="inlineStr">
        <is>
          <t>Zalo/Email plan 17:00</t>
        </is>
      </c>
      <c r="AW17" s="23" t="inlineStr">
        <is>
          <t>S3-C16</t>
        </is>
      </c>
      <c r="AX17" s="23" t="inlineStr">
        <is>
          <t>Split/Chuyển tải</t>
        </is>
      </c>
      <c r="AY17" s="23" t="inlineStr">
        <is>
          <t>Split Order/Chuyển tải hoặc xin xe nhỏ nhiều chuyến</t>
        </is>
      </c>
      <c r="AZ17" s="23" t="inlineStr">
        <is>
          <t>Review</t>
        </is>
      </c>
      <c r="BA17" s="23" t="inlineStr">
        <is>
          <t>Vehicle Mismatch</t>
        </is>
      </c>
      <c r="BB17" s="23">
        <f>AM17+AN17</f>
        <v/>
      </c>
      <c r="BC17" s="23">
        <f>ROUND(W17/'03_Cost_Constraints'!$B$4*60,0)</f>
        <v/>
      </c>
      <c r="BD17" s="23">
        <f>IF(X17&lt;=500,"5 tạ",IF(X17&lt;=1250,"1.25T",IF(X17&lt;=5000,"5T",IF(X17&lt;=8000,"8T",IF(X17&lt;=15000,"3 chân","4 chân")))))</f>
        <v/>
      </c>
      <c r="BE17" s="23">
        <f>IF((BB17+BC17)&lt;=AO17,"OK","Risk")</f>
        <v/>
      </c>
      <c r="BF17" s="23">
        <f>IF(AND(AZ17="OK",BE17="OK"),"Ready","Review")</f>
        <v/>
      </c>
      <c r="BG17" s="23" t="inlineStr">
        <is>
          <t>Kế hoạch ngày hôm sau; cần chốt trước 19:00 và gửi tài xế sau duyệt</t>
        </is>
      </c>
    </row>
    <row r="18" ht="18" customHeight="1" s="17">
      <c r="A18" s="21" t="inlineStr">
        <is>
          <t>S3</t>
        </is>
      </c>
      <c r="B18" s="21" t="inlineStr">
        <is>
          <t>2026-06-05</t>
        </is>
      </c>
      <c r="C18" s="21" t="inlineStr">
        <is>
          <t>S3-ORD-017</t>
        </is>
      </c>
      <c r="D18" s="21" t="inlineStr">
        <is>
          <t>MM Mega Market</t>
        </is>
      </c>
      <c r="E18" s="21" t="inlineStr">
        <is>
          <t>Siêu thị Thanh Hóa</t>
        </is>
      </c>
      <c r="F18" s="21" t="inlineStr">
        <is>
          <t>MT</t>
        </is>
      </c>
      <c r="G18" s="21" t="inlineStr">
        <is>
          <t>MILK</t>
        </is>
      </c>
      <c r="H18" s="21" t="inlineStr">
        <is>
          <t>Sữa hộp carton</t>
        </is>
      </c>
      <c r="I18" s="21" t="inlineStr">
        <is>
          <t>PK_NA_BACVINH</t>
        </is>
      </c>
      <c r="J18" s="21" t="inlineStr">
        <is>
          <t>Kho DC Vinh - KCN Bắc Vinh</t>
        </is>
      </c>
      <c r="K18" s="21" t="inlineStr">
        <is>
          <t>Nghệ An</t>
        </is>
      </c>
      <c r="L18" s="21" t="inlineStr">
        <is>
          <t>Vinh</t>
        </is>
      </c>
      <c r="M18" s="22" t="n">
        <v>18.733</v>
      </c>
      <c r="N18" s="22" t="n">
        <v>105.681</v>
      </c>
      <c r="O18" s="21" t="inlineStr">
        <is>
          <t>DL_TH_SIEUTHI</t>
        </is>
      </c>
      <c r="P18" s="21" t="inlineStr">
        <is>
          <t>Siêu thị Thanh Hóa</t>
        </is>
      </c>
      <c r="Q18" s="21" t="inlineStr">
        <is>
          <t>Thanh Hóa</t>
        </is>
      </c>
      <c r="R18" s="21" t="inlineStr">
        <is>
          <t>Hạc Thành</t>
        </is>
      </c>
      <c r="S18" s="22" t="n">
        <v>19.8076</v>
      </c>
      <c r="T18" s="22" t="n">
        <v>105.77639</v>
      </c>
      <c r="U18" s="21" t="inlineStr">
        <is>
          <t>Bắc Trung Bộ</t>
        </is>
      </c>
      <c r="V18" s="21" t="inlineStr">
        <is>
          <t>Bắc Trung Bộ</t>
        </is>
      </c>
      <c r="W18" s="29" t="n">
        <v>156.3</v>
      </c>
      <c r="X18" s="28" t="n">
        <v>7727</v>
      </c>
      <c r="Y18" s="29" t="n">
        <v>25.47</v>
      </c>
      <c r="Z18" s="28" t="n">
        <v>21</v>
      </c>
      <c r="AA18" s="21" t="inlineStr">
        <is>
          <t>8T</t>
        </is>
      </c>
      <c r="AB18" s="21" t="inlineStr">
        <is>
          <t>5T</t>
        </is>
      </c>
      <c r="AC18" s="21" t="inlineStr">
        <is>
          <t>No</t>
        </is>
      </c>
      <c r="AD18" s="21" t="inlineStr">
        <is>
          <t>No</t>
        </is>
      </c>
      <c r="AE18" s="21" t="inlineStr">
        <is>
          <t>Yes</t>
        </is>
      </c>
      <c r="AF18" s="21" t="inlineStr">
        <is>
          <t>No</t>
        </is>
      </c>
      <c r="AG18" s="21" t="inlineStr">
        <is>
          <t>Đường đô thị, xe 5T vào được</t>
        </is>
      </c>
      <c r="AH18" s="21" t="inlineStr">
        <is>
          <t>08:00</t>
        </is>
      </c>
      <c r="AI18" s="21" t="inlineStr">
        <is>
          <t>10:30</t>
        </is>
      </c>
      <c r="AJ18" s="21" t="inlineStr">
        <is>
          <t>12:07</t>
        </is>
      </c>
      <c r="AK18" s="21" t="inlineStr">
        <is>
          <t>15:07</t>
        </is>
      </c>
      <c r="AL18" s="22" t="n">
        <v>30</v>
      </c>
      <c r="AM18" s="22" t="n">
        <v>40</v>
      </c>
      <c r="AN18" s="22" t="n">
        <v>45</v>
      </c>
      <c r="AO18" s="22" t="n">
        <v>427</v>
      </c>
      <c r="AP18" s="31" t="n">
        <v>7840000</v>
      </c>
      <c r="AQ18" s="31" t="n">
        <v>0</v>
      </c>
      <c r="AR18" s="31" t="n">
        <v>120000</v>
      </c>
      <c r="AS18" s="28" t="n">
        <v>80000</v>
      </c>
      <c r="AT18" s="21" t="inlineStr">
        <is>
          <t>C - Có thể thương lượng</t>
        </is>
      </c>
      <c r="AU18" s="21" t="inlineStr">
        <is>
          <t>CR-BẮCT-03</t>
        </is>
      </c>
      <c r="AV18" s="21" t="inlineStr">
        <is>
          <t>Manual nhập điều phối</t>
        </is>
      </c>
      <c r="AW18" s="21" t="inlineStr">
        <is>
          <t>S3-C17</t>
        </is>
      </c>
      <c r="AX18" s="21" t="inlineStr">
        <is>
          <t>Split/Chuyển tải</t>
        </is>
      </c>
      <c r="AY18" s="21" t="inlineStr">
        <is>
          <t>Split Order/Chuyển tải hoặc xin xe nhỏ nhiều chuyến</t>
        </is>
      </c>
      <c r="AZ18" s="21" t="inlineStr">
        <is>
          <t>Review</t>
        </is>
      </c>
      <c r="BA18" s="21" t="inlineStr">
        <is>
          <t>Vehicle Mismatch</t>
        </is>
      </c>
      <c r="BB18" s="21">
        <f>AM18+AN18</f>
        <v/>
      </c>
      <c r="BC18" s="21">
        <f>ROUND(W18/'03_Cost_Constraints'!$B$4*60,0)</f>
        <v/>
      </c>
      <c r="BD18" s="21">
        <f>IF(X18&lt;=500,"5 tạ",IF(X18&lt;=1250,"1.25T",IF(X18&lt;=5000,"5T",IF(X18&lt;=8000,"8T",IF(X18&lt;=15000,"3 chân","4 chân")))))</f>
        <v/>
      </c>
      <c r="BE18" s="21">
        <f>IF((BB18+BC18)&lt;=AO18,"OK","Risk")</f>
        <v/>
      </c>
      <c r="BF18" s="21">
        <f>IF(AND(AZ18="OK",BE18="OK"),"Ready","Review")</f>
        <v/>
      </c>
      <c r="BG18" s="21" t="n"/>
    </row>
    <row r="19" ht="18" customHeight="1" s="17">
      <c r="A19" s="23" t="inlineStr">
        <is>
          <t>S3</t>
        </is>
      </c>
      <c r="B19" s="23" t="inlineStr">
        <is>
          <t>2026-06-05</t>
        </is>
      </c>
      <c r="C19" s="23" t="inlineStr">
        <is>
          <t>S3-ORD-018</t>
        </is>
      </c>
      <c r="D19" s="23" t="inlineStr">
        <is>
          <t>Acecook</t>
        </is>
      </c>
      <c r="E19" s="23" t="inlineStr">
        <is>
          <t>Minh Tuấn</t>
        </is>
      </c>
      <c r="F19" s="23" t="inlineStr">
        <is>
          <t>Đại lý</t>
        </is>
      </c>
      <c r="G19" s="23" t="inlineStr">
        <is>
          <t>POSM</t>
        </is>
      </c>
      <c r="H19" s="23" t="inlineStr">
        <is>
          <t>POSM trưng bày</t>
        </is>
      </c>
      <c r="I19" s="23" t="inlineStr">
        <is>
          <t>PK_LINFOX_VSIP</t>
        </is>
      </c>
      <c r="J19" s="23" t="inlineStr">
        <is>
          <t>Kho Linfox KCN VSIP Bắc Ninh</t>
        </is>
      </c>
      <c r="K19" s="23" t="inlineStr">
        <is>
          <t>Bắc Ninh</t>
        </is>
      </c>
      <c r="L19" s="23" t="inlineStr">
        <is>
          <t>Từ Sơn</t>
        </is>
      </c>
      <c r="M19" s="24" t="n">
        <v>21.082707</v>
      </c>
      <c r="N19" s="24" t="n">
        <v>105.997949</v>
      </c>
      <c r="O19" s="23" t="inlineStr">
        <is>
          <t>DL_HN_MINHTUAN</t>
        </is>
      </c>
      <c r="P19" s="23" t="inlineStr">
        <is>
          <t>Minh Tuấn</t>
        </is>
      </c>
      <c r="Q19" s="23" t="inlineStr">
        <is>
          <t>Hà Nội</t>
        </is>
      </c>
      <c r="R19" s="23" t="inlineStr">
        <is>
          <t>Hà Nội</t>
        </is>
      </c>
      <c r="S19" s="24" t="n">
        <v>20.954079</v>
      </c>
      <c r="T19" s="24" t="n">
        <v>105.837255</v>
      </c>
      <c r="U19" s="23" t="inlineStr">
        <is>
          <t>Nội thành Hà Nội</t>
        </is>
      </c>
      <c r="V19" s="23" t="inlineStr">
        <is>
          <t>Nội thành Hà Nội</t>
        </is>
      </c>
      <c r="W19" s="33" t="n">
        <v>39</v>
      </c>
      <c r="X19" s="32" t="n">
        <v>274</v>
      </c>
      <c r="Y19" s="33" t="n">
        <v>4.62</v>
      </c>
      <c r="Z19" s="32" t="n">
        <v>3</v>
      </c>
      <c r="AA19" s="23" t="inlineStr">
        <is>
          <t>1.25T</t>
        </is>
      </c>
      <c r="AB19" s="23" t="inlineStr">
        <is>
          <t>1.25T</t>
        </is>
      </c>
      <c r="AC19" s="23" t="inlineStr">
        <is>
          <t>No</t>
        </is>
      </c>
      <c r="AD19" s="23" t="inlineStr">
        <is>
          <t>Yes</t>
        </is>
      </c>
      <c r="AE19" s="23" t="inlineStr">
        <is>
          <t>No</t>
        </is>
      </c>
      <c r="AF19" s="23" t="inlineStr">
        <is>
          <t>Yes</t>
        </is>
      </c>
      <c r="AG19" s="23" t="inlineStr">
        <is>
          <t>Đường nhỏ, dây điện thấp</t>
        </is>
      </c>
      <c r="AH19" s="23" t="inlineStr">
        <is>
          <t>08:00</t>
        </is>
      </c>
      <c r="AI19" s="23" t="inlineStr">
        <is>
          <t>10:00</t>
        </is>
      </c>
      <c r="AJ19" s="23" t="inlineStr">
        <is>
          <t>11:21</t>
        </is>
      </c>
      <c r="AK19" s="23" t="inlineStr">
        <is>
          <t>13:51</t>
        </is>
      </c>
      <c r="AL19" s="24" t="n">
        <v>45</v>
      </c>
      <c r="AM19" s="24" t="n">
        <v>25</v>
      </c>
      <c r="AN19" s="24" t="n">
        <v>20</v>
      </c>
      <c r="AO19" s="24" t="n">
        <v>351</v>
      </c>
      <c r="AP19" s="35" t="n">
        <v>850000</v>
      </c>
      <c r="AQ19" s="35" t="n">
        <v>0</v>
      </c>
      <c r="AR19" s="35" t="n">
        <v>0</v>
      </c>
      <c r="AS19" s="32" t="n">
        <v>80000</v>
      </c>
      <c r="AT19" s="23" t="inlineStr">
        <is>
          <t>B - Thường</t>
        </is>
      </c>
      <c r="AU19" s="23" t="inlineStr">
        <is>
          <t>CR-NỘIT-04</t>
        </is>
      </c>
      <c r="AV19" s="23" t="inlineStr">
        <is>
          <t>Excel khách hàng</t>
        </is>
      </c>
      <c r="AW19" s="23" t="inlineStr">
        <is>
          <t>S3-C17</t>
        </is>
      </c>
      <c r="AX19" s="23" t="inlineStr">
        <is>
          <t>1.25T</t>
        </is>
      </c>
      <c r="AY19" s="23" t="inlineStr">
        <is>
          <t>Send to Clustering</t>
        </is>
      </c>
      <c r="AZ19" s="23" t="inlineStr">
        <is>
          <t>OK</t>
        </is>
      </c>
      <c r="BA19" s="23" t="inlineStr">
        <is>
          <t>Cấm tải/đường nhỏ - đã chọn xe nhỏ</t>
        </is>
      </c>
      <c r="BB19" s="23">
        <f>AM19+AN19</f>
        <v/>
      </c>
      <c r="BC19" s="23">
        <f>ROUND(W19/'03_Cost_Constraints'!$B$4*60,0)</f>
        <v/>
      </c>
      <c r="BD19" s="23">
        <f>IF(X19&lt;=500,"5 tạ",IF(X19&lt;=1250,"1.25T",IF(X19&lt;=5000,"5T",IF(X19&lt;=8000,"8T",IF(X19&lt;=15000,"3 chân","4 chân")))))</f>
        <v/>
      </c>
      <c r="BE19" s="23">
        <f>IF((BB19+BC19)&lt;=AO19,"OK","Risk")</f>
        <v/>
      </c>
      <c r="BF19" s="23">
        <f>IF(AND(AZ19="OK",BE19="OK"),"Ready","Review")</f>
        <v/>
      </c>
      <c r="BG19" s="23" t="n"/>
    </row>
    <row r="20" ht="18" customHeight="1" s="17">
      <c r="A20" s="21" t="inlineStr">
        <is>
          <t>S3</t>
        </is>
      </c>
      <c r="B20" s="21" t="inlineStr">
        <is>
          <t>2026-06-05</t>
        </is>
      </c>
      <c r="C20" s="21" t="inlineStr">
        <is>
          <t>S3-ORD-019</t>
        </is>
      </c>
      <c r="D20" s="21" t="inlineStr">
        <is>
          <t>VinCommerce</t>
        </is>
      </c>
      <c r="E20" s="21" t="inlineStr">
        <is>
          <t>AKJUKY</t>
        </is>
      </c>
      <c r="F20" s="21" t="inlineStr">
        <is>
          <t>Đại lý</t>
        </is>
      </c>
      <c r="G20" s="21" t="inlineStr">
        <is>
          <t>SP33</t>
        </is>
      </c>
      <c r="H20" s="21" t="inlineStr">
        <is>
          <t>Bia lon Saigon Special</t>
        </is>
      </c>
      <c r="I20" s="21" t="inlineStr">
        <is>
          <t>PK_HPL_LB</t>
        </is>
      </c>
      <c r="J20" s="21" t="inlineStr">
        <is>
          <t>HPL Depot Long Biên - 20 Thạch Bàn</t>
        </is>
      </c>
      <c r="K20" s="21" t="inlineStr">
        <is>
          <t>Hà Nội</t>
        </is>
      </c>
      <c r="L20" s="21" t="inlineStr">
        <is>
          <t>Long Biên</t>
        </is>
      </c>
      <c r="M20" s="22" t="n">
        <v>21.0261548385</v>
      </c>
      <c r="N20" s="22" t="n">
        <v>105.914182238</v>
      </c>
      <c r="O20" s="21" t="inlineStr">
        <is>
          <t>DL_HN_AKJUKY</t>
        </is>
      </c>
      <c r="P20" s="21" t="inlineStr">
        <is>
          <t>AKJUKY</t>
        </is>
      </c>
      <c r="Q20" s="21" t="inlineStr">
        <is>
          <t>Hà Nội</t>
        </is>
      </c>
      <c r="R20" s="21" t="inlineStr">
        <is>
          <t>Long Biên</t>
        </is>
      </c>
      <c r="S20" s="22" t="n">
        <v>21.063695</v>
      </c>
      <c r="T20" s="22" t="n">
        <v>105.889986</v>
      </c>
      <c r="U20" s="21" t="inlineStr">
        <is>
          <t>Nội thành Hà Nội</t>
        </is>
      </c>
      <c r="V20" s="21" t="inlineStr">
        <is>
          <t>Nội thành Hà Nội</t>
        </is>
      </c>
      <c r="W20" s="29" t="n">
        <v>11.8</v>
      </c>
      <c r="X20" s="28" t="n">
        <v>301</v>
      </c>
      <c r="Y20" s="29" t="n">
        <v>0.7</v>
      </c>
      <c r="Z20" s="28" t="n">
        <v>1</v>
      </c>
      <c r="AA20" s="21" t="inlineStr">
        <is>
          <t>5 tạ</t>
        </is>
      </c>
      <c r="AB20" s="21" t="inlineStr">
        <is>
          <t>1.25T</t>
        </is>
      </c>
      <c r="AC20" s="21" t="inlineStr">
        <is>
          <t>No</t>
        </is>
      </c>
      <c r="AD20" s="21" t="inlineStr">
        <is>
          <t>Yes</t>
        </is>
      </c>
      <c r="AE20" s="21" t="inlineStr">
        <is>
          <t>No</t>
        </is>
      </c>
      <c r="AF20" s="21" t="inlineStr">
        <is>
          <t>Yes</t>
        </is>
      </c>
      <c r="AG20" s="21" t="inlineStr">
        <is>
          <t>Đường nhỏ nội đô</t>
        </is>
      </c>
      <c r="AH20" s="21" t="inlineStr">
        <is>
          <t>07:30</t>
        </is>
      </c>
      <c r="AI20" s="21" t="inlineStr">
        <is>
          <t>09:00</t>
        </is>
      </c>
      <c r="AJ20" s="21" t="inlineStr">
        <is>
          <t>09:35</t>
        </is>
      </c>
      <c r="AK20" s="21" t="inlineStr">
        <is>
          <t>11:05</t>
        </is>
      </c>
      <c r="AL20" s="22" t="n">
        <v>45</v>
      </c>
      <c r="AM20" s="22" t="n">
        <v>25</v>
      </c>
      <c r="AN20" s="22" t="n">
        <v>20</v>
      </c>
      <c r="AO20" s="22" t="n">
        <v>215</v>
      </c>
      <c r="AP20" s="31" t="n">
        <v>810000</v>
      </c>
      <c r="AQ20" s="31" t="n">
        <v>0</v>
      </c>
      <c r="AR20" s="31" t="n">
        <v>0</v>
      </c>
      <c r="AS20" s="28" t="n">
        <v>80000</v>
      </c>
      <c r="AT20" s="21" t="inlineStr">
        <is>
          <t>C - Có thể thương lượng</t>
        </is>
      </c>
      <c r="AU20" s="21" t="inlineStr">
        <is>
          <t>CR-NỘIT-05</t>
        </is>
      </c>
      <c r="AV20" s="21" t="inlineStr">
        <is>
          <t>Hệ thống khách hàng</t>
        </is>
      </c>
      <c r="AW20" s="21" t="inlineStr">
        <is>
          <t>S3-C19</t>
        </is>
      </c>
      <c r="AX20" s="21" t="inlineStr">
        <is>
          <t>5 tạ</t>
        </is>
      </c>
      <c r="AY20" s="21" t="inlineStr">
        <is>
          <t>Send to Clustering</t>
        </is>
      </c>
      <c r="AZ20" s="21" t="inlineStr">
        <is>
          <t>OK</t>
        </is>
      </c>
      <c r="BA20" s="21" t="inlineStr">
        <is>
          <t>Cấm tải/đường nhỏ - đã chọn xe nhỏ</t>
        </is>
      </c>
      <c r="BB20" s="21">
        <f>AM20+AN20</f>
        <v/>
      </c>
      <c r="BC20" s="21">
        <f>ROUND(W20/'03_Cost_Constraints'!$B$4*60,0)</f>
        <v/>
      </c>
      <c r="BD20" s="21">
        <f>IF(X20&lt;=500,"5 tạ",IF(X20&lt;=1250,"1.25T",IF(X20&lt;=5000,"5T",IF(X20&lt;=8000,"8T",IF(X20&lt;=15000,"3 chân","4 chân")))))</f>
        <v/>
      </c>
      <c r="BE20" s="21">
        <f>IF((BB20+BC20)&lt;=AO20,"OK","Risk")</f>
        <v/>
      </c>
      <c r="BF20" s="21">
        <f>IF(AND(AZ20="OK",BE20="OK"),"Ready","Review")</f>
        <v/>
      </c>
      <c r="BG20" s="21" t="n"/>
    </row>
    <row r="21" ht="18" customHeight="1" s="17">
      <c r="A21" s="23" t="inlineStr">
        <is>
          <t>S3</t>
        </is>
      </c>
      <c r="B21" s="23" t="inlineStr">
        <is>
          <t>2026-06-05</t>
        </is>
      </c>
      <c r="C21" s="23" t="inlineStr">
        <is>
          <t>S3-ORD-020</t>
        </is>
      </c>
      <c r="D21" s="23" t="inlineStr">
        <is>
          <t>Unilever</t>
        </is>
      </c>
      <c r="E21" s="23" t="inlineStr">
        <is>
          <t>VINMART Vũ Trọng Phụng</t>
        </is>
      </c>
      <c r="F21" s="23" t="inlineStr">
        <is>
          <t>ST</t>
        </is>
      </c>
      <c r="G21" s="23" t="inlineStr">
        <is>
          <t>LVCA</t>
        </is>
      </c>
      <c r="H21" s="23" t="inlineStr">
        <is>
          <t>Bia lon Lạc Việt</t>
        </is>
      </c>
      <c r="I21" s="23" t="inlineStr">
        <is>
          <t>PK_HY_MYHAO</t>
        </is>
      </c>
      <c r="J21" s="23" t="inlineStr">
        <is>
          <t>Kho/Nhà máy khách hàng Mỹ Hào</t>
        </is>
      </c>
      <c r="K21" s="23" t="inlineStr">
        <is>
          <t>Hưng Yên</t>
        </is>
      </c>
      <c r="L21" s="23" t="inlineStr">
        <is>
          <t>Mỹ Hào</t>
        </is>
      </c>
      <c r="M21" s="24" t="n">
        <v>20.9329</v>
      </c>
      <c r="N21" s="24" t="n">
        <v>106.065</v>
      </c>
      <c r="O21" s="23" t="inlineStr">
        <is>
          <t>DL_HN_VUTRONGPHUNG</t>
        </is>
      </c>
      <c r="P21" s="23" t="inlineStr">
        <is>
          <t>VINMART Vũ Trọng Phụng</t>
        </is>
      </c>
      <c r="Q21" s="23" t="inlineStr">
        <is>
          <t>Hà Nội</t>
        </is>
      </c>
      <c r="R21" s="23" t="inlineStr">
        <is>
          <t>Thanh Xuân</t>
        </is>
      </c>
      <c r="S21" s="24" t="n">
        <v>20.997621</v>
      </c>
      <c r="T21" s="24" t="n">
        <v>105.809443</v>
      </c>
      <c r="U21" s="23" t="inlineStr">
        <is>
          <t>Nội thành Hà Nội</t>
        </is>
      </c>
      <c r="V21" s="23" t="inlineStr">
        <is>
          <t>Nội thành Hà Nội</t>
        </is>
      </c>
      <c r="W21" s="33" t="n">
        <v>43.8</v>
      </c>
      <c r="X21" s="32" t="n">
        <v>783</v>
      </c>
      <c r="Y21" s="33" t="n">
        <v>2.1</v>
      </c>
      <c r="Z21" s="32" t="n">
        <v>1</v>
      </c>
      <c r="AA21" s="23" t="inlineStr">
        <is>
          <t>1.25T</t>
        </is>
      </c>
      <c r="AB21" s="23" t="inlineStr">
        <is>
          <t>1.25T</t>
        </is>
      </c>
      <c r="AC21" s="23" t="inlineStr">
        <is>
          <t>No</t>
        </is>
      </c>
      <c r="AD21" s="23" t="inlineStr">
        <is>
          <t>Yes</t>
        </is>
      </c>
      <c r="AE21" s="23" t="inlineStr">
        <is>
          <t>No</t>
        </is>
      </c>
      <c r="AF21" s="23" t="inlineStr">
        <is>
          <t>Yes</t>
        </is>
      </c>
      <c r="AG21" s="23" t="inlineStr">
        <is>
          <t>Hầm giao nhận thấp</t>
        </is>
      </c>
      <c r="AH21" s="23" t="inlineStr">
        <is>
          <t>07:30</t>
        </is>
      </c>
      <c r="AI21" s="23" t="inlineStr">
        <is>
          <t>09:30</t>
        </is>
      </c>
      <c r="AJ21" s="23" t="inlineStr">
        <is>
          <t>08:30</t>
        </is>
      </c>
      <c r="AK21" s="23" t="inlineStr">
        <is>
          <t>10:00</t>
        </is>
      </c>
      <c r="AL21" s="24" t="n">
        <v>45</v>
      </c>
      <c r="AM21" s="24" t="n">
        <v>25</v>
      </c>
      <c r="AN21" s="24" t="n">
        <v>20</v>
      </c>
      <c r="AO21" s="24" t="n">
        <v>150</v>
      </c>
      <c r="AP21" s="35" t="n">
        <v>610000</v>
      </c>
      <c r="AQ21" s="35" t="n">
        <v>0</v>
      </c>
      <c r="AR21" s="35" t="n">
        <v>0</v>
      </c>
      <c r="AS21" s="32" t="n">
        <v>80000</v>
      </c>
      <c r="AT21" s="23" t="inlineStr">
        <is>
          <t>C - Có thể thương lượng</t>
        </is>
      </c>
      <c r="AU21" s="23" t="inlineStr">
        <is>
          <t>CR-NỘIT-01</t>
        </is>
      </c>
      <c r="AV21" s="23" t="inlineStr">
        <is>
          <t>Zalo/Email plan 17:00</t>
        </is>
      </c>
      <c r="AW21" s="23" t="inlineStr">
        <is>
          <t>S3-C20</t>
        </is>
      </c>
      <c r="AX21" s="23" t="inlineStr">
        <is>
          <t>1.25T</t>
        </is>
      </c>
      <c r="AY21" s="23" t="inlineStr">
        <is>
          <t>Send to Clustering</t>
        </is>
      </c>
      <c r="AZ21" s="23" t="inlineStr">
        <is>
          <t>OK</t>
        </is>
      </c>
      <c r="BA21" s="23" t="inlineStr">
        <is>
          <t>Cấm tải/đường nhỏ - đã chọn xe nhỏ</t>
        </is>
      </c>
      <c r="BB21" s="23">
        <f>AM21+AN21</f>
        <v/>
      </c>
      <c r="BC21" s="23">
        <f>ROUND(W21/'03_Cost_Constraints'!$B$4*60,0)</f>
        <v/>
      </c>
      <c r="BD21" s="23">
        <f>IF(X21&lt;=500,"5 tạ",IF(X21&lt;=1250,"1.25T",IF(X21&lt;=5000,"5T",IF(X21&lt;=8000,"8T",IF(X21&lt;=15000,"3 chân","4 chân")))))</f>
        <v/>
      </c>
      <c r="BE21" s="23">
        <f>IF((BB21+BC21)&lt;=AO21,"OK","Risk")</f>
        <v/>
      </c>
      <c r="BF21" s="23">
        <f>IF(AND(AZ21="OK",BE21="OK"),"Ready","Review")</f>
        <v/>
      </c>
      <c r="BG21" s="23" t="inlineStr">
        <is>
          <t>Lead time hẹp, cần cảnh báo hoặc xin nới giờ</t>
        </is>
      </c>
    </row>
    <row r="22" ht="18" customHeight="1" s="17">
      <c r="A22" s="21" t="inlineStr">
        <is>
          <t>S3</t>
        </is>
      </c>
      <c r="B22" s="21" t="inlineStr">
        <is>
          <t>2026-06-05</t>
        </is>
      </c>
      <c r="C22" s="21" t="inlineStr">
        <is>
          <t>S3-ORD-021</t>
        </is>
      </c>
      <c r="D22" s="21" t="inlineStr">
        <is>
          <t>VinCommerce</t>
        </is>
      </c>
      <c r="E22" s="21" t="inlineStr">
        <is>
          <t>Siêu thị Hải Phòng</t>
        </is>
      </c>
      <c r="F22" s="21" t="inlineStr">
        <is>
          <t>MT</t>
        </is>
      </c>
      <c r="G22" s="21" t="inlineStr">
        <is>
          <t>LVCA</t>
        </is>
      </c>
      <c r="H22" s="21" t="inlineStr">
        <is>
          <t>Bia lon Lạc Việt</t>
        </is>
      </c>
      <c r="I22" s="21" t="inlineStr">
        <is>
          <t>PK_HP_DINHVU</t>
        </is>
      </c>
      <c r="J22" s="21" t="inlineStr">
        <is>
          <t>Kho Hải Phòng - Đình Vũ</t>
        </is>
      </c>
      <c r="K22" s="21" t="inlineStr">
        <is>
          <t>Hải Phòng</t>
        </is>
      </c>
      <c r="L22" s="21" t="inlineStr">
        <is>
          <t>Hải An</t>
        </is>
      </c>
      <c r="M22" s="22" t="n">
        <v>20.8425</v>
      </c>
      <c r="N22" s="22" t="n">
        <v>106.77</v>
      </c>
      <c r="O22" s="21" t="inlineStr">
        <is>
          <t>DL_HP_SIEUTHI</t>
        </is>
      </c>
      <c r="P22" s="21" t="inlineStr">
        <is>
          <t>Siêu thị Hải Phòng</t>
        </is>
      </c>
      <c r="Q22" s="21" t="inlineStr">
        <is>
          <t>Hải Phòng</t>
        </is>
      </c>
      <c r="R22" s="21" t="inlineStr">
        <is>
          <t>Gia Viên</t>
        </is>
      </c>
      <c r="S22" s="22" t="n">
        <v>20.84442</v>
      </c>
      <c r="T22" s="22" t="n">
        <v>106.7011</v>
      </c>
      <c r="U22" s="21" t="inlineStr">
        <is>
          <t>Đông Bắc</t>
        </is>
      </c>
      <c r="V22" s="21" t="inlineStr">
        <is>
          <t>Đông Bắc</t>
        </is>
      </c>
      <c r="W22" s="29" t="n">
        <v>12.2</v>
      </c>
      <c r="X22" s="28" t="n">
        <v>4727</v>
      </c>
      <c r="Y22" s="29" t="n">
        <v>8.359999999999999</v>
      </c>
      <c r="Z22" s="28" t="n">
        <v>6</v>
      </c>
      <c r="AA22" s="21" t="inlineStr">
        <is>
          <t>5T</t>
        </is>
      </c>
      <c r="AB22" s="21" t="inlineStr">
        <is>
          <t>5T</t>
        </is>
      </c>
      <c r="AC22" s="21" t="inlineStr">
        <is>
          <t>No</t>
        </is>
      </c>
      <c r="AD22" s="21" t="inlineStr">
        <is>
          <t>Yes</t>
        </is>
      </c>
      <c r="AE22" s="21" t="inlineStr">
        <is>
          <t>No</t>
        </is>
      </c>
      <c r="AF22" s="21" t="inlineStr">
        <is>
          <t>No</t>
        </is>
      </c>
      <c r="AG22" s="21" t="inlineStr">
        <is>
          <t>Khung giờ nhập kho 13:00-16:00</t>
        </is>
      </c>
      <c r="AH22" s="21" t="inlineStr">
        <is>
          <t>09:00</t>
        </is>
      </c>
      <c r="AI22" s="21" t="inlineStr">
        <is>
          <t>11:00</t>
        </is>
      </c>
      <c r="AJ22" s="21" t="inlineStr">
        <is>
          <t>10:46</t>
        </is>
      </c>
      <c r="AK22" s="21" t="inlineStr">
        <is>
          <t>12:16</t>
        </is>
      </c>
      <c r="AL22" s="22" t="n">
        <v>45</v>
      </c>
      <c r="AM22" s="22" t="n">
        <v>40</v>
      </c>
      <c r="AN22" s="22" t="n">
        <v>45</v>
      </c>
      <c r="AO22" s="22" t="n">
        <v>196</v>
      </c>
      <c r="AP22" s="31" t="n">
        <v>890000</v>
      </c>
      <c r="AQ22" s="31" t="n">
        <v>150000</v>
      </c>
      <c r="AR22" s="31" t="n">
        <v>120000</v>
      </c>
      <c r="AS22" s="28" t="n">
        <v>80000</v>
      </c>
      <c r="AT22" s="21" t="inlineStr">
        <is>
          <t>B - Thường</t>
        </is>
      </c>
      <c r="AU22" s="21" t="inlineStr">
        <is>
          <t>CR-ĐÔNG-02</t>
        </is>
      </c>
      <c r="AV22" s="21" t="inlineStr">
        <is>
          <t>Manual nhập điều phối</t>
        </is>
      </c>
      <c r="AW22" s="21" t="inlineStr">
        <is>
          <t>S3-C21</t>
        </is>
      </c>
      <c r="AX22" s="21" t="inlineStr">
        <is>
          <t>5T</t>
        </is>
      </c>
      <c r="AY22" s="21" t="inlineStr">
        <is>
          <t>Send to Clustering</t>
        </is>
      </c>
      <c r="AZ22" s="21" t="inlineStr">
        <is>
          <t>OK</t>
        </is>
      </c>
      <c r="BA22" s="21" t="inlineStr">
        <is>
          <t>OK</t>
        </is>
      </c>
      <c r="BB22" s="21">
        <f>AM22+AN22</f>
        <v/>
      </c>
      <c r="BC22" s="21">
        <f>ROUND(W22/'03_Cost_Constraints'!$B$4*60,0)</f>
        <v/>
      </c>
      <c r="BD22" s="21">
        <f>IF(X22&lt;=500,"5 tạ",IF(X22&lt;=1250,"1.25T",IF(X22&lt;=5000,"5T",IF(X22&lt;=8000,"8T",IF(X22&lt;=15000,"3 chân","4 chân")))))</f>
        <v/>
      </c>
      <c r="BE22" s="21">
        <f>IF((BB22+BC22)&lt;=AO22,"OK","Risk")</f>
        <v/>
      </c>
      <c r="BF22" s="21">
        <f>IF(AND(AZ22="OK",BE22="OK"),"Ready","Review")</f>
        <v/>
      </c>
      <c r="BG22" s="21" t="n"/>
    </row>
    <row r="23" ht="18" customHeight="1" s="17">
      <c r="A23" s="23" t="inlineStr">
        <is>
          <t>S3</t>
        </is>
      </c>
      <c r="B23" s="23" t="inlineStr">
        <is>
          <t>2026-06-05</t>
        </is>
      </c>
      <c r="C23" s="23" t="inlineStr">
        <is>
          <t>S3-ORD-022</t>
        </is>
      </c>
      <c r="D23" s="23" t="inlineStr">
        <is>
          <t>VinCommerce</t>
        </is>
      </c>
      <c r="E23" s="23" t="inlineStr">
        <is>
          <t>MM Vinh</t>
        </is>
      </c>
      <c r="F23" s="23" t="inlineStr">
        <is>
          <t>MT</t>
        </is>
      </c>
      <c r="G23" s="23" t="inlineStr">
        <is>
          <t>PAT2</t>
        </is>
      </c>
      <c r="H23" s="23" t="inlineStr">
        <is>
          <t>Bia lon 333</t>
        </is>
      </c>
      <c r="I23" s="23" t="inlineStr">
        <is>
          <t>PK_TH_QX</t>
        </is>
      </c>
      <c r="J23" s="23" t="inlineStr">
        <is>
          <t>Kho DC Thanh Hóa - Quảng Xương</t>
        </is>
      </c>
      <c r="K23" s="23" t="inlineStr">
        <is>
          <t>Thanh Hóa</t>
        </is>
      </c>
      <c r="L23" s="23" t="inlineStr">
        <is>
          <t>Quảng Xương</t>
        </is>
      </c>
      <c r="M23" s="24" t="n">
        <v>19.731</v>
      </c>
      <c r="N23" s="24" t="n">
        <v>105.815</v>
      </c>
      <c r="O23" s="23" t="inlineStr">
        <is>
          <t>DL_NA_MM_VINH</t>
        </is>
      </c>
      <c r="P23" s="23" t="inlineStr">
        <is>
          <t>MM Vinh</t>
        </is>
      </c>
      <c r="Q23" s="23" t="inlineStr">
        <is>
          <t>Nghệ An</t>
        </is>
      </c>
      <c r="R23" s="23" t="inlineStr">
        <is>
          <t>Vinh</t>
        </is>
      </c>
      <c r="S23" s="24" t="n">
        <v>18.68052</v>
      </c>
      <c r="T23" s="24" t="n">
        <v>105.68133</v>
      </c>
      <c r="U23" s="23" t="inlineStr">
        <is>
          <t>Bắc Trung Bộ</t>
        </is>
      </c>
      <c r="V23" s="23" t="inlineStr">
        <is>
          <t>Bắc Trung Bộ</t>
        </is>
      </c>
      <c r="W23" s="33" t="n">
        <v>156</v>
      </c>
      <c r="X23" s="32" t="n">
        <v>6414</v>
      </c>
      <c r="Y23" s="33" t="n">
        <v>17.74</v>
      </c>
      <c r="Z23" s="32" t="n">
        <v>14</v>
      </c>
      <c r="AA23" s="23" t="inlineStr">
        <is>
          <t>8T</t>
        </is>
      </c>
      <c r="AB23" s="23" t="inlineStr">
        <is>
          <t>8T</t>
        </is>
      </c>
      <c r="AC23" s="23" t="inlineStr">
        <is>
          <t>No</t>
        </is>
      </c>
      <c r="AD23" s="23" t="inlineStr">
        <is>
          <t>Yes</t>
        </is>
      </c>
      <c r="AE23" s="23" t="inlineStr">
        <is>
          <t>No</t>
        </is>
      </c>
      <c r="AF23" s="23" t="inlineStr">
        <is>
          <t>No</t>
        </is>
      </c>
      <c r="AG23" s="23" t="inlineStr">
        <is>
          <t>Xe 8T vào được</t>
        </is>
      </c>
      <c r="AH23" s="23" t="inlineStr">
        <is>
          <t>07:30</t>
        </is>
      </c>
      <c r="AI23" s="23" t="inlineStr">
        <is>
          <t>09:00</t>
        </is>
      </c>
      <c r="AJ23" s="23" t="inlineStr">
        <is>
          <t>12:37</t>
        </is>
      </c>
      <c r="AK23" s="23" t="inlineStr">
        <is>
          <t>14:37</t>
        </is>
      </c>
      <c r="AL23" s="24" t="n">
        <v>45</v>
      </c>
      <c r="AM23" s="24" t="n">
        <v>40</v>
      </c>
      <c r="AN23" s="24" t="n">
        <v>45</v>
      </c>
      <c r="AO23" s="24" t="n">
        <v>427</v>
      </c>
      <c r="AP23" s="35" t="n">
        <v>6600000</v>
      </c>
      <c r="AQ23" s="35" t="n">
        <v>0</v>
      </c>
      <c r="AR23" s="35" t="n">
        <v>120000</v>
      </c>
      <c r="AS23" s="32" t="n">
        <v>80000</v>
      </c>
      <c r="AT23" s="23" t="inlineStr">
        <is>
          <t>B - Thường</t>
        </is>
      </c>
      <c r="AU23" s="23" t="inlineStr">
        <is>
          <t>CR-BẮCT-03</t>
        </is>
      </c>
      <c r="AV23" s="23" t="inlineStr">
        <is>
          <t>Excel khách hàng</t>
        </is>
      </c>
      <c r="AW23" s="23" t="inlineStr">
        <is>
          <t>S3-C22</t>
        </is>
      </c>
      <c r="AX23" s="23" t="inlineStr">
        <is>
          <t>8T</t>
        </is>
      </c>
      <c r="AY23" s="23" t="inlineStr">
        <is>
          <t>Send to Clustering</t>
        </is>
      </c>
      <c r="AZ23" s="23" t="inlineStr">
        <is>
          <t>OK</t>
        </is>
      </c>
      <c r="BA23" s="23" t="inlineStr">
        <is>
          <t>Empty-run &gt;100km cần tìm chuyến về</t>
        </is>
      </c>
      <c r="BB23" s="23">
        <f>AM23+AN23</f>
        <v/>
      </c>
      <c r="BC23" s="23">
        <f>ROUND(W23/'03_Cost_Constraints'!$B$4*60,0)</f>
        <v/>
      </c>
      <c r="BD23" s="23">
        <f>IF(X23&lt;=500,"5 tạ",IF(X23&lt;=1250,"1.25T",IF(X23&lt;=5000,"5T",IF(X23&lt;=8000,"8T",IF(X23&lt;=15000,"3 chân","4 chân")))))</f>
        <v/>
      </c>
      <c r="BE23" s="23">
        <f>IF((BB23+BC23)&lt;=AO23,"OK","Risk")</f>
        <v/>
      </c>
      <c r="BF23" s="23">
        <f>IF(AND(AZ23="OK",BE23="OK"),"Ready","Review")</f>
        <v/>
      </c>
      <c r="BG23" s="23" t="n"/>
    </row>
    <row r="24" ht="18" customHeight="1" s="17">
      <c r="A24" s="21" t="inlineStr">
        <is>
          <t>S3</t>
        </is>
      </c>
      <c r="B24" s="21" t="inlineStr">
        <is>
          <t>2026-06-05</t>
        </is>
      </c>
      <c r="C24" s="21" t="inlineStr">
        <is>
          <t>S3-ORD-023</t>
        </is>
      </c>
      <c r="D24" s="21" t="inlineStr">
        <is>
          <t>Unilever</t>
        </is>
      </c>
      <c r="E24" s="21" t="inlineStr">
        <is>
          <t>Nam Dương</t>
        </is>
      </c>
      <c r="F24" s="21" t="inlineStr">
        <is>
          <t>Đại lý</t>
        </is>
      </c>
      <c r="G24" s="21" t="inlineStr">
        <is>
          <t>EXPL</t>
        </is>
      </c>
      <c r="H24" s="21" t="inlineStr">
        <is>
          <t>Bia lon Saigon Export</t>
        </is>
      </c>
      <c r="I24" s="21" t="inlineStr">
        <is>
          <t>PK_HY_MYHAO</t>
        </is>
      </c>
      <c r="J24" s="21" t="inlineStr">
        <is>
          <t>Kho/Nhà máy khách hàng Mỹ Hào</t>
        </is>
      </c>
      <c r="K24" s="21" t="inlineStr">
        <is>
          <t>Hưng Yên</t>
        </is>
      </c>
      <c r="L24" s="21" t="inlineStr">
        <is>
          <t>Mỹ Hào</t>
        </is>
      </c>
      <c r="M24" s="22" t="n">
        <v>20.9329</v>
      </c>
      <c r="N24" s="22" t="n">
        <v>106.065</v>
      </c>
      <c r="O24" s="21" t="inlineStr">
        <is>
          <t>DL_HN_NAMDUONG</t>
        </is>
      </c>
      <c r="P24" s="21" t="inlineStr">
        <is>
          <t>Nam Dương</t>
        </is>
      </c>
      <c r="Q24" s="21" t="inlineStr">
        <is>
          <t>Hà Nội</t>
        </is>
      </c>
      <c r="R24" s="21" t="inlineStr">
        <is>
          <t>Hà Nội</t>
        </is>
      </c>
      <c r="S24" s="22" t="n">
        <v>21.062911</v>
      </c>
      <c r="T24" s="22" t="n">
        <v>105.832351</v>
      </c>
      <c r="U24" s="21" t="inlineStr">
        <is>
          <t>Nội thành Hà Nội</t>
        </is>
      </c>
      <c r="V24" s="21" t="inlineStr">
        <is>
          <t>Nội thành Hà Nội</t>
        </is>
      </c>
      <c r="W24" s="29" t="n">
        <v>42.4</v>
      </c>
      <c r="X24" s="28" t="n">
        <v>1034</v>
      </c>
      <c r="Y24" s="29" t="n">
        <v>2.72</v>
      </c>
      <c r="Z24" s="28" t="n">
        <v>2</v>
      </c>
      <c r="AA24" s="21" t="inlineStr">
        <is>
          <t>1.25T</t>
        </is>
      </c>
      <c r="AB24" s="21" t="inlineStr">
        <is>
          <t>1.25T</t>
        </is>
      </c>
      <c r="AC24" s="21" t="inlineStr">
        <is>
          <t>No</t>
        </is>
      </c>
      <c r="AD24" s="21" t="inlineStr">
        <is>
          <t>Yes</t>
        </is>
      </c>
      <c r="AE24" s="21" t="inlineStr">
        <is>
          <t>No</t>
        </is>
      </c>
      <c r="AF24" s="21" t="inlineStr">
        <is>
          <t>Yes</t>
        </is>
      </c>
      <c r="AG24" s="21" t="inlineStr">
        <is>
          <t>Đường nội đô, có khung giờ cấm tải</t>
        </is>
      </c>
      <c r="AH24" s="21" t="inlineStr">
        <is>
          <t>08:00</t>
        </is>
      </c>
      <c r="AI24" s="21" t="inlineStr">
        <is>
          <t>10:30</t>
        </is>
      </c>
      <c r="AJ24" s="21" t="inlineStr">
        <is>
          <t>11:27</t>
        </is>
      </c>
      <c r="AK24" s="21" t="inlineStr">
        <is>
          <t>14:27</t>
        </is>
      </c>
      <c r="AL24" s="22" t="n">
        <v>45</v>
      </c>
      <c r="AM24" s="22" t="n">
        <v>25</v>
      </c>
      <c r="AN24" s="22" t="n">
        <v>20</v>
      </c>
      <c r="AO24" s="22" t="n">
        <v>387</v>
      </c>
      <c r="AP24" s="31" t="n">
        <v>650000</v>
      </c>
      <c r="AQ24" s="31" t="n">
        <v>0</v>
      </c>
      <c r="AR24" s="31" t="n">
        <v>0</v>
      </c>
      <c r="AS24" s="28" t="n">
        <v>150000</v>
      </c>
      <c r="AT24" s="21" t="inlineStr">
        <is>
          <t>A - SLA chặt</t>
        </is>
      </c>
      <c r="AU24" s="21" t="inlineStr">
        <is>
          <t>CR-NỘIT-04</t>
        </is>
      </c>
      <c r="AV24" s="21" t="inlineStr">
        <is>
          <t>Hệ thống khách hàng</t>
        </is>
      </c>
      <c r="AW24" s="21" t="inlineStr">
        <is>
          <t>S3-C23</t>
        </is>
      </c>
      <c r="AX24" s="21" t="inlineStr">
        <is>
          <t>1.25T</t>
        </is>
      </c>
      <c r="AY24" s="21" t="inlineStr">
        <is>
          <t>Send to Clustering</t>
        </is>
      </c>
      <c r="AZ24" s="21" t="inlineStr">
        <is>
          <t>OK</t>
        </is>
      </c>
      <c r="BA24" s="21" t="inlineStr">
        <is>
          <t>Cấm tải/đường nhỏ - đã chọn xe nhỏ</t>
        </is>
      </c>
      <c r="BB24" s="21">
        <f>AM24+AN24</f>
        <v/>
      </c>
      <c r="BC24" s="21">
        <f>ROUND(W24/'03_Cost_Constraints'!$B$4*60,0)</f>
        <v/>
      </c>
      <c r="BD24" s="21">
        <f>IF(X24&lt;=500,"5 tạ",IF(X24&lt;=1250,"1.25T",IF(X24&lt;=5000,"5T",IF(X24&lt;=8000,"8T",IF(X24&lt;=15000,"3 chân","4 chân")))))</f>
        <v/>
      </c>
      <c r="BE24" s="21">
        <f>IF((BB24+BC24)&lt;=AO24,"OK","Risk")</f>
        <v/>
      </c>
      <c r="BF24" s="21">
        <f>IF(AND(AZ24="OK",BE24="OK"),"Ready","Review")</f>
        <v/>
      </c>
      <c r="BG24" s="21" t="n"/>
    </row>
    <row r="25" ht="18" customHeight="1" s="17">
      <c r="A25" s="23" t="inlineStr">
        <is>
          <t>S3</t>
        </is>
      </c>
      <c r="B25" s="23" t="inlineStr">
        <is>
          <t>2026-06-05</t>
        </is>
      </c>
      <c r="C25" s="23" t="inlineStr">
        <is>
          <t>S3-ORD-024</t>
        </is>
      </c>
      <c r="D25" s="23" t="inlineStr">
        <is>
          <t>Masan</t>
        </is>
      </c>
      <c r="E25" s="23" t="inlineStr">
        <is>
          <t>VINMART Vũ Trọng Phụng</t>
        </is>
      </c>
      <c r="F25" s="23" t="inlineStr">
        <is>
          <t>ST</t>
        </is>
      </c>
      <c r="G25" s="23" t="inlineStr">
        <is>
          <t>NOODLE</t>
        </is>
      </c>
      <c r="H25" s="23" t="inlineStr">
        <is>
          <t>Mì gói/Acecook carton</t>
        </is>
      </c>
      <c r="I25" s="23" t="inlineStr">
        <is>
          <t>PK_HY_MYHAO</t>
        </is>
      </c>
      <c r="J25" s="23" t="inlineStr">
        <is>
          <t>Kho/Nhà máy khách hàng Mỹ Hào</t>
        </is>
      </c>
      <c r="K25" s="23" t="inlineStr">
        <is>
          <t>Hưng Yên</t>
        </is>
      </c>
      <c r="L25" s="23" t="inlineStr">
        <is>
          <t>Mỹ Hào</t>
        </is>
      </c>
      <c r="M25" s="24" t="n">
        <v>20.9329</v>
      </c>
      <c r="N25" s="24" t="n">
        <v>106.065</v>
      </c>
      <c r="O25" s="23" t="inlineStr">
        <is>
          <t>DL_HN_VUTRONGPHUNG</t>
        </is>
      </c>
      <c r="P25" s="23" t="inlineStr">
        <is>
          <t>VINMART Vũ Trọng Phụng</t>
        </is>
      </c>
      <c r="Q25" s="23" t="inlineStr">
        <is>
          <t>Hà Nội</t>
        </is>
      </c>
      <c r="R25" s="23" t="inlineStr">
        <is>
          <t>Thanh Xuân</t>
        </is>
      </c>
      <c r="S25" s="24" t="n">
        <v>20.997621</v>
      </c>
      <c r="T25" s="24" t="n">
        <v>105.809443</v>
      </c>
      <c r="U25" s="23" t="inlineStr">
        <is>
          <t>Nội thành Hà Nội</t>
        </is>
      </c>
      <c r="V25" s="23" t="inlineStr">
        <is>
          <t>Nội thành Hà Nội</t>
        </is>
      </c>
      <c r="W25" s="33" t="n">
        <v>44.5</v>
      </c>
      <c r="X25" s="32" t="n">
        <v>2215</v>
      </c>
      <c r="Y25" s="33" t="n">
        <v>22.3</v>
      </c>
      <c r="Z25" s="32" t="n">
        <v>18</v>
      </c>
      <c r="AA25" s="23" t="inlineStr">
        <is>
          <t>5T</t>
        </is>
      </c>
      <c r="AB25" s="23" t="inlineStr">
        <is>
          <t>1.25T</t>
        </is>
      </c>
      <c r="AC25" s="23" t="inlineStr">
        <is>
          <t>No</t>
        </is>
      </c>
      <c r="AD25" s="23" t="inlineStr">
        <is>
          <t>No</t>
        </is>
      </c>
      <c r="AE25" s="23" t="inlineStr">
        <is>
          <t>Yes</t>
        </is>
      </c>
      <c r="AF25" s="23" t="inlineStr">
        <is>
          <t>Yes</t>
        </is>
      </c>
      <c r="AG25" s="23" t="inlineStr">
        <is>
          <t>Hầm giao nhận thấp</t>
        </is>
      </c>
      <c r="AH25" s="23" t="inlineStr">
        <is>
          <t>08:30</t>
        </is>
      </c>
      <c r="AI25" s="23" t="inlineStr">
        <is>
          <t>10:30</t>
        </is>
      </c>
      <c r="AJ25" s="23" t="inlineStr">
        <is>
          <t>09:46</t>
        </is>
      </c>
      <c r="AK25" s="23" t="inlineStr">
        <is>
          <t>12:16</t>
        </is>
      </c>
      <c r="AL25" s="24" t="n">
        <v>30</v>
      </c>
      <c r="AM25" s="24" t="n">
        <v>40</v>
      </c>
      <c r="AN25" s="24" t="n">
        <v>35</v>
      </c>
      <c r="AO25" s="24" t="n">
        <v>226</v>
      </c>
      <c r="AP25" s="35" t="n">
        <v>1260000</v>
      </c>
      <c r="AQ25" s="35" t="n">
        <v>0</v>
      </c>
      <c r="AR25" s="35" t="n">
        <v>0</v>
      </c>
      <c r="AS25" s="32" t="n">
        <v>80000</v>
      </c>
      <c r="AT25" s="23" t="inlineStr">
        <is>
          <t>C - Có thể thương lượng</t>
        </is>
      </c>
      <c r="AU25" s="23" t="inlineStr">
        <is>
          <t>CR-NỘIT-05</t>
        </is>
      </c>
      <c r="AV25" s="23" t="inlineStr">
        <is>
          <t>Zalo/Email plan 17:00</t>
        </is>
      </c>
      <c r="AW25" s="23" t="inlineStr">
        <is>
          <t>S3-C23</t>
        </is>
      </c>
      <c r="AX25" s="23" t="inlineStr">
        <is>
          <t>Split/Chuyển tải</t>
        </is>
      </c>
      <c r="AY25" s="23" t="inlineStr">
        <is>
          <t>Split Order/Chuyển tải hoặc xin xe nhỏ nhiều chuyến</t>
        </is>
      </c>
      <c r="AZ25" s="23" t="inlineStr">
        <is>
          <t>Review</t>
        </is>
      </c>
      <c r="BA25" s="23" t="inlineStr">
        <is>
          <t>Vehicle Mismatch</t>
        </is>
      </c>
      <c r="BB25" s="23">
        <f>AM25+AN25</f>
        <v/>
      </c>
      <c r="BC25" s="23">
        <f>ROUND(W25/'03_Cost_Constraints'!$B$4*60,0)</f>
        <v/>
      </c>
      <c r="BD25" s="23">
        <f>IF(X25&lt;=500,"5 tạ",IF(X25&lt;=1250,"1.25T",IF(X25&lt;=5000,"5T",IF(X25&lt;=8000,"8T",IF(X25&lt;=15000,"3 chân","4 chân")))))</f>
        <v/>
      </c>
      <c r="BE25" s="23">
        <f>IF((BB25+BC25)&lt;=AO25,"OK","Risk")</f>
        <v/>
      </c>
      <c r="BF25" s="23">
        <f>IF(AND(AZ25="OK",BE25="OK"),"Ready","Review")</f>
        <v/>
      </c>
      <c r="BG25" s="23" t="inlineStr">
        <is>
          <t>Lead time hẹp, cần cảnh báo hoặc xin nới giờ</t>
        </is>
      </c>
    </row>
    <row r="26" ht="18" customHeight="1" s="17">
      <c r="A26" s="21" t="inlineStr">
        <is>
          <t>S3</t>
        </is>
      </c>
      <c r="B26" s="21" t="inlineStr">
        <is>
          <t>2026-06-05</t>
        </is>
      </c>
      <c r="C26" s="21" t="inlineStr">
        <is>
          <t>S3-ORD-025</t>
        </is>
      </c>
      <c r="D26" s="21" t="inlineStr">
        <is>
          <t>Sabeco</t>
        </is>
      </c>
      <c r="E26" s="21" t="inlineStr">
        <is>
          <t>MM Hồng Bàng</t>
        </is>
      </c>
      <c r="F26" s="21" t="inlineStr">
        <is>
          <t>MT</t>
        </is>
      </c>
      <c r="G26" s="21" t="inlineStr">
        <is>
          <t>POSM</t>
        </is>
      </c>
      <c r="H26" s="21" t="inlineStr">
        <is>
          <t>POSM trưng bày</t>
        </is>
      </c>
      <c r="I26" s="21" t="inlineStr">
        <is>
          <t>PK_LINFOX_VSIP</t>
        </is>
      </c>
      <c r="J26" s="21" t="inlineStr">
        <is>
          <t>Kho Linfox KCN VSIP Bắc Ninh</t>
        </is>
      </c>
      <c r="K26" s="21" t="inlineStr">
        <is>
          <t>Bắc Ninh</t>
        </is>
      </c>
      <c r="L26" s="21" t="inlineStr">
        <is>
          <t>Từ Sơn</t>
        </is>
      </c>
      <c r="M26" s="22" t="n">
        <v>21.082707</v>
      </c>
      <c r="N26" s="22" t="n">
        <v>105.997949</v>
      </c>
      <c r="O26" s="21" t="inlineStr">
        <is>
          <t>DL_HP_HONGBANG</t>
        </is>
      </c>
      <c r="P26" s="21" t="inlineStr">
        <is>
          <t>MM Hồng Bàng</t>
        </is>
      </c>
      <c r="Q26" s="21" t="inlineStr">
        <is>
          <t>Hải Phòng</t>
        </is>
      </c>
      <c r="R26" s="21" t="inlineStr">
        <is>
          <t>Hồng Bàng</t>
        </is>
      </c>
      <c r="S26" s="22" t="n">
        <v>20.856112</v>
      </c>
      <c r="T26" s="22" t="n">
        <v>106.682239</v>
      </c>
      <c r="U26" s="21" t="inlineStr">
        <is>
          <t>Đông Bắc</t>
        </is>
      </c>
      <c r="V26" s="21" t="inlineStr">
        <is>
          <t>Đông Bắc</t>
        </is>
      </c>
      <c r="W26" s="29" t="n">
        <v>99.59999999999999</v>
      </c>
      <c r="X26" s="28" t="n">
        <v>2616</v>
      </c>
      <c r="Y26" s="29" t="n">
        <v>43.81</v>
      </c>
      <c r="Z26" s="28" t="n">
        <v>36</v>
      </c>
      <c r="AA26" s="21" t="inlineStr">
        <is>
          <t>8T</t>
        </is>
      </c>
      <c r="AB26" s="21" t="inlineStr">
        <is>
          <t>5T</t>
        </is>
      </c>
      <c r="AC26" s="21" t="inlineStr">
        <is>
          <t>No</t>
        </is>
      </c>
      <c r="AD26" s="21" t="inlineStr">
        <is>
          <t>Yes</t>
        </is>
      </c>
      <c r="AE26" s="21" t="inlineStr">
        <is>
          <t>No</t>
        </is>
      </c>
      <c r="AF26" s="21" t="inlineStr">
        <is>
          <t>No</t>
        </is>
      </c>
      <c r="AG26" s="21" t="inlineStr">
        <is>
          <t>Đường đô thị Hải Phòng, xe 5T vào được</t>
        </is>
      </c>
      <c r="AH26" s="21" t="inlineStr">
        <is>
          <t>07:00</t>
        </is>
      </c>
      <c r="AI26" s="21" t="inlineStr">
        <is>
          <t>08:30</t>
        </is>
      </c>
      <c r="AJ26" s="21" t="inlineStr">
        <is>
          <t>10:42</t>
        </is>
      </c>
      <c r="AK26" s="21" t="inlineStr">
        <is>
          <t>13:42</t>
        </is>
      </c>
      <c r="AL26" s="22" t="n">
        <v>30</v>
      </c>
      <c r="AM26" s="22" t="n">
        <v>40</v>
      </c>
      <c r="AN26" s="22" t="n">
        <v>45</v>
      </c>
      <c r="AO26" s="22" t="n">
        <v>402</v>
      </c>
      <c r="AP26" s="31" t="n">
        <v>1800000</v>
      </c>
      <c r="AQ26" s="31" t="n">
        <v>0</v>
      </c>
      <c r="AR26" s="31" t="n">
        <v>120000</v>
      </c>
      <c r="AS26" s="28" t="n">
        <v>80000</v>
      </c>
      <c r="AT26" s="21" t="inlineStr">
        <is>
          <t>B - Thường</t>
        </is>
      </c>
      <c r="AU26" s="21" t="inlineStr">
        <is>
          <t>CR-ĐÔNG-01</t>
        </is>
      </c>
      <c r="AV26" s="21" t="inlineStr">
        <is>
          <t>Manual nhập điều phối</t>
        </is>
      </c>
      <c r="AW26" s="21" t="inlineStr">
        <is>
          <t>S3-C25</t>
        </is>
      </c>
      <c r="AX26" s="21" t="inlineStr">
        <is>
          <t>Split/Chuyển tải</t>
        </is>
      </c>
      <c r="AY26" s="21" t="inlineStr">
        <is>
          <t>Split Order/Chuyển tải hoặc xin xe nhỏ nhiều chuyến</t>
        </is>
      </c>
      <c r="AZ26" s="21" t="inlineStr">
        <is>
          <t>Review</t>
        </is>
      </c>
      <c r="BA26" s="21" t="inlineStr">
        <is>
          <t>Vehicle Mismatch</t>
        </is>
      </c>
      <c r="BB26" s="21">
        <f>AM26+AN26</f>
        <v/>
      </c>
      <c r="BC26" s="21">
        <f>ROUND(W26/'03_Cost_Constraints'!$B$4*60,0)</f>
        <v/>
      </c>
      <c r="BD26" s="21">
        <f>IF(X26&lt;=500,"5 tạ",IF(X26&lt;=1250,"1.25T",IF(X26&lt;=5000,"5T",IF(X26&lt;=8000,"8T",IF(X26&lt;=15000,"3 chân","4 chân")))))</f>
        <v/>
      </c>
      <c r="BE26" s="21">
        <f>IF((BB26+BC26)&lt;=AO26,"OK","Risk")</f>
        <v/>
      </c>
      <c r="BF26" s="21">
        <f>IF(AND(AZ26="OK",BE26="OK"),"Ready","Review")</f>
        <v/>
      </c>
      <c r="BG26" s="21" t="n"/>
    </row>
    <row r="27" ht="18" customHeight="1" s="17">
      <c r="A27" s="23" t="inlineStr">
        <is>
          <t>S3</t>
        </is>
      </c>
      <c r="B27" s="23" t="inlineStr">
        <is>
          <t>2026-06-05</t>
        </is>
      </c>
      <c r="C27" s="23" t="inlineStr">
        <is>
          <t>S3-ORD-026</t>
        </is>
      </c>
      <c r="D27" s="23" t="inlineStr">
        <is>
          <t>Acecook</t>
        </is>
      </c>
      <c r="E27" s="23" t="inlineStr">
        <is>
          <t>Siêu thị Ninh Bình</t>
        </is>
      </c>
      <c r="F27" s="23" t="inlineStr">
        <is>
          <t>ST</t>
        </is>
      </c>
      <c r="G27" s="23" t="inlineStr">
        <is>
          <t>MILK</t>
        </is>
      </c>
      <c r="H27" s="23" t="inlineStr">
        <is>
          <t>Sữa hộp carton</t>
        </is>
      </c>
      <c r="I27" s="23" t="inlineStr">
        <is>
          <t>PK_TH_QX</t>
        </is>
      </c>
      <c r="J27" s="23" t="inlineStr">
        <is>
          <t>Kho DC Thanh Hóa - Quảng Xương</t>
        </is>
      </c>
      <c r="K27" s="23" t="inlineStr">
        <is>
          <t>Thanh Hóa</t>
        </is>
      </c>
      <c r="L27" s="23" t="inlineStr">
        <is>
          <t>Quảng Xương</t>
        </is>
      </c>
      <c r="M27" s="24" t="n">
        <v>19.731</v>
      </c>
      <c r="N27" s="24" t="n">
        <v>105.815</v>
      </c>
      <c r="O27" s="23" t="inlineStr">
        <is>
          <t>DL_NB_SIEUTHI</t>
        </is>
      </c>
      <c r="P27" s="23" t="inlineStr">
        <is>
          <t>Siêu thị Ninh Bình</t>
        </is>
      </c>
      <c r="Q27" s="23" t="inlineStr">
        <is>
          <t>Ninh Bình</t>
        </is>
      </c>
      <c r="R27" s="23" t="inlineStr">
        <is>
          <t>Hoa Lư</t>
        </is>
      </c>
      <c r="S27" s="24" t="n">
        <v>20.250614</v>
      </c>
      <c r="T27" s="24" t="n">
        <v>105.974454</v>
      </c>
      <c r="U27" s="23" t="inlineStr">
        <is>
          <t>Bắc Trung Bộ</t>
        </is>
      </c>
      <c r="V27" s="23" t="inlineStr">
        <is>
          <t>Bắc Trung Bộ</t>
        </is>
      </c>
      <c r="W27" s="33" t="n">
        <v>80.09999999999999</v>
      </c>
      <c r="X27" s="32" t="n">
        <v>3531</v>
      </c>
      <c r="Y27" s="33" t="n">
        <v>10.13</v>
      </c>
      <c r="Z27" s="32" t="n">
        <v>8</v>
      </c>
      <c r="AA27" s="23" t="inlineStr">
        <is>
          <t>5T</t>
        </is>
      </c>
      <c r="AB27" s="23" t="inlineStr">
        <is>
          <t>8T</t>
        </is>
      </c>
      <c r="AC27" s="23" t="inlineStr">
        <is>
          <t>No</t>
        </is>
      </c>
      <c r="AD27" s="23" t="inlineStr">
        <is>
          <t>Yes</t>
        </is>
      </c>
      <c r="AE27" s="23" t="inlineStr">
        <is>
          <t>No</t>
        </is>
      </c>
      <c r="AF27" s="23" t="inlineStr">
        <is>
          <t>No</t>
        </is>
      </c>
      <c r="AG27" s="23" t="inlineStr">
        <is>
          <t>Xe 8T vào được</t>
        </is>
      </c>
      <c r="AH27" s="23" t="inlineStr">
        <is>
          <t>07:00</t>
        </is>
      </c>
      <c r="AI27" s="23" t="inlineStr">
        <is>
          <t>09:30</t>
        </is>
      </c>
      <c r="AJ27" s="23" t="inlineStr">
        <is>
          <t>10:16</t>
        </is>
      </c>
      <c r="AK27" s="23" t="inlineStr">
        <is>
          <t>12:16</t>
        </is>
      </c>
      <c r="AL27" s="24" t="n">
        <v>45</v>
      </c>
      <c r="AM27" s="24" t="n">
        <v>40</v>
      </c>
      <c r="AN27" s="24" t="n">
        <v>35</v>
      </c>
      <c r="AO27" s="24" t="n">
        <v>316</v>
      </c>
      <c r="AP27" s="35" t="n">
        <v>1920000</v>
      </c>
      <c r="AQ27" s="35" t="n">
        <v>0</v>
      </c>
      <c r="AR27" s="35" t="n">
        <v>0</v>
      </c>
      <c r="AS27" s="32" t="n">
        <v>80000</v>
      </c>
      <c r="AT27" s="23" t="inlineStr">
        <is>
          <t>B - Thường</t>
        </is>
      </c>
      <c r="AU27" s="23" t="inlineStr">
        <is>
          <t>CR-BẮCT-02</t>
        </is>
      </c>
      <c r="AV27" s="23" t="inlineStr">
        <is>
          <t>Excel khách hàng</t>
        </is>
      </c>
      <c r="AW27" s="23" t="inlineStr">
        <is>
          <t>S3-C26</t>
        </is>
      </c>
      <c r="AX27" s="23" t="inlineStr">
        <is>
          <t>5T</t>
        </is>
      </c>
      <c r="AY27" s="23" t="inlineStr">
        <is>
          <t>Send to Clustering</t>
        </is>
      </c>
      <c r="AZ27" s="23" t="inlineStr">
        <is>
          <t>OK</t>
        </is>
      </c>
      <c r="BA27" s="23" t="inlineStr">
        <is>
          <t>OK</t>
        </is>
      </c>
      <c r="BB27" s="23">
        <f>AM27+AN27</f>
        <v/>
      </c>
      <c r="BC27" s="23">
        <f>ROUND(W27/'03_Cost_Constraints'!$B$4*60,0)</f>
        <v/>
      </c>
      <c r="BD27" s="23">
        <f>IF(X27&lt;=500,"5 tạ",IF(X27&lt;=1250,"1.25T",IF(X27&lt;=5000,"5T",IF(X27&lt;=8000,"8T",IF(X27&lt;=15000,"3 chân","4 chân")))))</f>
        <v/>
      </c>
      <c r="BE27" s="23">
        <f>IF((BB27+BC27)&lt;=AO27,"OK","Risk")</f>
        <v/>
      </c>
      <c r="BF27" s="23">
        <f>IF(AND(AZ27="OK",BE27="OK"),"Ready","Review")</f>
        <v/>
      </c>
      <c r="BG27" s="23" t="n"/>
    </row>
    <row r="28" ht="18" customHeight="1" s="17">
      <c r="A28" s="21" t="inlineStr">
        <is>
          <t>S3</t>
        </is>
      </c>
      <c r="B28" s="21" t="inlineStr">
        <is>
          <t>2026-06-05</t>
        </is>
      </c>
      <c r="C28" s="21" t="inlineStr">
        <is>
          <t>S3-ORD-027</t>
        </is>
      </c>
      <c r="D28" s="21" t="inlineStr">
        <is>
          <t>Linfox</t>
        </is>
      </c>
      <c r="E28" s="21" t="inlineStr">
        <is>
          <t>VINMART Quế Võ</t>
        </is>
      </c>
      <c r="F28" s="21" t="inlineStr">
        <is>
          <t>ST</t>
        </is>
      </c>
      <c r="G28" s="21" t="inlineStr">
        <is>
          <t>LASG</t>
        </is>
      </c>
      <c r="H28" s="21" t="inlineStr">
        <is>
          <t>Bia lon Saigon Lager 330ml</t>
        </is>
      </c>
      <c r="I28" s="21" t="inlineStr">
        <is>
          <t>PK_HPL_LB</t>
        </is>
      </c>
      <c r="J28" s="21" t="inlineStr">
        <is>
          <t>HPL Depot Long Biên - 20 Thạch Bàn</t>
        </is>
      </c>
      <c r="K28" s="21" t="inlineStr">
        <is>
          <t>Hà Nội</t>
        </is>
      </c>
      <c r="L28" s="21" t="inlineStr">
        <is>
          <t>Long Biên</t>
        </is>
      </c>
      <c r="M28" s="22" t="n">
        <v>21.0261548385</v>
      </c>
      <c r="N28" s="22" t="n">
        <v>105.914182238</v>
      </c>
      <c r="O28" s="21" t="inlineStr">
        <is>
          <t>DL_BN_QUEVO_01</t>
        </is>
      </c>
      <c r="P28" s="21" t="inlineStr">
        <is>
          <t>VINMART Quế Võ</t>
        </is>
      </c>
      <c r="Q28" s="21" t="inlineStr">
        <is>
          <t>Bắc Ninh</t>
        </is>
      </c>
      <c r="R28" s="21" t="inlineStr">
        <is>
          <t>Quế Võ</t>
        </is>
      </c>
      <c r="S28" s="22" t="n">
        <v>21.170139</v>
      </c>
      <c r="T28" s="22" t="n">
        <v>106.102396</v>
      </c>
      <c r="U28" s="21" t="inlineStr">
        <is>
          <t>Đông Bắc</t>
        </is>
      </c>
      <c r="V28" s="21" t="inlineStr">
        <is>
          <t>Đông Bắc</t>
        </is>
      </c>
      <c r="W28" s="29" t="n">
        <v>40.2</v>
      </c>
      <c r="X28" s="28" t="n">
        <v>1906</v>
      </c>
      <c r="Y28" s="29" t="n">
        <v>4.64</v>
      </c>
      <c r="Z28" s="28" t="n">
        <v>3</v>
      </c>
      <c r="AA28" s="21" t="inlineStr">
        <is>
          <t>5T</t>
        </is>
      </c>
      <c r="AB28" s="21" t="inlineStr">
        <is>
          <t>8T</t>
        </is>
      </c>
      <c r="AC28" s="21" t="inlineStr">
        <is>
          <t>No</t>
        </is>
      </c>
      <c r="AD28" s="21" t="inlineStr">
        <is>
          <t>Yes</t>
        </is>
      </c>
      <c r="AE28" s="21" t="inlineStr">
        <is>
          <t>No</t>
        </is>
      </c>
      <c r="AF28" s="21" t="inlineStr">
        <is>
          <t>No</t>
        </is>
      </c>
      <c r="AG28" s="21" t="inlineStr">
        <is>
          <t>Đường rộng, xe 5T/8T vào được</t>
        </is>
      </c>
      <c r="AH28" s="21" t="inlineStr">
        <is>
          <t>08:30</t>
        </is>
      </c>
      <c r="AI28" s="21" t="inlineStr">
        <is>
          <t>11:00</t>
        </is>
      </c>
      <c r="AJ28" s="21" t="inlineStr">
        <is>
          <t>10:23</t>
        </is>
      </c>
      <c r="AK28" s="21" t="inlineStr">
        <is>
          <t>11:53</t>
        </is>
      </c>
      <c r="AL28" s="22" t="n">
        <v>45</v>
      </c>
      <c r="AM28" s="22" t="n">
        <v>40</v>
      </c>
      <c r="AN28" s="22" t="n">
        <v>35</v>
      </c>
      <c r="AO28" s="22" t="n">
        <v>203</v>
      </c>
      <c r="AP28" s="31" t="n">
        <v>1190000</v>
      </c>
      <c r="AQ28" s="31" t="n">
        <v>150000</v>
      </c>
      <c r="AR28" s="31" t="n">
        <v>0</v>
      </c>
      <c r="AS28" s="28" t="n">
        <v>150000</v>
      </c>
      <c r="AT28" s="21" t="inlineStr">
        <is>
          <t>A - SLA chặt</t>
        </is>
      </c>
      <c r="AU28" s="21" t="inlineStr">
        <is>
          <t>CR-ĐÔNG-03</t>
        </is>
      </c>
      <c r="AV28" s="21" t="inlineStr">
        <is>
          <t>Hệ thống khách hàng</t>
        </is>
      </c>
      <c r="AW28" s="21" t="inlineStr">
        <is>
          <t>S3-C27</t>
        </is>
      </c>
      <c r="AX28" s="21" t="inlineStr">
        <is>
          <t>5T</t>
        </is>
      </c>
      <c r="AY28" s="21" t="inlineStr">
        <is>
          <t>Send to Clustering</t>
        </is>
      </c>
      <c r="AZ28" s="21" t="inlineStr">
        <is>
          <t>OK</t>
        </is>
      </c>
      <c r="BA28" s="21" t="inlineStr">
        <is>
          <t>OK</t>
        </is>
      </c>
      <c r="BB28" s="21">
        <f>AM28+AN28</f>
        <v/>
      </c>
      <c r="BC28" s="21">
        <f>ROUND(W28/'03_Cost_Constraints'!$B$4*60,0)</f>
        <v/>
      </c>
      <c r="BD28" s="21">
        <f>IF(X28&lt;=500,"5 tạ",IF(X28&lt;=1250,"1.25T",IF(X28&lt;=5000,"5T",IF(X28&lt;=8000,"8T",IF(X28&lt;=15000,"3 chân","4 chân")))))</f>
        <v/>
      </c>
      <c r="BE28" s="21">
        <f>IF((BB28+BC28)&lt;=AO28,"OK","Risk")</f>
        <v/>
      </c>
      <c r="BF28" s="21">
        <f>IF(AND(AZ28="OK",BE28="OK"),"Ready","Review")</f>
        <v/>
      </c>
      <c r="BG28" s="21" t="n"/>
    </row>
    <row r="29" ht="18" customHeight="1" s="17">
      <c r="A29" s="23" t="inlineStr">
        <is>
          <t>S3</t>
        </is>
      </c>
      <c r="B29" s="23" t="inlineStr">
        <is>
          <t>2026-06-05</t>
        </is>
      </c>
      <c r="C29" s="23" t="inlineStr">
        <is>
          <t>S3-ORD-028</t>
        </is>
      </c>
      <c r="D29" s="23" t="inlineStr">
        <is>
          <t>Unilever</t>
        </is>
      </c>
      <c r="E29" s="23" t="inlineStr">
        <is>
          <t>LOTTE MART Ba Đình</t>
        </is>
      </c>
      <c r="F29" s="23" t="inlineStr">
        <is>
          <t>MT</t>
        </is>
      </c>
      <c r="G29" s="23" t="inlineStr">
        <is>
          <t>FMCG</t>
        </is>
      </c>
      <c r="H29" s="23" t="inlineStr">
        <is>
          <t>Hàng tiêu dùng nhanh hỗn hợp</t>
        </is>
      </c>
      <c r="I29" s="23" t="inlineStr">
        <is>
          <t>PK_HPL_LB</t>
        </is>
      </c>
      <c r="J29" s="23" t="inlineStr">
        <is>
          <t>HPL Depot Long Biên - 20 Thạch Bàn</t>
        </is>
      </c>
      <c r="K29" s="23" t="inlineStr">
        <is>
          <t>Hà Nội</t>
        </is>
      </c>
      <c r="L29" s="23" t="inlineStr">
        <is>
          <t>Long Biên</t>
        </is>
      </c>
      <c r="M29" s="24" t="n">
        <v>21.0261548385</v>
      </c>
      <c r="N29" s="24" t="n">
        <v>105.914182238</v>
      </c>
      <c r="O29" s="23" t="inlineStr">
        <is>
          <t>DL_HN_LOTTE_BD</t>
        </is>
      </c>
      <c r="P29" s="23" t="inlineStr">
        <is>
          <t>LOTTE MART Ba Đình</t>
        </is>
      </c>
      <c r="Q29" s="23" t="inlineStr">
        <is>
          <t>Hà Nội</t>
        </is>
      </c>
      <c r="R29" s="23" t="inlineStr">
        <is>
          <t>Ba Đình</t>
        </is>
      </c>
      <c r="S29" s="24" t="n">
        <v>21.032177</v>
      </c>
      <c r="T29" s="24" t="n">
        <v>105.812441</v>
      </c>
      <c r="U29" s="23" t="inlineStr">
        <is>
          <t>Nội thành Hà Nội</t>
        </is>
      </c>
      <c r="V29" s="23" t="inlineStr">
        <is>
          <t>Nội thành Hà Nội</t>
        </is>
      </c>
      <c r="W29" s="33" t="n">
        <v>21.4</v>
      </c>
      <c r="X29" s="32" t="n">
        <v>2249</v>
      </c>
      <c r="Y29" s="33" t="n">
        <v>11.28</v>
      </c>
      <c r="Z29" s="32" t="n">
        <v>9</v>
      </c>
      <c r="AA29" s="23" t="inlineStr">
        <is>
          <t>5T</t>
        </is>
      </c>
      <c r="AB29" s="23" t="inlineStr">
        <is>
          <t>1.25T</t>
        </is>
      </c>
      <c r="AC29" s="23" t="inlineStr">
        <is>
          <t>No</t>
        </is>
      </c>
      <c r="AD29" s="23" t="inlineStr">
        <is>
          <t>Yes</t>
        </is>
      </c>
      <c r="AE29" s="23" t="inlineStr">
        <is>
          <t>No</t>
        </is>
      </c>
      <c r="AF29" s="23" t="inlineStr">
        <is>
          <t>Yes</t>
        </is>
      </c>
      <c r="AG29" s="23" t="inlineStr">
        <is>
          <t>Giờ cấm tải, ưu tiên xe 1.25T</t>
        </is>
      </c>
      <c r="AH29" s="23" t="inlineStr">
        <is>
          <t>07:00</t>
        </is>
      </c>
      <c r="AI29" s="23" t="inlineStr">
        <is>
          <t>08:30</t>
        </is>
      </c>
      <c r="AJ29" s="23" t="inlineStr">
        <is>
          <t>07:56</t>
        </is>
      </c>
      <c r="AK29" s="23" t="inlineStr">
        <is>
          <t>09:26</t>
        </is>
      </c>
      <c r="AL29" s="24" t="n">
        <v>45</v>
      </c>
      <c r="AM29" s="24" t="n">
        <v>40</v>
      </c>
      <c r="AN29" s="24" t="n">
        <v>45</v>
      </c>
      <c r="AO29" s="24" t="n">
        <v>146</v>
      </c>
      <c r="AP29" s="35" t="n">
        <v>1020000</v>
      </c>
      <c r="AQ29" s="35" t="n">
        <v>0</v>
      </c>
      <c r="AR29" s="35" t="n">
        <v>120000</v>
      </c>
      <c r="AS29" s="32" t="n">
        <v>80000</v>
      </c>
      <c r="AT29" s="23" t="inlineStr">
        <is>
          <t>B - Thường</t>
        </is>
      </c>
      <c r="AU29" s="23" t="inlineStr">
        <is>
          <t>CR-NỘIT-04</t>
        </is>
      </c>
      <c r="AV29" s="23" t="inlineStr">
        <is>
          <t>Zalo/Email plan 17:00</t>
        </is>
      </c>
      <c r="AW29" s="23" t="inlineStr">
        <is>
          <t>S3-C28</t>
        </is>
      </c>
      <c r="AX29" s="23" t="inlineStr">
        <is>
          <t>Split/Chuyển tải</t>
        </is>
      </c>
      <c r="AY29" s="23" t="inlineStr">
        <is>
          <t>Split Order/Chuyển tải hoặc xin xe nhỏ nhiều chuyến</t>
        </is>
      </c>
      <c r="AZ29" s="23" t="inlineStr">
        <is>
          <t>Review</t>
        </is>
      </c>
      <c r="BA29" s="23" t="inlineStr">
        <is>
          <t>Vehicle Mismatch</t>
        </is>
      </c>
      <c r="BB29" s="23">
        <f>AM29+AN29</f>
        <v/>
      </c>
      <c r="BC29" s="23">
        <f>ROUND(W29/'03_Cost_Constraints'!$B$4*60,0)</f>
        <v/>
      </c>
      <c r="BD29" s="23">
        <f>IF(X29&lt;=500,"5 tạ",IF(X29&lt;=1250,"1.25T",IF(X29&lt;=5000,"5T",IF(X29&lt;=8000,"8T",IF(X29&lt;=15000,"3 chân","4 chân")))))</f>
        <v/>
      </c>
      <c r="BE29" s="23">
        <f>IF((BB29+BC29)&lt;=AO29,"OK","Risk")</f>
        <v/>
      </c>
      <c r="BF29" s="23">
        <f>IF(AND(AZ29="OK",BE29="OK"),"Ready","Review")</f>
        <v/>
      </c>
      <c r="BG29" s="23" t="inlineStr">
        <is>
          <t>Lead time hẹp, cần cảnh báo hoặc xin nới giờ</t>
        </is>
      </c>
    </row>
    <row r="30" ht="18" customHeight="1" s="17">
      <c r="A30" s="21" t="inlineStr">
        <is>
          <t>S3</t>
        </is>
      </c>
      <c r="B30" s="21" t="inlineStr">
        <is>
          <t>2026-06-05</t>
        </is>
      </c>
      <c r="C30" s="21" t="inlineStr">
        <is>
          <t>S3-ORD-029</t>
        </is>
      </c>
      <c r="D30" s="21" t="inlineStr">
        <is>
          <t>VinCommerce</t>
        </is>
      </c>
      <c r="E30" s="21" t="inlineStr">
        <is>
          <t>VINMART Trương Định</t>
        </is>
      </c>
      <c r="F30" s="21" t="inlineStr">
        <is>
          <t>ST</t>
        </is>
      </c>
      <c r="G30" s="21" t="inlineStr">
        <is>
          <t>SP33</t>
        </is>
      </c>
      <c r="H30" s="21" t="inlineStr">
        <is>
          <t>Bia lon Saigon Special</t>
        </is>
      </c>
      <c r="I30" s="21" t="inlineStr">
        <is>
          <t>PK_HPL_LB</t>
        </is>
      </c>
      <c r="J30" s="21" t="inlineStr">
        <is>
          <t>HPL Depot Long Biên - 20 Thạch Bàn</t>
        </is>
      </c>
      <c r="K30" s="21" t="inlineStr">
        <is>
          <t>Hà Nội</t>
        </is>
      </c>
      <c r="L30" s="21" t="inlineStr">
        <is>
          <t>Long Biên</t>
        </is>
      </c>
      <c r="M30" s="22" t="n">
        <v>21.0261548385</v>
      </c>
      <c r="N30" s="22" t="n">
        <v>105.914182238</v>
      </c>
      <c r="O30" s="21" t="inlineStr">
        <is>
          <t>DL_HN_TRUONGDINH</t>
        </is>
      </c>
      <c r="P30" s="21" t="inlineStr">
        <is>
          <t>VINMART Trương Định</t>
        </is>
      </c>
      <c r="Q30" s="21" t="inlineStr">
        <is>
          <t>Hà Nội</t>
        </is>
      </c>
      <c r="R30" s="21" t="inlineStr">
        <is>
          <t>Hoàng Mai</t>
        </is>
      </c>
      <c r="S30" s="22" t="n">
        <v>20.979293</v>
      </c>
      <c r="T30" s="22" t="n">
        <v>105.844708</v>
      </c>
      <c r="U30" s="21" t="inlineStr">
        <is>
          <t>Nội thành Hà Nội</t>
        </is>
      </c>
      <c r="V30" s="21" t="inlineStr">
        <is>
          <t>Nội thành Hà Nội</t>
        </is>
      </c>
      <c r="W30" s="29" t="n">
        <v>16.8</v>
      </c>
      <c r="X30" s="28" t="n">
        <v>271</v>
      </c>
      <c r="Y30" s="29" t="n">
        <v>0.76</v>
      </c>
      <c r="Z30" s="28" t="n">
        <v>1</v>
      </c>
      <c r="AA30" s="21" t="inlineStr">
        <is>
          <t>5 tạ</t>
        </is>
      </c>
      <c r="AB30" s="21" t="inlineStr">
        <is>
          <t>1.25T</t>
        </is>
      </c>
      <c r="AC30" s="21" t="inlineStr">
        <is>
          <t>No</t>
        </is>
      </c>
      <c r="AD30" s="21" t="inlineStr">
        <is>
          <t>Yes</t>
        </is>
      </c>
      <c r="AE30" s="21" t="inlineStr">
        <is>
          <t>No</t>
        </is>
      </c>
      <c r="AF30" s="21" t="inlineStr">
        <is>
          <t>Yes</t>
        </is>
      </c>
      <c r="AG30" s="21" t="inlineStr">
        <is>
          <t>Đường nhỏ, khó quay đầu</t>
        </is>
      </c>
      <c r="AH30" s="21" t="inlineStr">
        <is>
          <t>07:00</t>
        </is>
      </c>
      <c r="AI30" s="21" t="inlineStr">
        <is>
          <t>09:00</t>
        </is>
      </c>
      <c r="AJ30" s="21" t="inlineStr">
        <is>
          <t>08:13</t>
        </is>
      </c>
      <c r="AK30" s="21" t="inlineStr">
        <is>
          <t>09:43</t>
        </is>
      </c>
      <c r="AL30" s="22" t="n">
        <v>45</v>
      </c>
      <c r="AM30" s="22" t="n">
        <v>25</v>
      </c>
      <c r="AN30" s="22" t="n">
        <v>20</v>
      </c>
      <c r="AO30" s="22" t="n">
        <v>163</v>
      </c>
      <c r="AP30" s="31" t="n">
        <v>470000</v>
      </c>
      <c r="AQ30" s="31" t="n">
        <v>0</v>
      </c>
      <c r="AR30" s="31" t="n">
        <v>0</v>
      </c>
      <c r="AS30" s="28" t="n">
        <v>80000</v>
      </c>
      <c r="AT30" s="21" t="inlineStr">
        <is>
          <t>C - Có thể thương lượng</t>
        </is>
      </c>
      <c r="AU30" s="21" t="inlineStr">
        <is>
          <t>CR-NỘIT-05</t>
        </is>
      </c>
      <c r="AV30" s="21" t="inlineStr">
        <is>
          <t>Manual nhập điều phối</t>
        </is>
      </c>
      <c r="AW30" s="21" t="inlineStr">
        <is>
          <t>S3-C29</t>
        </is>
      </c>
      <c r="AX30" s="21" t="inlineStr">
        <is>
          <t>5 tạ</t>
        </is>
      </c>
      <c r="AY30" s="21" t="inlineStr">
        <is>
          <t>Send to Clustering</t>
        </is>
      </c>
      <c r="AZ30" s="21" t="inlineStr">
        <is>
          <t>OK</t>
        </is>
      </c>
      <c r="BA30" s="21" t="inlineStr">
        <is>
          <t>Cấm tải/đường nhỏ - đã chọn xe nhỏ</t>
        </is>
      </c>
      <c r="BB30" s="21">
        <f>AM30+AN30</f>
        <v/>
      </c>
      <c r="BC30" s="21">
        <f>ROUND(W30/'03_Cost_Constraints'!$B$4*60,0)</f>
        <v/>
      </c>
      <c r="BD30" s="21">
        <f>IF(X30&lt;=500,"5 tạ",IF(X30&lt;=1250,"1.25T",IF(X30&lt;=5000,"5T",IF(X30&lt;=8000,"8T",IF(X30&lt;=15000,"3 chân","4 chân")))))</f>
        <v/>
      </c>
      <c r="BE30" s="21">
        <f>IF((BB30+BC30)&lt;=AO30,"OK","Risk")</f>
        <v/>
      </c>
      <c r="BF30" s="21">
        <f>IF(AND(AZ30="OK",BE30="OK"),"Ready","Review")</f>
        <v/>
      </c>
      <c r="BG30" s="21" t="n"/>
    </row>
    <row r="31" ht="18" customHeight="1" s="17">
      <c r="A31" s="23" t="inlineStr">
        <is>
          <t>S3</t>
        </is>
      </c>
      <c r="B31" s="23" t="inlineStr">
        <is>
          <t>2026-06-05</t>
        </is>
      </c>
      <c r="C31" s="23" t="inlineStr">
        <is>
          <t>S3-ORD-030</t>
        </is>
      </c>
      <c r="D31" s="23" t="inlineStr">
        <is>
          <t>Masan</t>
        </is>
      </c>
      <c r="E31" s="23" t="inlineStr">
        <is>
          <t>MM Hồng Bàng</t>
        </is>
      </c>
      <c r="F31" s="23" t="inlineStr">
        <is>
          <t>MT</t>
        </is>
      </c>
      <c r="G31" s="23" t="inlineStr">
        <is>
          <t>LASG</t>
        </is>
      </c>
      <c r="H31" s="23" t="inlineStr">
        <is>
          <t>Bia lon Saigon Lager 330ml</t>
        </is>
      </c>
      <c r="I31" s="23" t="inlineStr">
        <is>
          <t>PK_LINFOX_VSIP</t>
        </is>
      </c>
      <c r="J31" s="23" t="inlineStr">
        <is>
          <t>Kho Linfox KCN VSIP Bắc Ninh</t>
        </is>
      </c>
      <c r="K31" s="23" t="inlineStr">
        <is>
          <t>Bắc Ninh</t>
        </is>
      </c>
      <c r="L31" s="23" t="inlineStr">
        <is>
          <t>Từ Sơn</t>
        </is>
      </c>
      <c r="M31" s="24" t="n">
        <v>21.082707</v>
      </c>
      <c r="N31" s="24" t="n">
        <v>105.997949</v>
      </c>
      <c r="O31" s="23" t="inlineStr">
        <is>
          <t>DL_HP_HONGBANG</t>
        </is>
      </c>
      <c r="P31" s="23" t="inlineStr">
        <is>
          <t>MM Hồng Bàng</t>
        </is>
      </c>
      <c r="Q31" s="23" t="inlineStr">
        <is>
          <t>Hải Phòng</t>
        </is>
      </c>
      <c r="R31" s="23" t="inlineStr">
        <is>
          <t>Hồng Bàng</t>
        </is>
      </c>
      <c r="S31" s="24" t="n">
        <v>20.856112</v>
      </c>
      <c r="T31" s="24" t="n">
        <v>106.682239</v>
      </c>
      <c r="U31" s="23" t="inlineStr">
        <is>
          <t>Đông Bắc</t>
        </is>
      </c>
      <c r="V31" s="23" t="inlineStr">
        <is>
          <t>Đông Bắc</t>
        </is>
      </c>
      <c r="W31" s="33" t="n">
        <v>101</v>
      </c>
      <c r="X31" s="32" t="n">
        <v>1138</v>
      </c>
      <c r="Y31" s="33" t="n">
        <v>2.04</v>
      </c>
      <c r="Z31" s="32" t="n">
        <v>1</v>
      </c>
      <c r="AA31" s="23" t="inlineStr">
        <is>
          <t>1.25T</t>
        </is>
      </c>
      <c r="AB31" s="23" t="inlineStr">
        <is>
          <t>5T</t>
        </is>
      </c>
      <c r="AC31" s="23" t="inlineStr">
        <is>
          <t>No</t>
        </is>
      </c>
      <c r="AD31" s="23" t="inlineStr">
        <is>
          <t>Yes</t>
        </is>
      </c>
      <c r="AE31" s="23" t="inlineStr">
        <is>
          <t>No</t>
        </is>
      </c>
      <c r="AF31" s="23" t="inlineStr">
        <is>
          <t>No</t>
        </is>
      </c>
      <c r="AG31" s="23" t="inlineStr">
        <is>
          <t>Đường đô thị Hải Phòng, xe 5T vào được</t>
        </is>
      </c>
      <c r="AH31" s="23" t="inlineStr">
        <is>
          <t>08:30</t>
        </is>
      </c>
      <c r="AI31" s="23" t="inlineStr">
        <is>
          <t>10:30</t>
        </is>
      </c>
      <c r="AJ31" s="23" t="inlineStr">
        <is>
          <t>12:29</t>
        </is>
      </c>
      <c r="AK31" s="23" t="inlineStr">
        <is>
          <t>13:59</t>
        </is>
      </c>
      <c r="AL31" s="24" t="n">
        <v>30</v>
      </c>
      <c r="AM31" s="24" t="n">
        <v>25</v>
      </c>
      <c r="AN31" s="24" t="n">
        <v>30</v>
      </c>
      <c r="AO31" s="24" t="n">
        <v>329</v>
      </c>
      <c r="AP31" s="35" t="n">
        <v>1390000</v>
      </c>
      <c r="AQ31" s="35" t="n">
        <v>0</v>
      </c>
      <c r="AR31" s="35" t="n">
        <v>120000</v>
      </c>
      <c r="AS31" s="32" t="n">
        <v>80000</v>
      </c>
      <c r="AT31" s="23" t="inlineStr">
        <is>
          <t>B - Thường</t>
        </is>
      </c>
      <c r="AU31" s="23" t="inlineStr">
        <is>
          <t>CR-ĐÔNG-01</t>
        </is>
      </c>
      <c r="AV31" s="23" t="inlineStr">
        <is>
          <t>Excel khách hàng</t>
        </is>
      </c>
      <c r="AW31" s="23" t="inlineStr">
        <is>
          <t>S3-C29</t>
        </is>
      </c>
      <c r="AX31" s="23" t="inlineStr">
        <is>
          <t>1.25T</t>
        </is>
      </c>
      <c r="AY31" s="23" t="inlineStr">
        <is>
          <t>Send to Clustering</t>
        </is>
      </c>
      <c r="AZ31" s="23" t="inlineStr">
        <is>
          <t>OK</t>
        </is>
      </c>
      <c r="BA31" s="23" t="inlineStr">
        <is>
          <t>Empty-run &gt;100km cần tìm chuyến về</t>
        </is>
      </c>
      <c r="BB31" s="23">
        <f>AM31+AN31</f>
        <v/>
      </c>
      <c r="BC31" s="23">
        <f>ROUND(W31/'03_Cost_Constraints'!$B$4*60,0)</f>
        <v/>
      </c>
      <c r="BD31" s="23">
        <f>IF(X31&lt;=500,"5 tạ",IF(X31&lt;=1250,"1.25T",IF(X31&lt;=5000,"5T",IF(X31&lt;=8000,"8T",IF(X31&lt;=15000,"3 chân","4 chân")))))</f>
        <v/>
      </c>
      <c r="BE31" s="23">
        <f>IF((BB31+BC31)&lt;=AO31,"OK","Risk")</f>
        <v/>
      </c>
      <c r="BF31" s="23">
        <f>IF(AND(AZ31="OK",BE31="OK"),"Ready","Review")</f>
        <v/>
      </c>
      <c r="BG31" s="23" t="n"/>
    </row>
    <row r="32" ht="18" customHeight="1" s="17">
      <c r="A32" s="21" t="inlineStr">
        <is>
          <t>S3</t>
        </is>
      </c>
      <c r="B32" s="21" t="inlineStr">
        <is>
          <t>2026-06-05</t>
        </is>
      </c>
      <c r="C32" s="21" t="inlineStr">
        <is>
          <t>S3-ORD-031</t>
        </is>
      </c>
      <c r="D32" s="21" t="inlineStr">
        <is>
          <t>Sabeco</t>
        </is>
      </c>
      <c r="E32" s="21" t="inlineStr">
        <is>
          <t>GO! Hà Nam</t>
        </is>
      </c>
      <c r="F32" s="21" t="inlineStr">
        <is>
          <t>MT</t>
        </is>
      </c>
      <c r="G32" s="21" t="inlineStr">
        <is>
          <t>CHCA</t>
        </is>
      </c>
      <c r="H32" s="21" t="inlineStr">
        <is>
          <t>Bia lon Saigon Chill</t>
        </is>
      </c>
      <c r="I32" s="21" t="inlineStr">
        <is>
          <t>PK_HPL_LB</t>
        </is>
      </c>
      <c r="J32" s="21" t="inlineStr">
        <is>
          <t>HPL Depot Long Biên - 20 Thạch Bàn</t>
        </is>
      </c>
      <c r="K32" s="21" t="inlineStr">
        <is>
          <t>Hà Nội</t>
        </is>
      </c>
      <c r="L32" s="21" t="inlineStr">
        <is>
          <t>Long Biên</t>
        </is>
      </c>
      <c r="M32" s="22" t="n">
        <v>21.0261548385</v>
      </c>
      <c r="N32" s="22" t="n">
        <v>105.914182238</v>
      </c>
      <c r="O32" s="21" t="inlineStr">
        <is>
          <t>DL_HN_GO_HANAM</t>
        </is>
      </c>
      <c r="P32" s="21" t="inlineStr">
        <is>
          <t>GO! Hà Nam</t>
        </is>
      </c>
      <c r="Q32" s="21" t="inlineStr">
        <is>
          <t>Ninh Bình</t>
        </is>
      </c>
      <c r="R32" s="21" t="inlineStr">
        <is>
          <t>Phủ Lý</t>
        </is>
      </c>
      <c r="S32" s="22" t="n">
        <v>20.541</v>
      </c>
      <c r="T32" s="22" t="n">
        <v>105.913</v>
      </c>
      <c r="U32" s="21" t="inlineStr">
        <is>
          <t>Bắc Trung Bộ</t>
        </is>
      </c>
      <c r="V32" s="21" t="inlineStr">
        <is>
          <t>Bắc Trung Bộ</t>
        </is>
      </c>
      <c r="W32" s="29" t="n">
        <v>75.59999999999999</v>
      </c>
      <c r="X32" s="28" t="n">
        <v>1826</v>
      </c>
      <c r="Y32" s="29" t="n">
        <v>3.26</v>
      </c>
      <c r="Z32" s="28" t="n">
        <v>2</v>
      </c>
      <c r="AA32" s="21" t="inlineStr">
        <is>
          <t>5T</t>
        </is>
      </c>
      <c r="AB32" s="21" t="inlineStr">
        <is>
          <t>8T</t>
        </is>
      </c>
      <c r="AC32" s="21" t="inlineStr">
        <is>
          <t>No</t>
        </is>
      </c>
      <c r="AD32" s="21" t="inlineStr">
        <is>
          <t>Yes</t>
        </is>
      </c>
      <c r="AE32" s="21" t="inlineStr">
        <is>
          <t>No</t>
        </is>
      </c>
      <c r="AF32" s="21" t="inlineStr">
        <is>
          <t>No</t>
        </is>
      </c>
      <c r="AG32" s="21" t="inlineStr">
        <is>
          <t>Xe 5T/8T vào được</t>
        </is>
      </c>
      <c r="AH32" s="21" t="inlineStr">
        <is>
          <t>07:30</t>
        </is>
      </c>
      <c r="AI32" s="21" t="inlineStr">
        <is>
          <t>09:00</t>
        </is>
      </c>
      <c r="AJ32" s="21" t="inlineStr">
        <is>
          <t>10:10</t>
        </is>
      </c>
      <c r="AK32" s="21" t="inlineStr">
        <is>
          <t>13:10</t>
        </is>
      </c>
      <c r="AL32" s="22" t="n">
        <v>30</v>
      </c>
      <c r="AM32" s="22" t="n">
        <v>40</v>
      </c>
      <c r="AN32" s="22" t="n">
        <v>45</v>
      </c>
      <c r="AO32" s="22" t="n">
        <v>340</v>
      </c>
      <c r="AP32" s="31" t="n">
        <v>1310000</v>
      </c>
      <c r="AQ32" s="31" t="n">
        <v>0</v>
      </c>
      <c r="AR32" s="31" t="n">
        <v>120000</v>
      </c>
      <c r="AS32" s="28" t="n">
        <v>80000</v>
      </c>
      <c r="AT32" s="21" t="inlineStr">
        <is>
          <t>C - Có thể thương lượng</t>
        </is>
      </c>
      <c r="AU32" s="21" t="inlineStr">
        <is>
          <t>CR-BẮCT-02</t>
        </is>
      </c>
      <c r="AV32" s="21" t="inlineStr">
        <is>
          <t>Hệ thống khách hàng</t>
        </is>
      </c>
      <c r="AW32" s="21" t="inlineStr">
        <is>
          <t>S3-C31</t>
        </is>
      </c>
      <c r="AX32" s="21" t="inlineStr">
        <is>
          <t>5T</t>
        </is>
      </c>
      <c r="AY32" s="21" t="inlineStr">
        <is>
          <t>Send to Clustering</t>
        </is>
      </c>
      <c r="AZ32" s="21" t="inlineStr">
        <is>
          <t>OK</t>
        </is>
      </c>
      <c r="BA32" s="21" t="inlineStr">
        <is>
          <t>OK</t>
        </is>
      </c>
      <c r="BB32" s="21">
        <f>AM32+AN32</f>
        <v/>
      </c>
      <c r="BC32" s="21">
        <f>ROUND(W32/'03_Cost_Constraints'!$B$4*60,0)</f>
        <v/>
      </c>
      <c r="BD32" s="21">
        <f>IF(X32&lt;=500,"5 tạ",IF(X32&lt;=1250,"1.25T",IF(X32&lt;=5000,"5T",IF(X32&lt;=8000,"8T",IF(X32&lt;=15000,"3 chân","4 chân")))))</f>
        <v/>
      </c>
      <c r="BE32" s="21">
        <f>IF((BB32+BC32)&lt;=AO32,"OK","Risk")</f>
        <v/>
      </c>
      <c r="BF32" s="21">
        <f>IF(AND(AZ32="OK",BE32="OK"),"Ready","Review")</f>
        <v/>
      </c>
      <c r="BG32" s="21" t="n"/>
    </row>
    <row r="33" ht="18" customHeight="1" s="17">
      <c r="A33" s="23" t="inlineStr">
        <is>
          <t>S3</t>
        </is>
      </c>
      <c r="B33" s="23" t="inlineStr">
        <is>
          <t>2026-06-05</t>
        </is>
      </c>
      <c r="C33" s="23" t="inlineStr">
        <is>
          <t>S3-ORD-032</t>
        </is>
      </c>
      <c r="D33" s="23" t="inlineStr">
        <is>
          <t>Sabeco</t>
        </is>
      </c>
      <c r="E33" s="23" t="inlineStr">
        <is>
          <t>Thái Dương</t>
        </is>
      </c>
      <c r="F33" s="23" t="inlineStr">
        <is>
          <t>Đại lý</t>
        </is>
      </c>
      <c r="G33" s="23" t="inlineStr">
        <is>
          <t>NOODLE</t>
        </is>
      </c>
      <c r="H33" s="23" t="inlineStr">
        <is>
          <t>Mì gói/Acecook carton</t>
        </is>
      </c>
      <c r="I33" s="23" t="inlineStr">
        <is>
          <t>PK_LINFOX_VSIP</t>
        </is>
      </c>
      <c r="J33" s="23" t="inlineStr">
        <is>
          <t>Kho Linfox KCN VSIP Bắc Ninh</t>
        </is>
      </c>
      <c r="K33" s="23" t="inlineStr">
        <is>
          <t>Bắc Ninh</t>
        </is>
      </c>
      <c r="L33" s="23" t="inlineStr">
        <is>
          <t>Từ Sơn</t>
        </is>
      </c>
      <c r="M33" s="24" t="n">
        <v>21.082707</v>
      </c>
      <c r="N33" s="24" t="n">
        <v>105.997949</v>
      </c>
      <c r="O33" s="23" t="inlineStr">
        <is>
          <t>DL_HN_THAIDUONG</t>
        </is>
      </c>
      <c r="P33" s="23" t="inlineStr">
        <is>
          <t>Thái Dương</t>
        </is>
      </c>
      <c r="Q33" s="23" t="inlineStr">
        <is>
          <t>Hà Nội</t>
        </is>
      </c>
      <c r="R33" s="23" t="inlineStr">
        <is>
          <t>Hà Nội</t>
        </is>
      </c>
      <c r="S33" s="24" t="n">
        <v>20.929215</v>
      </c>
      <c r="T33" s="24" t="n">
        <v>105.869998</v>
      </c>
      <c r="U33" s="23" t="inlineStr">
        <is>
          <t>Nội thành Hà Nội</t>
        </is>
      </c>
      <c r="V33" s="23" t="inlineStr">
        <is>
          <t>Nội thành Hà Nội</t>
        </is>
      </c>
      <c r="W33" s="33" t="n">
        <v>37.2</v>
      </c>
      <c r="X33" s="32" t="n">
        <v>472</v>
      </c>
      <c r="Y33" s="33" t="n">
        <v>3.17</v>
      </c>
      <c r="Z33" s="32" t="n">
        <v>2</v>
      </c>
      <c r="AA33" s="23" t="inlineStr">
        <is>
          <t>5 tạ</t>
        </is>
      </c>
      <c r="AB33" s="23" t="inlineStr">
        <is>
          <t>1.25T</t>
        </is>
      </c>
      <c r="AC33" s="23" t="inlineStr">
        <is>
          <t>No</t>
        </is>
      </c>
      <c r="AD33" s="23" t="inlineStr">
        <is>
          <t>Yes</t>
        </is>
      </c>
      <c r="AE33" s="23" t="inlineStr">
        <is>
          <t>No</t>
        </is>
      </c>
      <c r="AF33" s="23" t="inlineStr">
        <is>
          <t>Yes</t>
        </is>
      </c>
      <c r="AG33" s="23" t="inlineStr">
        <is>
          <t>Đường nhỏ, ưu tiên xe &lt;=1.25T</t>
        </is>
      </c>
      <c r="AH33" s="23" t="inlineStr">
        <is>
          <t>07:00</t>
        </is>
      </c>
      <c r="AI33" s="23" t="inlineStr">
        <is>
          <t>09:30</t>
        </is>
      </c>
      <c r="AJ33" s="23" t="inlineStr">
        <is>
          <t>08:48</t>
        </is>
      </c>
      <c r="AK33" s="23" t="inlineStr">
        <is>
          <t>10:48</t>
        </is>
      </c>
      <c r="AL33" s="24" t="n">
        <v>30</v>
      </c>
      <c r="AM33" s="24" t="n">
        <v>25</v>
      </c>
      <c r="AN33" s="24" t="n">
        <v>20</v>
      </c>
      <c r="AO33" s="24" t="n">
        <v>228</v>
      </c>
      <c r="AP33" s="35" t="n">
        <v>530000</v>
      </c>
      <c r="AQ33" s="35" t="n">
        <v>0</v>
      </c>
      <c r="AR33" s="35" t="n">
        <v>0</v>
      </c>
      <c r="AS33" s="32" t="n">
        <v>80000</v>
      </c>
      <c r="AT33" s="23" t="inlineStr">
        <is>
          <t>B - Thường</t>
        </is>
      </c>
      <c r="AU33" s="23" t="inlineStr">
        <is>
          <t>CR-NỘIT-03</t>
        </is>
      </c>
      <c r="AV33" s="23" t="inlineStr">
        <is>
          <t>Zalo/Email plan 17:00</t>
        </is>
      </c>
      <c r="AW33" s="23" t="inlineStr">
        <is>
          <t>S3-C32</t>
        </is>
      </c>
      <c r="AX33" s="23" t="inlineStr">
        <is>
          <t>5 tạ</t>
        </is>
      </c>
      <c r="AY33" s="23" t="inlineStr">
        <is>
          <t>Send to Clustering</t>
        </is>
      </c>
      <c r="AZ33" s="23" t="inlineStr">
        <is>
          <t>OK</t>
        </is>
      </c>
      <c r="BA33" s="23" t="inlineStr">
        <is>
          <t>Cấm tải/đường nhỏ - đã chọn xe nhỏ</t>
        </is>
      </c>
      <c r="BB33" s="23">
        <f>AM33+AN33</f>
        <v/>
      </c>
      <c r="BC33" s="23">
        <f>ROUND(W33/'03_Cost_Constraints'!$B$4*60,0)</f>
        <v/>
      </c>
      <c r="BD33" s="23">
        <f>IF(X33&lt;=500,"5 tạ",IF(X33&lt;=1250,"1.25T",IF(X33&lt;=5000,"5T",IF(X33&lt;=8000,"8T",IF(X33&lt;=15000,"3 chân","4 chân")))))</f>
        <v/>
      </c>
      <c r="BE33" s="23">
        <f>IF((BB33+BC33)&lt;=AO33,"OK","Risk")</f>
        <v/>
      </c>
      <c r="BF33" s="23">
        <f>IF(AND(AZ33="OK",BE33="OK"),"Ready","Review")</f>
        <v/>
      </c>
      <c r="BG33" s="23" t="inlineStr">
        <is>
          <t>Kế hoạch ngày hôm sau; cần chốt trước 19:00 và gửi tài xế sau duyệt</t>
        </is>
      </c>
    </row>
    <row r="34" ht="18" customHeight="1" s="17">
      <c r="A34" s="21" t="inlineStr">
        <is>
          <t>S3</t>
        </is>
      </c>
      <c r="B34" s="21" t="inlineStr">
        <is>
          <t>2026-06-05</t>
        </is>
      </c>
      <c r="C34" s="21" t="inlineStr">
        <is>
          <t>S3-ORD-033</t>
        </is>
      </c>
      <c r="D34" s="21" t="inlineStr">
        <is>
          <t>Sabeco</t>
        </is>
      </c>
      <c r="E34" s="21" t="inlineStr">
        <is>
          <t>VINMART Uông Bí</t>
        </is>
      </c>
      <c r="F34" s="21" t="inlineStr">
        <is>
          <t>ST</t>
        </is>
      </c>
      <c r="G34" s="21" t="inlineStr">
        <is>
          <t>MILK</t>
        </is>
      </c>
      <c r="H34" s="21" t="inlineStr">
        <is>
          <t>Sữa hộp carton</t>
        </is>
      </c>
      <c r="I34" s="21" t="inlineStr">
        <is>
          <t>PK_HPL_LB</t>
        </is>
      </c>
      <c r="J34" s="21" t="inlineStr">
        <is>
          <t>HPL Depot Long Biên - 20 Thạch Bàn</t>
        </is>
      </c>
      <c r="K34" s="21" t="inlineStr">
        <is>
          <t>Hà Nội</t>
        </is>
      </c>
      <c r="L34" s="21" t="inlineStr">
        <is>
          <t>Long Biên</t>
        </is>
      </c>
      <c r="M34" s="22" t="n">
        <v>21.0261548385</v>
      </c>
      <c r="N34" s="22" t="n">
        <v>105.914182238</v>
      </c>
      <c r="O34" s="21" t="inlineStr">
        <is>
          <t>DL_QN_UONGBI</t>
        </is>
      </c>
      <c r="P34" s="21" t="inlineStr">
        <is>
          <t>VINMART Uông Bí</t>
        </is>
      </c>
      <c r="Q34" s="21" t="inlineStr">
        <is>
          <t>Quảng Ninh</t>
        </is>
      </c>
      <c r="R34" s="21" t="inlineStr">
        <is>
          <t>Uông Bí</t>
        </is>
      </c>
      <c r="S34" s="22" t="n">
        <v>21.031495</v>
      </c>
      <c r="T34" s="22" t="n">
        <v>106.76688</v>
      </c>
      <c r="U34" s="21" t="inlineStr">
        <is>
          <t>Đông Bắc</t>
        </is>
      </c>
      <c r="V34" s="21" t="inlineStr">
        <is>
          <t>Đông Bắc</t>
        </is>
      </c>
      <c r="W34" s="29" t="n">
        <v>117.3</v>
      </c>
      <c r="X34" s="28" t="n">
        <v>2518</v>
      </c>
      <c r="Y34" s="29" t="n">
        <v>7.36</v>
      </c>
      <c r="Z34" s="28" t="n">
        <v>6</v>
      </c>
      <c r="AA34" s="21" t="inlineStr">
        <is>
          <t>5T</t>
        </is>
      </c>
      <c r="AB34" s="21" t="inlineStr">
        <is>
          <t>8T</t>
        </is>
      </c>
      <c r="AC34" s="21" t="inlineStr">
        <is>
          <t>No</t>
        </is>
      </c>
      <c r="AD34" s="21" t="inlineStr">
        <is>
          <t>Yes</t>
        </is>
      </c>
      <c r="AE34" s="21" t="inlineStr">
        <is>
          <t>No</t>
        </is>
      </c>
      <c r="AF34" s="21" t="inlineStr">
        <is>
          <t>No</t>
        </is>
      </c>
      <c r="AG34" s="21" t="inlineStr">
        <is>
          <t>Đường tỉnh, xe 5T/8T vào được</t>
        </is>
      </c>
      <c r="AH34" s="21" t="inlineStr">
        <is>
          <t>07:30</t>
        </is>
      </c>
      <c r="AI34" s="21" t="inlineStr">
        <is>
          <t>10:00</t>
        </is>
      </c>
      <c r="AJ34" s="21" t="inlineStr">
        <is>
          <t>12:36</t>
        </is>
      </c>
      <c r="AK34" s="21" t="inlineStr">
        <is>
          <t>14:06</t>
        </is>
      </c>
      <c r="AL34" s="22" t="n">
        <v>30</v>
      </c>
      <c r="AM34" s="22" t="n">
        <v>40</v>
      </c>
      <c r="AN34" s="22" t="n">
        <v>35</v>
      </c>
      <c r="AO34" s="22" t="n">
        <v>396</v>
      </c>
      <c r="AP34" s="31" t="n">
        <v>2330000</v>
      </c>
      <c r="AQ34" s="31" t="n">
        <v>150000</v>
      </c>
      <c r="AR34" s="31" t="n">
        <v>0</v>
      </c>
      <c r="AS34" s="28" t="n">
        <v>80000</v>
      </c>
      <c r="AT34" s="21" t="inlineStr">
        <is>
          <t>C - Có thể thương lượng</t>
        </is>
      </c>
      <c r="AU34" s="21" t="inlineStr">
        <is>
          <t>CR-ĐÔNG-04</t>
        </is>
      </c>
      <c r="AV34" s="21" t="inlineStr">
        <is>
          <t>Manual nhập điều phối</t>
        </is>
      </c>
      <c r="AW34" s="21" t="inlineStr">
        <is>
          <t>S3-C33</t>
        </is>
      </c>
      <c r="AX34" s="21" t="inlineStr">
        <is>
          <t>5T</t>
        </is>
      </c>
      <c r="AY34" s="21" t="inlineStr">
        <is>
          <t>Send to Clustering</t>
        </is>
      </c>
      <c r="AZ34" s="21" t="inlineStr">
        <is>
          <t>OK</t>
        </is>
      </c>
      <c r="BA34" s="21" t="inlineStr">
        <is>
          <t>Empty-run &gt;100km cần tìm chuyến về</t>
        </is>
      </c>
      <c r="BB34" s="21">
        <f>AM34+AN34</f>
        <v/>
      </c>
      <c r="BC34" s="21">
        <f>ROUND(W34/'03_Cost_Constraints'!$B$4*60,0)</f>
        <v/>
      </c>
      <c r="BD34" s="21">
        <f>IF(X34&lt;=500,"5 tạ",IF(X34&lt;=1250,"1.25T",IF(X34&lt;=5000,"5T",IF(X34&lt;=8000,"8T",IF(X34&lt;=15000,"3 chân","4 chân")))))</f>
        <v/>
      </c>
      <c r="BE34" s="21">
        <f>IF((BB34+BC34)&lt;=AO34,"OK","Risk")</f>
        <v/>
      </c>
      <c r="BF34" s="21">
        <f>IF(AND(AZ34="OK",BE34="OK"),"Ready","Review")</f>
        <v/>
      </c>
      <c r="BG34" s="21" t="n"/>
    </row>
    <row r="35" ht="18" customHeight="1" s="17">
      <c r="A35" s="23" t="inlineStr">
        <is>
          <t>S3</t>
        </is>
      </c>
      <c r="B35" s="23" t="inlineStr">
        <is>
          <t>2026-06-05</t>
        </is>
      </c>
      <c r="C35" s="23" t="inlineStr">
        <is>
          <t>S3-ORD-034</t>
        </is>
      </c>
      <c r="D35" s="23" t="inlineStr">
        <is>
          <t>Bách Hóa Xanh</t>
        </is>
      </c>
      <c r="E35" s="23" t="inlineStr">
        <is>
          <t>VINMART Times City</t>
        </is>
      </c>
      <c r="F35" s="23" t="inlineStr">
        <is>
          <t>MT</t>
        </is>
      </c>
      <c r="G35" s="23" t="inlineStr">
        <is>
          <t>NOODLE</t>
        </is>
      </c>
      <c r="H35" s="23" t="inlineStr">
        <is>
          <t>Mì gói/Acecook carton</t>
        </is>
      </c>
      <c r="I35" s="23" t="inlineStr">
        <is>
          <t>PK_LINFOX_VSIP</t>
        </is>
      </c>
      <c r="J35" s="23" t="inlineStr">
        <is>
          <t>Kho Linfox KCN VSIP Bắc Ninh</t>
        </is>
      </c>
      <c r="K35" s="23" t="inlineStr">
        <is>
          <t>Bắc Ninh</t>
        </is>
      </c>
      <c r="L35" s="23" t="inlineStr">
        <is>
          <t>Từ Sơn</t>
        </is>
      </c>
      <c r="M35" s="24" t="n">
        <v>21.082707</v>
      </c>
      <c r="N35" s="24" t="n">
        <v>105.997949</v>
      </c>
      <c r="O35" s="23" t="inlineStr">
        <is>
          <t>DL_HN_TIMESCITY</t>
        </is>
      </c>
      <c r="P35" s="23" t="inlineStr">
        <is>
          <t>VINMART Times City</t>
        </is>
      </c>
      <c r="Q35" s="23" t="inlineStr">
        <is>
          <t>Hà Nội</t>
        </is>
      </c>
      <c r="R35" s="23" t="inlineStr">
        <is>
          <t>Hai Bà Trưng</t>
        </is>
      </c>
      <c r="S35" s="24" t="n">
        <v>20.994022</v>
      </c>
      <c r="T35" s="24" t="n">
        <v>105.869639</v>
      </c>
      <c r="U35" s="23" t="inlineStr">
        <is>
          <t>Nội thành Hà Nội</t>
        </is>
      </c>
      <c r="V35" s="23" t="inlineStr">
        <is>
          <t>Nội thành Hà Nội</t>
        </is>
      </c>
      <c r="W35" s="33" t="n">
        <v>26.4</v>
      </c>
      <c r="X35" s="32" t="n">
        <v>1131</v>
      </c>
      <c r="Y35" s="33" t="n">
        <v>10.14</v>
      </c>
      <c r="Z35" s="32" t="n">
        <v>8</v>
      </c>
      <c r="AA35" s="23" t="inlineStr">
        <is>
          <t>5T</t>
        </is>
      </c>
      <c r="AB35" s="23" t="inlineStr">
        <is>
          <t>1.25T</t>
        </is>
      </c>
      <c r="AC35" s="23" t="inlineStr">
        <is>
          <t>No</t>
        </is>
      </c>
      <c r="AD35" s="23" t="inlineStr">
        <is>
          <t>Yes</t>
        </is>
      </c>
      <c r="AE35" s="23" t="inlineStr">
        <is>
          <t>No</t>
        </is>
      </c>
      <c r="AF35" s="23" t="inlineStr">
        <is>
          <t>Yes</t>
        </is>
      </c>
      <c r="AG35" s="23" t="inlineStr">
        <is>
          <t>Nội khu, xe lớn hạn chế</t>
        </is>
      </c>
      <c r="AH35" s="23" t="inlineStr">
        <is>
          <t>08:30</t>
        </is>
      </c>
      <c r="AI35" s="23" t="inlineStr">
        <is>
          <t>10:30</t>
        </is>
      </c>
      <c r="AJ35" s="23" t="inlineStr">
        <is>
          <t>10:45</t>
        </is>
      </c>
      <c r="AK35" s="23" t="inlineStr">
        <is>
          <t>13:45</t>
        </is>
      </c>
      <c r="AL35" s="24" t="n">
        <v>45</v>
      </c>
      <c r="AM35" s="24" t="n">
        <v>40</v>
      </c>
      <c r="AN35" s="24" t="n">
        <v>45</v>
      </c>
      <c r="AO35" s="24" t="n">
        <v>315</v>
      </c>
      <c r="AP35" s="35" t="n">
        <v>740000</v>
      </c>
      <c r="AQ35" s="35" t="n">
        <v>0</v>
      </c>
      <c r="AR35" s="35" t="n">
        <v>120000</v>
      </c>
      <c r="AS35" s="32" t="n">
        <v>80000</v>
      </c>
      <c r="AT35" s="23" t="inlineStr">
        <is>
          <t>C - Có thể thương lượng</t>
        </is>
      </c>
      <c r="AU35" s="23" t="inlineStr">
        <is>
          <t>CR-NỘIT-05</t>
        </is>
      </c>
      <c r="AV35" s="23" t="inlineStr">
        <is>
          <t>Excel khách hàng</t>
        </is>
      </c>
      <c r="AW35" s="23" t="inlineStr">
        <is>
          <t>S3-C34</t>
        </is>
      </c>
      <c r="AX35" s="23" t="inlineStr">
        <is>
          <t>Split/Chuyển tải</t>
        </is>
      </c>
      <c r="AY35" s="23" t="inlineStr">
        <is>
          <t>Split Order/Chuyển tải hoặc xin xe nhỏ nhiều chuyến</t>
        </is>
      </c>
      <c r="AZ35" s="23" t="inlineStr">
        <is>
          <t>Review</t>
        </is>
      </c>
      <c r="BA35" s="23" t="inlineStr">
        <is>
          <t>Vehicle Mismatch</t>
        </is>
      </c>
      <c r="BB35" s="23">
        <f>AM35+AN35</f>
        <v/>
      </c>
      <c r="BC35" s="23">
        <f>ROUND(W35/'03_Cost_Constraints'!$B$4*60,0)</f>
        <v/>
      </c>
      <c r="BD35" s="23">
        <f>IF(X35&lt;=500,"5 tạ",IF(X35&lt;=1250,"1.25T",IF(X35&lt;=5000,"5T",IF(X35&lt;=8000,"8T",IF(X35&lt;=15000,"3 chân","4 chân")))))</f>
        <v/>
      </c>
      <c r="BE35" s="23">
        <f>IF((BB35+BC35)&lt;=AO35,"OK","Risk")</f>
        <v/>
      </c>
      <c r="BF35" s="23">
        <f>IF(AND(AZ35="OK",BE35="OK"),"Ready","Review")</f>
        <v/>
      </c>
      <c r="BG35" s="23" t="n"/>
    </row>
    <row r="36" ht="18" customHeight="1" s="17">
      <c r="A36" s="21" t="inlineStr">
        <is>
          <t>S3</t>
        </is>
      </c>
      <c r="B36" s="21" t="inlineStr">
        <is>
          <t>2026-06-05</t>
        </is>
      </c>
      <c r="C36" s="21" t="inlineStr">
        <is>
          <t>S3-ORD-035</t>
        </is>
      </c>
      <c r="D36" s="21" t="inlineStr">
        <is>
          <t>MM Mega Market</t>
        </is>
      </c>
      <c r="E36" s="21" t="inlineStr">
        <is>
          <t>Siêu thị Thái Nguyên</t>
        </is>
      </c>
      <c r="F36" s="21" t="inlineStr">
        <is>
          <t>MT</t>
        </is>
      </c>
      <c r="G36" s="21" t="inlineStr">
        <is>
          <t>FMCG</t>
        </is>
      </c>
      <c r="H36" s="21" t="inlineStr">
        <is>
          <t>Hàng tiêu dùng nhanh hỗn hợp</t>
        </is>
      </c>
      <c r="I36" s="21" t="inlineStr">
        <is>
          <t>PK_HPL_LB</t>
        </is>
      </c>
      <c r="J36" s="21" t="inlineStr">
        <is>
          <t>HPL Depot Long Biên - 20 Thạch Bàn</t>
        </is>
      </c>
      <c r="K36" s="21" t="inlineStr">
        <is>
          <t>Hà Nội</t>
        </is>
      </c>
      <c r="L36" s="21" t="inlineStr">
        <is>
          <t>Long Biên</t>
        </is>
      </c>
      <c r="M36" s="22" t="n">
        <v>21.0261548385</v>
      </c>
      <c r="N36" s="22" t="n">
        <v>105.914182238</v>
      </c>
      <c r="O36" s="21" t="inlineStr">
        <is>
          <t>DL_TN_SIEUTHI</t>
        </is>
      </c>
      <c r="P36" s="21" t="inlineStr">
        <is>
          <t>Siêu thị Thái Nguyên</t>
        </is>
      </c>
      <c r="Q36" s="21" t="inlineStr">
        <is>
          <t>Thái Nguyên</t>
        </is>
      </c>
      <c r="R36" s="21" t="inlineStr">
        <is>
          <t>Thái Nguyên</t>
        </is>
      </c>
      <c r="S36" s="22" t="n">
        <v>21.594221</v>
      </c>
      <c r="T36" s="22" t="n">
        <v>105.84817</v>
      </c>
      <c r="U36" s="21" t="inlineStr">
        <is>
          <t>Tây Bắc</t>
        </is>
      </c>
      <c r="V36" s="21" t="inlineStr">
        <is>
          <t>Tây Bắc</t>
        </is>
      </c>
      <c r="W36" s="29" t="n">
        <v>90.5</v>
      </c>
      <c r="X36" s="28" t="n">
        <v>2482</v>
      </c>
      <c r="Y36" s="29" t="n">
        <v>12.43</v>
      </c>
      <c r="Z36" s="28" t="n">
        <v>10</v>
      </c>
      <c r="AA36" s="21" t="inlineStr">
        <is>
          <t>5T</t>
        </is>
      </c>
      <c r="AB36" s="21" t="inlineStr">
        <is>
          <t>8T</t>
        </is>
      </c>
      <c r="AC36" s="21" t="inlineStr">
        <is>
          <t>No</t>
        </is>
      </c>
      <c r="AD36" s="21" t="inlineStr">
        <is>
          <t>Yes</t>
        </is>
      </c>
      <c r="AE36" s="21" t="inlineStr">
        <is>
          <t>No</t>
        </is>
      </c>
      <c r="AF36" s="21" t="inlineStr">
        <is>
          <t>No</t>
        </is>
      </c>
      <c r="AG36" s="21" t="inlineStr">
        <is>
          <t>Đường tỉnh, xe 8T vào được</t>
        </is>
      </c>
      <c r="AH36" s="21" t="inlineStr">
        <is>
          <t>08:30</t>
        </is>
      </c>
      <c r="AI36" s="21" t="inlineStr">
        <is>
          <t>11:00</t>
        </is>
      </c>
      <c r="AJ36" s="21" t="inlineStr">
        <is>
          <t>11:30</t>
        </is>
      </c>
      <c r="AK36" s="21" t="inlineStr">
        <is>
          <t>14:00</t>
        </is>
      </c>
      <c r="AL36" s="22" t="n">
        <v>30</v>
      </c>
      <c r="AM36" s="22" t="n">
        <v>40</v>
      </c>
      <c r="AN36" s="22" t="n">
        <v>45</v>
      </c>
      <c r="AO36" s="22" t="n">
        <v>330</v>
      </c>
      <c r="AP36" s="31" t="n">
        <v>1610000</v>
      </c>
      <c r="AQ36" s="31" t="n">
        <v>0</v>
      </c>
      <c r="AR36" s="31" t="n">
        <v>120000</v>
      </c>
      <c r="AS36" s="28" t="n">
        <v>80000</v>
      </c>
      <c r="AT36" s="21" t="inlineStr">
        <is>
          <t>B - Thường</t>
        </is>
      </c>
      <c r="AU36" s="21" t="inlineStr">
        <is>
          <t>CR-TÂYB-01</t>
        </is>
      </c>
      <c r="AV36" s="21" t="inlineStr">
        <is>
          <t>Hệ thống khách hàng</t>
        </is>
      </c>
      <c r="AW36" s="21" t="inlineStr">
        <is>
          <t>S3-C35</t>
        </is>
      </c>
      <c r="AX36" s="21" t="inlineStr">
        <is>
          <t>5T</t>
        </is>
      </c>
      <c r="AY36" s="21" t="inlineStr">
        <is>
          <t>Send to Clustering</t>
        </is>
      </c>
      <c r="AZ36" s="21" t="inlineStr">
        <is>
          <t>OK</t>
        </is>
      </c>
      <c r="BA36" s="21" t="inlineStr">
        <is>
          <t>OK</t>
        </is>
      </c>
      <c r="BB36" s="21">
        <f>AM36+AN36</f>
        <v/>
      </c>
      <c r="BC36" s="21">
        <f>ROUND(W36/'03_Cost_Constraints'!$B$4*60,0)</f>
        <v/>
      </c>
      <c r="BD36" s="21">
        <f>IF(X36&lt;=500,"5 tạ",IF(X36&lt;=1250,"1.25T",IF(X36&lt;=5000,"5T",IF(X36&lt;=8000,"8T",IF(X36&lt;=15000,"3 chân","4 chân")))))</f>
        <v/>
      </c>
      <c r="BE36" s="21">
        <f>IF((BB36+BC36)&lt;=AO36,"OK","Risk")</f>
        <v/>
      </c>
      <c r="BF36" s="21">
        <f>IF(AND(AZ36="OK",BE36="OK"),"Ready","Review")</f>
        <v/>
      </c>
      <c r="BG36" s="21" t="n"/>
    </row>
    <row r="37" ht="18" customHeight="1" s="17">
      <c r="A37" s="23" t="inlineStr">
        <is>
          <t>S3</t>
        </is>
      </c>
      <c r="B37" s="23" t="inlineStr">
        <is>
          <t>2026-06-05</t>
        </is>
      </c>
      <c r="C37" s="23" t="inlineStr">
        <is>
          <t>S3-ORD-036</t>
        </is>
      </c>
      <c r="D37" s="23" t="inlineStr">
        <is>
          <t>Unilever</t>
        </is>
      </c>
      <c r="E37" s="23" t="inlineStr">
        <is>
          <t>Siêu thị Vinh</t>
        </is>
      </c>
      <c r="F37" s="23" t="inlineStr">
        <is>
          <t>ST</t>
        </is>
      </c>
      <c r="G37" s="23" t="inlineStr">
        <is>
          <t>LASG</t>
        </is>
      </c>
      <c r="H37" s="23" t="inlineStr">
        <is>
          <t>Bia lon Saigon Lager 330ml</t>
        </is>
      </c>
      <c r="I37" s="23" t="inlineStr">
        <is>
          <t>PK_NA_BACVINH</t>
        </is>
      </c>
      <c r="J37" s="23" t="inlineStr">
        <is>
          <t>Kho DC Vinh - KCN Bắc Vinh</t>
        </is>
      </c>
      <c r="K37" s="23" t="inlineStr">
        <is>
          <t>Nghệ An</t>
        </is>
      </c>
      <c r="L37" s="23" t="inlineStr">
        <is>
          <t>Vinh</t>
        </is>
      </c>
      <c r="M37" s="24" t="n">
        <v>18.733</v>
      </c>
      <c r="N37" s="24" t="n">
        <v>105.681</v>
      </c>
      <c r="O37" s="23" t="inlineStr">
        <is>
          <t>DL_NA_SIEUTHI</t>
        </is>
      </c>
      <c r="P37" s="23" t="inlineStr">
        <is>
          <t>Siêu thị Vinh</t>
        </is>
      </c>
      <c r="Q37" s="23" t="inlineStr">
        <is>
          <t>Nghệ An</t>
        </is>
      </c>
      <c r="R37" s="23" t="inlineStr">
        <is>
          <t>Vinh</t>
        </is>
      </c>
      <c r="S37" s="24" t="n">
        <v>18.679586</v>
      </c>
      <c r="T37" s="24" t="n">
        <v>105.681101</v>
      </c>
      <c r="U37" s="23" t="inlineStr">
        <is>
          <t>Bắc Trung Bộ</t>
        </is>
      </c>
      <c r="V37" s="23" t="inlineStr">
        <is>
          <t>Bắc Trung Bộ</t>
        </is>
      </c>
      <c r="W37" s="33" t="n">
        <v>9.800000000000001</v>
      </c>
      <c r="X37" s="32" t="n">
        <v>6564</v>
      </c>
      <c r="Y37" s="33" t="n">
        <v>11.81</v>
      </c>
      <c r="Z37" s="32" t="n">
        <v>9</v>
      </c>
      <c r="AA37" s="23" t="inlineStr">
        <is>
          <t>8T</t>
        </is>
      </c>
      <c r="AB37" s="23" t="inlineStr">
        <is>
          <t>5T</t>
        </is>
      </c>
      <c r="AC37" s="23" t="inlineStr">
        <is>
          <t>No</t>
        </is>
      </c>
      <c r="AD37" s="23" t="inlineStr">
        <is>
          <t>Yes</t>
        </is>
      </c>
      <c r="AE37" s="23" t="inlineStr">
        <is>
          <t>No</t>
        </is>
      </c>
      <c r="AF37" s="23" t="inlineStr">
        <is>
          <t>No</t>
        </is>
      </c>
      <c r="AG37" s="23" t="inlineStr">
        <is>
          <t>Khung giờ nhập kho chiều</t>
        </is>
      </c>
      <c r="AH37" s="23" t="inlineStr">
        <is>
          <t>08:30</t>
        </is>
      </c>
      <c r="AI37" s="23" t="inlineStr">
        <is>
          <t>10:00</t>
        </is>
      </c>
      <c r="AJ37" s="23" t="inlineStr">
        <is>
          <t>10:13</t>
        </is>
      </c>
      <c r="AK37" s="23" t="inlineStr">
        <is>
          <t>11:43</t>
        </is>
      </c>
      <c r="AL37" s="24" t="n">
        <v>45</v>
      </c>
      <c r="AM37" s="24" t="n">
        <v>40</v>
      </c>
      <c r="AN37" s="24" t="n">
        <v>35</v>
      </c>
      <c r="AO37" s="24" t="n">
        <v>193</v>
      </c>
      <c r="AP37" s="35" t="n">
        <v>1130000</v>
      </c>
      <c r="AQ37" s="35" t="n">
        <v>0</v>
      </c>
      <c r="AR37" s="35" t="n">
        <v>0</v>
      </c>
      <c r="AS37" s="32" t="n">
        <v>80000</v>
      </c>
      <c r="AT37" s="23" t="inlineStr">
        <is>
          <t>B - Thường</t>
        </is>
      </c>
      <c r="AU37" s="23" t="inlineStr">
        <is>
          <t>CR-BẮCT-02</t>
        </is>
      </c>
      <c r="AV37" s="23" t="inlineStr">
        <is>
          <t>Zalo/Email plan 17:00</t>
        </is>
      </c>
      <c r="AW37" s="23" t="inlineStr">
        <is>
          <t>S3-C35</t>
        </is>
      </c>
      <c r="AX37" s="23" t="inlineStr">
        <is>
          <t>Split/Chuyển tải</t>
        </is>
      </c>
      <c r="AY37" s="23" t="inlineStr">
        <is>
          <t>Split Order/Chuyển tải hoặc xin xe nhỏ nhiều chuyến</t>
        </is>
      </c>
      <c r="AZ37" s="23" t="inlineStr">
        <is>
          <t>Review</t>
        </is>
      </c>
      <c r="BA37" s="23" t="inlineStr">
        <is>
          <t>Vehicle Mismatch</t>
        </is>
      </c>
      <c r="BB37" s="23">
        <f>AM37+AN37</f>
        <v/>
      </c>
      <c r="BC37" s="23">
        <f>ROUND(W37/'03_Cost_Constraints'!$B$4*60,0)</f>
        <v/>
      </c>
      <c r="BD37" s="23">
        <f>IF(X37&lt;=500,"5 tạ",IF(X37&lt;=1250,"1.25T",IF(X37&lt;=5000,"5T",IF(X37&lt;=8000,"8T",IF(X37&lt;=15000,"3 chân","4 chân")))))</f>
        <v/>
      </c>
      <c r="BE37" s="23">
        <f>IF((BB37+BC37)&lt;=AO37,"OK","Risk")</f>
        <v/>
      </c>
      <c r="BF37" s="23">
        <f>IF(AND(AZ37="OK",BE37="OK"),"Ready","Review")</f>
        <v/>
      </c>
      <c r="BG37" s="23" t="inlineStr">
        <is>
          <t>Kế hoạch ngày hôm sau; cần chốt trước 19:00 và gửi tài xế sau duyệt</t>
        </is>
      </c>
    </row>
    <row r="38" ht="18" customHeight="1" s="17">
      <c r="A38" s="21" t="inlineStr">
        <is>
          <t>S3</t>
        </is>
      </c>
      <c r="B38" s="21" t="inlineStr">
        <is>
          <t>2026-06-05</t>
        </is>
      </c>
      <c r="C38" s="21" t="inlineStr">
        <is>
          <t>S3-ORD-037</t>
        </is>
      </c>
      <c r="D38" s="21" t="inlineStr">
        <is>
          <t>VinCommerce</t>
        </is>
      </c>
      <c r="E38" s="21" t="inlineStr">
        <is>
          <t>VINMART Uông Bí</t>
        </is>
      </c>
      <c r="F38" s="21" t="inlineStr">
        <is>
          <t>ST</t>
        </is>
      </c>
      <c r="G38" s="21" t="inlineStr">
        <is>
          <t>LASG</t>
        </is>
      </c>
      <c r="H38" s="21" t="inlineStr">
        <is>
          <t>Bia lon Saigon Lager 330ml</t>
        </is>
      </c>
      <c r="I38" s="21" t="inlineStr">
        <is>
          <t>PK_HPL_LB</t>
        </is>
      </c>
      <c r="J38" s="21" t="inlineStr">
        <is>
          <t>HPL Depot Long Biên - 20 Thạch Bàn</t>
        </is>
      </c>
      <c r="K38" s="21" t="inlineStr">
        <is>
          <t>Hà Nội</t>
        </is>
      </c>
      <c r="L38" s="21" t="inlineStr">
        <is>
          <t>Long Biên</t>
        </is>
      </c>
      <c r="M38" s="22" t="n">
        <v>21.0261548385</v>
      </c>
      <c r="N38" s="22" t="n">
        <v>105.914182238</v>
      </c>
      <c r="O38" s="21" t="inlineStr">
        <is>
          <t>DL_QN_UONGBI</t>
        </is>
      </c>
      <c r="P38" s="21" t="inlineStr">
        <is>
          <t>VINMART Uông Bí</t>
        </is>
      </c>
      <c r="Q38" s="21" t="inlineStr">
        <is>
          <t>Quảng Ninh</t>
        </is>
      </c>
      <c r="R38" s="21" t="inlineStr">
        <is>
          <t>Uông Bí</t>
        </is>
      </c>
      <c r="S38" s="22" t="n">
        <v>21.031495</v>
      </c>
      <c r="T38" s="22" t="n">
        <v>106.76688</v>
      </c>
      <c r="U38" s="21" t="inlineStr">
        <is>
          <t>Đông Bắc</t>
        </is>
      </c>
      <c r="V38" s="21" t="inlineStr">
        <is>
          <t>Đông Bắc</t>
        </is>
      </c>
      <c r="W38" s="29" t="n">
        <v>118.4</v>
      </c>
      <c r="X38" s="28" t="n">
        <v>1831</v>
      </c>
      <c r="Y38" s="29" t="n">
        <v>4.46</v>
      </c>
      <c r="Z38" s="28" t="n">
        <v>3</v>
      </c>
      <c r="AA38" s="21" t="inlineStr">
        <is>
          <t>5T</t>
        </is>
      </c>
      <c r="AB38" s="21" t="inlineStr">
        <is>
          <t>8T</t>
        </is>
      </c>
      <c r="AC38" s="21" t="inlineStr">
        <is>
          <t>No</t>
        </is>
      </c>
      <c r="AD38" s="21" t="inlineStr">
        <is>
          <t>Yes</t>
        </is>
      </c>
      <c r="AE38" s="21" t="inlineStr">
        <is>
          <t>No</t>
        </is>
      </c>
      <c r="AF38" s="21" t="inlineStr">
        <is>
          <t>No</t>
        </is>
      </c>
      <c r="AG38" s="21" t="inlineStr">
        <is>
          <t>Đường tỉnh, xe 5T/8T vào được</t>
        </is>
      </c>
      <c r="AH38" s="21" t="inlineStr">
        <is>
          <t>08:00</t>
        </is>
      </c>
      <c r="AI38" s="21" t="inlineStr">
        <is>
          <t>10:30</t>
        </is>
      </c>
      <c r="AJ38" s="21" t="inlineStr">
        <is>
          <t>12:37</t>
        </is>
      </c>
      <c r="AK38" s="21" t="inlineStr">
        <is>
          <t>14:07</t>
        </is>
      </c>
      <c r="AL38" s="22" t="n">
        <v>45</v>
      </c>
      <c r="AM38" s="22" t="n">
        <v>40</v>
      </c>
      <c r="AN38" s="22" t="n">
        <v>35</v>
      </c>
      <c r="AO38" s="22" t="n">
        <v>367</v>
      </c>
      <c r="AP38" s="31" t="n">
        <v>1720000</v>
      </c>
      <c r="AQ38" s="31" t="n">
        <v>0</v>
      </c>
      <c r="AR38" s="31" t="n">
        <v>0</v>
      </c>
      <c r="AS38" s="28" t="n">
        <v>80000</v>
      </c>
      <c r="AT38" s="21" t="inlineStr">
        <is>
          <t>C - Có thể thương lượng</t>
        </is>
      </c>
      <c r="AU38" s="21" t="inlineStr">
        <is>
          <t>CR-ĐÔNG-03</t>
        </is>
      </c>
      <c r="AV38" s="21" t="inlineStr">
        <is>
          <t>Manual nhập điều phối</t>
        </is>
      </c>
      <c r="AW38" s="21" t="inlineStr">
        <is>
          <t>S3-C37</t>
        </is>
      </c>
      <c r="AX38" s="21" t="inlineStr">
        <is>
          <t>5T</t>
        </is>
      </c>
      <c r="AY38" s="21" t="inlineStr">
        <is>
          <t>Send to Clustering</t>
        </is>
      </c>
      <c r="AZ38" s="21" t="inlineStr">
        <is>
          <t>OK</t>
        </is>
      </c>
      <c r="BA38" s="21" t="inlineStr">
        <is>
          <t>Empty-run &gt;100km cần tìm chuyến về</t>
        </is>
      </c>
      <c r="BB38" s="21">
        <f>AM38+AN38</f>
        <v/>
      </c>
      <c r="BC38" s="21">
        <f>ROUND(W38/'03_Cost_Constraints'!$B$4*60,0)</f>
        <v/>
      </c>
      <c r="BD38" s="21">
        <f>IF(X38&lt;=500,"5 tạ",IF(X38&lt;=1250,"1.25T",IF(X38&lt;=5000,"5T",IF(X38&lt;=8000,"8T",IF(X38&lt;=15000,"3 chân","4 chân")))))</f>
        <v/>
      </c>
      <c r="BE38" s="21">
        <f>IF((BB38+BC38)&lt;=AO38,"OK","Risk")</f>
        <v/>
      </c>
      <c r="BF38" s="21">
        <f>IF(AND(AZ38="OK",BE38="OK"),"Ready","Review")</f>
        <v/>
      </c>
      <c r="BG38" s="21" t="n"/>
    </row>
    <row r="39" ht="18" customHeight="1" s="17">
      <c r="A39" s="23" t="inlineStr">
        <is>
          <t>S3</t>
        </is>
      </c>
      <c r="B39" s="23" t="inlineStr">
        <is>
          <t>2026-06-05</t>
        </is>
      </c>
      <c r="C39" s="23" t="inlineStr">
        <is>
          <t>S3-ORD-038</t>
        </is>
      </c>
      <c r="D39" s="23" t="inlineStr">
        <is>
          <t>VinCommerce</t>
        </is>
      </c>
      <c r="E39" s="23" t="inlineStr">
        <is>
          <t>TOPS MARKET Garden Mall</t>
        </is>
      </c>
      <c r="F39" s="23" t="inlineStr">
        <is>
          <t>MT</t>
        </is>
      </c>
      <c r="G39" s="23" t="inlineStr">
        <is>
          <t>POSM</t>
        </is>
      </c>
      <c r="H39" s="23" t="inlineStr">
        <is>
          <t>POSM trưng bày</t>
        </is>
      </c>
      <c r="I39" s="23" t="inlineStr">
        <is>
          <t>PK_LINFOX_VSIP</t>
        </is>
      </c>
      <c r="J39" s="23" t="inlineStr">
        <is>
          <t>Kho Linfox KCN VSIP Bắc Ninh</t>
        </is>
      </c>
      <c r="K39" s="23" t="inlineStr">
        <is>
          <t>Bắc Ninh</t>
        </is>
      </c>
      <c r="L39" s="23" t="inlineStr">
        <is>
          <t>Từ Sơn</t>
        </is>
      </c>
      <c r="M39" s="24" t="n">
        <v>21.082707</v>
      </c>
      <c r="N39" s="24" t="n">
        <v>105.997949</v>
      </c>
      <c r="O39" s="23" t="inlineStr">
        <is>
          <t>DL_HN_GARDEN</t>
        </is>
      </c>
      <c r="P39" s="23" t="inlineStr">
        <is>
          <t>TOPS MARKET Garden Mall</t>
        </is>
      </c>
      <c r="Q39" s="23" t="inlineStr">
        <is>
          <t>Hà Nội</t>
        </is>
      </c>
      <c r="R39" s="23" t="inlineStr">
        <is>
          <t>Nam Từ Liêm</t>
        </is>
      </c>
      <c r="S39" s="24" t="n">
        <v>21.015324</v>
      </c>
      <c r="T39" s="24" t="n">
        <v>105.777839</v>
      </c>
      <c r="U39" s="23" t="inlineStr">
        <is>
          <t>Nội thành Hà Nội</t>
        </is>
      </c>
      <c r="V39" s="23" t="inlineStr">
        <is>
          <t>Nội thành Hà Nội</t>
        </is>
      </c>
      <c r="W39" s="33" t="n">
        <v>40.4</v>
      </c>
      <c r="X39" s="32" t="n">
        <v>635</v>
      </c>
      <c r="Y39" s="33" t="n">
        <v>16.26</v>
      </c>
      <c r="Z39" s="32" t="n">
        <v>13</v>
      </c>
      <c r="AA39" s="23" t="inlineStr">
        <is>
          <t>5T</t>
        </is>
      </c>
      <c r="AB39" s="23" t="inlineStr">
        <is>
          <t>1.25T</t>
        </is>
      </c>
      <c r="AC39" s="23" t="inlineStr">
        <is>
          <t>No</t>
        </is>
      </c>
      <c r="AD39" s="23" t="inlineStr">
        <is>
          <t>Yes</t>
        </is>
      </c>
      <c r="AE39" s="23" t="inlineStr">
        <is>
          <t>No</t>
        </is>
      </c>
      <c r="AF39" s="23" t="inlineStr">
        <is>
          <t>Yes</t>
        </is>
      </c>
      <c r="AG39" s="23" t="inlineStr">
        <is>
          <t>Khung giờ nhập kho cố định</t>
        </is>
      </c>
      <c r="AH39" s="23" t="inlineStr">
        <is>
          <t>07:30</t>
        </is>
      </c>
      <c r="AI39" s="23" t="inlineStr">
        <is>
          <t>10:00</t>
        </is>
      </c>
      <c r="AJ39" s="23" t="inlineStr">
        <is>
          <t>11:09</t>
        </is>
      </c>
      <c r="AK39" s="23" t="inlineStr">
        <is>
          <t>13:39</t>
        </is>
      </c>
      <c r="AL39" s="24" t="n">
        <v>45</v>
      </c>
      <c r="AM39" s="24" t="n">
        <v>40</v>
      </c>
      <c r="AN39" s="24" t="n">
        <v>45</v>
      </c>
      <c r="AO39" s="24" t="n">
        <v>369</v>
      </c>
      <c r="AP39" s="35" t="n">
        <v>920000</v>
      </c>
      <c r="AQ39" s="35" t="n">
        <v>0</v>
      </c>
      <c r="AR39" s="35" t="n">
        <v>120000</v>
      </c>
      <c r="AS39" s="32" t="n">
        <v>150000</v>
      </c>
      <c r="AT39" s="23" t="inlineStr">
        <is>
          <t>A - SLA chặt</t>
        </is>
      </c>
      <c r="AU39" s="23" t="inlineStr">
        <is>
          <t>CR-NỘIT-04</t>
        </is>
      </c>
      <c r="AV39" s="23" t="inlineStr">
        <is>
          <t>Excel khách hàng</t>
        </is>
      </c>
      <c r="AW39" s="23" t="inlineStr">
        <is>
          <t>S3-C38</t>
        </is>
      </c>
      <c r="AX39" s="23" t="inlineStr">
        <is>
          <t>Split/Chuyển tải</t>
        </is>
      </c>
      <c r="AY39" s="23" t="inlineStr">
        <is>
          <t>Split Order/Chuyển tải hoặc xin xe nhỏ nhiều chuyến</t>
        </is>
      </c>
      <c r="AZ39" s="23" t="inlineStr">
        <is>
          <t>Review</t>
        </is>
      </c>
      <c r="BA39" s="23" t="inlineStr">
        <is>
          <t>Vehicle Mismatch</t>
        </is>
      </c>
      <c r="BB39" s="23">
        <f>AM39+AN39</f>
        <v/>
      </c>
      <c r="BC39" s="23">
        <f>ROUND(W39/'03_Cost_Constraints'!$B$4*60,0)</f>
        <v/>
      </c>
      <c r="BD39" s="23">
        <f>IF(X39&lt;=500,"5 tạ",IF(X39&lt;=1250,"1.25T",IF(X39&lt;=5000,"5T",IF(X39&lt;=8000,"8T",IF(X39&lt;=15000,"3 chân","4 chân")))))</f>
        <v/>
      </c>
      <c r="BE39" s="23">
        <f>IF((BB39+BC39)&lt;=AO39,"OK","Risk")</f>
        <v/>
      </c>
      <c r="BF39" s="23">
        <f>IF(AND(AZ39="OK",BE39="OK"),"Ready","Review")</f>
        <v/>
      </c>
      <c r="BG39" s="23" t="n"/>
    </row>
    <row r="40" ht="18" customHeight="1" s="17">
      <c r="A40" s="21" t="inlineStr">
        <is>
          <t>S3</t>
        </is>
      </c>
      <c r="B40" s="21" t="inlineStr">
        <is>
          <t>2026-06-05</t>
        </is>
      </c>
      <c r="C40" s="21" t="inlineStr">
        <is>
          <t>S3-ORD-039</t>
        </is>
      </c>
      <c r="D40" s="21" t="inlineStr">
        <is>
          <t>Sabeco</t>
        </is>
      </c>
      <c r="E40" s="21" t="inlineStr">
        <is>
          <t>VINMART Phạm Ngọc Thạch</t>
        </is>
      </c>
      <c r="F40" s="21" t="inlineStr">
        <is>
          <t>ST</t>
        </is>
      </c>
      <c r="G40" s="21" t="inlineStr">
        <is>
          <t>LASG</t>
        </is>
      </c>
      <c r="H40" s="21" t="inlineStr">
        <is>
          <t>Bia lon Saigon Lager 330ml</t>
        </is>
      </c>
      <c r="I40" s="21" t="inlineStr">
        <is>
          <t>PK_HY_MYHAO</t>
        </is>
      </c>
      <c r="J40" s="21" t="inlineStr">
        <is>
          <t>Kho/Nhà máy khách hàng Mỹ Hào</t>
        </is>
      </c>
      <c r="K40" s="21" t="inlineStr">
        <is>
          <t>Hưng Yên</t>
        </is>
      </c>
      <c r="L40" s="21" t="inlineStr">
        <is>
          <t>Mỹ Hào</t>
        </is>
      </c>
      <c r="M40" s="22" t="n">
        <v>20.9329</v>
      </c>
      <c r="N40" s="22" t="n">
        <v>106.065</v>
      </c>
      <c r="O40" s="21" t="inlineStr">
        <is>
          <t>DL_HN_PNT</t>
        </is>
      </c>
      <c r="P40" s="21" t="inlineStr">
        <is>
          <t>VINMART Phạm Ngọc Thạch</t>
        </is>
      </c>
      <c r="Q40" s="21" t="inlineStr">
        <is>
          <t>Hà Nội</t>
        </is>
      </c>
      <c r="R40" s="21" t="inlineStr">
        <is>
          <t>Đống Đa</t>
        </is>
      </c>
      <c r="S40" s="22" t="n">
        <v>21.006268</v>
      </c>
      <c r="T40" s="22" t="n">
        <v>105.831931</v>
      </c>
      <c r="U40" s="21" t="inlineStr">
        <is>
          <t>Nội thành Hà Nội</t>
        </is>
      </c>
      <c r="V40" s="21" t="inlineStr">
        <is>
          <t>Nội thành Hà Nội</t>
        </is>
      </c>
      <c r="W40" s="29" t="n">
        <v>40.4</v>
      </c>
      <c r="X40" s="28" t="n">
        <v>375</v>
      </c>
      <c r="Y40" s="29" t="n">
        <v>0.72</v>
      </c>
      <c r="Z40" s="28" t="n">
        <v>1</v>
      </c>
      <c r="AA40" s="21" t="inlineStr">
        <is>
          <t>5 tạ</t>
        </is>
      </c>
      <c r="AB40" s="21" t="inlineStr">
        <is>
          <t>1.25T</t>
        </is>
      </c>
      <c r="AC40" s="21" t="inlineStr">
        <is>
          <t>No</t>
        </is>
      </c>
      <c r="AD40" s="21" t="inlineStr">
        <is>
          <t>Yes</t>
        </is>
      </c>
      <c r="AE40" s="21" t="inlineStr">
        <is>
          <t>No</t>
        </is>
      </c>
      <c r="AF40" s="21" t="inlineStr">
        <is>
          <t>Yes</t>
        </is>
      </c>
      <c r="AG40" s="21" t="inlineStr">
        <is>
          <t>Đường đông, cần giao đúng slot</t>
        </is>
      </c>
      <c r="AH40" s="21" t="inlineStr">
        <is>
          <t>08:30</t>
        </is>
      </c>
      <c r="AI40" s="21" t="inlineStr">
        <is>
          <t>10:00</t>
        </is>
      </c>
      <c r="AJ40" s="21" t="inlineStr">
        <is>
          <t>10:54</t>
        </is>
      </c>
      <c r="AK40" s="21" t="inlineStr">
        <is>
          <t>13:24</t>
        </is>
      </c>
      <c r="AL40" s="22" t="n">
        <v>30</v>
      </c>
      <c r="AM40" s="22" t="n">
        <v>25</v>
      </c>
      <c r="AN40" s="22" t="n">
        <v>20</v>
      </c>
      <c r="AO40" s="22" t="n">
        <v>294</v>
      </c>
      <c r="AP40" s="31" t="n">
        <v>870000</v>
      </c>
      <c r="AQ40" s="31" t="n">
        <v>150000</v>
      </c>
      <c r="AR40" s="31" t="n">
        <v>0</v>
      </c>
      <c r="AS40" s="28" t="n">
        <v>150000</v>
      </c>
      <c r="AT40" s="21" t="inlineStr">
        <is>
          <t>A - SLA chặt</t>
        </is>
      </c>
      <c r="AU40" s="21" t="inlineStr">
        <is>
          <t>CR-NỘIT-05</t>
        </is>
      </c>
      <c r="AV40" s="21" t="inlineStr">
        <is>
          <t>Hệ thống khách hàng</t>
        </is>
      </c>
      <c r="AW40" s="21" t="inlineStr">
        <is>
          <t>S3-C39</t>
        </is>
      </c>
      <c r="AX40" s="21" t="inlineStr">
        <is>
          <t>5 tạ</t>
        </is>
      </c>
      <c r="AY40" s="21" t="inlineStr">
        <is>
          <t>Send to Clustering</t>
        </is>
      </c>
      <c r="AZ40" s="21" t="inlineStr">
        <is>
          <t>OK</t>
        </is>
      </c>
      <c r="BA40" s="21" t="inlineStr">
        <is>
          <t>Cấm tải/đường nhỏ - đã chọn xe nhỏ</t>
        </is>
      </c>
      <c r="BB40" s="21">
        <f>AM40+AN40</f>
        <v/>
      </c>
      <c r="BC40" s="21">
        <f>ROUND(W40/'03_Cost_Constraints'!$B$4*60,0)</f>
        <v/>
      </c>
      <c r="BD40" s="21">
        <f>IF(X40&lt;=500,"5 tạ",IF(X40&lt;=1250,"1.25T",IF(X40&lt;=5000,"5T",IF(X40&lt;=8000,"8T",IF(X40&lt;=15000,"3 chân","4 chân")))))</f>
        <v/>
      </c>
      <c r="BE40" s="21">
        <f>IF((BB40+BC40)&lt;=AO40,"OK","Risk")</f>
        <v/>
      </c>
      <c r="BF40" s="21">
        <f>IF(AND(AZ40="OK",BE40="OK"),"Ready","Review")</f>
        <v/>
      </c>
      <c r="BG40" s="21" t="n"/>
    </row>
    <row r="41" ht="18" customHeight="1" s="17">
      <c r="A41" s="23" t="inlineStr">
        <is>
          <t>S3</t>
        </is>
      </c>
      <c r="B41" s="23" t="inlineStr">
        <is>
          <t>2026-06-05</t>
        </is>
      </c>
      <c r="C41" s="23" t="inlineStr">
        <is>
          <t>S3-ORD-040</t>
        </is>
      </c>
      <c r="D41" s="23" t="inlineStr">
        <is>
          <t>Linfox</t>
        </is>
      </c>
      <c r="E41" s="23" t="inlineStr">
        <is>
          <t>Siêu thị Ninh Bình</t>
        </is>
      </c>
      <c r="F41" s="23" t="inlineStr">
        <is>
          <t>ST</t>
        </is>
      </c>
      <c r="G41" s="23" t="inlineStr">
        <is>
          <t>PAT2</t>
        </is>
      </c>
      <c r="H41" s="23" t="inlineStr">
        <is>
          <t>Bia lon 333</t>
        </is>
      </c>
      <c r="I41" s="23" t="inlineStr">
        <is>
          <t>PK_NA_BACVINH</t>
        </is>
      </c>
      <c r="J41" s="23" t="inlineStr">
        <is>
          <t>Kho DC Vinh - KCN Bắc Vinh</t>
        </is>
      </c>
      <c r="K41" s="23" t="inlineStr">
        <is>
          <t>Nghệ An</t>
        </is>
      </c>
      <c r="L41" s="23" t="inlineStr">
        <is>
          <t>Vinh</t>
        </is>
      </c>
      <c r="M41" s="24" t="n">
        <v>18.733</v>
      </c>
      <c r="N41" s="24" t="n">
        <v>105.681</v>
      </c>
      <c r="O41" s="23" t="inlineStr">
        <is>
          <t>DL_NB_SIEUTHI</t>
        </is>
      </c>
      <c r="P41" s="23" t="inlineStr">
        <is>
          <t>Siêu thị Ninh Bình</t>
        </is>
      </c>
      <c r="Q41" s="23" t="inlineStr">
        <is>
          <t>Ninh Bình</t>
        </is>
      </c>
      <c r="R41" s="23" t="inlineStr">
        <is>
          <t>Hoa Lư</t>
        </is>
      </c>
      <c r="S41" s="24" t="n">
        <v>20.250614</v>
      </c>
      <c r="T41" s="24" t="n">
        <v>105.974454</v>
      </c>
      <c r="U41" s="23" t="inlineStr">
        <is>
          <t>Bắc Trung Bộ</t>
        </is>
      </c>
      <c r="V41" s="23" t="inlineStr">
        <is>
          <t>Bắc Trung Bộ</t>
        </is>
      </c>
      <c r="W41" s="33" t="n">
        <v>222</v>
      </c>
      <c r="X41" s="32" t="n">
        <v>7877</v>
      </c>
      <c r="Y41" s="33" t="n">
        <v>13.8</v>
      </c>
      <c r="Z41" s="32" t="n">
        <v>11</v>
      </c>
      <c r="AA41" s="23" t="inlineStr">
        <is>
          <t>8T</t>
        </is>
      </c>
      <c r="AB41" s="23" t="inlineStr">
        <is>
          <t>8T</t>
        </is>
      </c>
      <c r="AC41" s="23" t="inlineStr">
        <is>
          <t>No</t>
        </is>
      </c>
      <c r="AD41" s="23" t="inlineStr">
        <is>
          <t>No</t>
        </is>
      </c>
      <c r="AE41" s="23" t="inlineStr">
        <is>
          <t>Yes</t>
        </is>
      </c>
      <c r="AF41" s="23" t="inlineStr">
        <is>
          <t>No</t>
        </is>
      </c>
      <c r="AG41" s="23" t="inlineStr">
        <is>
          <t>Xe 8T vào được</t>
        </is>
      </c>
      <c r="AH41" s="23" t="inlineStr">
        <is>
          <t>08:00</t>
        </is>
      </c>
      <c r="AI41" s="23" t="inlineStr">
        <is>
          <t>09:30</t>
        </is>
      </c>
      <c r="AJ41" s="23" t="inlineStr">
        <is>
          <t>14:26</t>
        </is>
      </c>
      <c r="AK41" s="23" t="inlineStr">
        <is>
          <t>16:26</t>
        </is>
      </c>
      <c r="AL41" s="24" t="n">
        <v>45</v>
      </c>
      <c r="AM41" s="24" t="n">
        <v>40</v>
      </c>
      <c r="AN41" s="24" t="n">
        <v>35</v>
      </c>
      <c r="AO41" s="24" t="n">
        <v>506</v>
      </c>
      <c r="AP41" s="35" t="n">
        <v>11290000</v>
      </c>
      <c r="AQ41" s="35" t="n">
        <v>0</v>
      </c>
      <c r="AR41" s="35" t="n">
        <v>0</v>
      </c>
      <c r="AS41" s="32" t="n">
        <v>80000</v>
      </c>
      <c r="AT41" s="23" t="inlineStr">
        <is>
          <t>B - Thường</t>
        </is>
      </c>
      <c r="AU41" s="23" t="inlineStr">
        <is>
          <t>CR-BẮCT-01</t>
        </is>
      </c>
      <c r="AV41" s="23" t="inlineStr">
        <is>
          <t>Zalo/Email plan 17:00</t>
        </is>
      </c>
      <c r="AW41" s="23" t="inlineStr">
        <is>
          <t>S3-C40</t>
        </is>
      </c>
      <c r="AX41" s="23" t="inlineStr">
        <is>
          <t>8T</t>
        </is>
      </c>
      <c r="AY41" s="23" t="inlineStr">
        <is>
          <t>Send to Clustering</t>
        </is>
      </c>
      <c r="AZ41" s="23" t="inlineStr">
        <is>
          <t>OK</t>
        </is>
      </c>
      <c r="BA41" s="23" t="inlineStr">
        <is>
          <t>Empty-run &gt;100km cần tìm chuyến về</t>
        </is>
      </c>
      <c r="BB41" s="23">
        <f>AM41+AN41</f>
        <v/>
      </c>
      <c r="BC41" s="23">
        <f>ROUND(W41/'03_Cost_Constraints'!$B$4*60,0)</f>
        <v/>
      </c>
      <c r="BD41" s="23">
        <f>IF(X41&lt;=500,"5 tạ",IF(X41&lt;=1250,"1.25T",IF(X41&lt;=5000,"5T",IF(X41&lt;=8000,"8T",IF(X41&lt;=15000,"3 chân","4 chân")))))</f>
        <v/>
      </c>
      <c r="BE41" s="23">
        <f>IF((BB41+BC41)&lt;=AO41,"OK","Risk")</f>
        <v/>
      </c>
      <c r="BF41" s="23">
        <f>IF(AND(AZ41="OK",BE41="OK"),"Ready","Review")</f>
        <v/>
      </c>
      <c r="BG41" s="23" t="inlineStr">
        <is>
          <t>Kế hoạch ngày hôm sau; cần chốt trước 19:00 và gửi tài xế sau duyệt</t>
        </is>
      </c>
    </row>
    <row r="42" ht="18" customHeight="1" s="17">
      <c r="A42" s="21" t="inlineStr">
        <is>
          <t>S3</t>
        </is>
      </c>
      <c r="B42" s="21" t="inlineStr">
        <is>
          <t>2026-06-05</t>
        </is>
      </c>
      <c r="C42" s="21" t="inlineStr">
        <is>
          <t>S3-ORD-041</t>
        </is>
      </c>
      <c r="D42" s="21" t="inlineStr">
        <is>
          <t>MM Mega Market</t>
        </is>
      </c>
      <c r="E42" s="21" t="inlineStr">
        <is>
          <t>Nam Dương</t>
        </is>
      </c>
      <c r="F42" s="21" t="inlineStr">
        <is>
          <t>Đại lý</t>
        </is>
      </c>
      <c r="G42" s="21" t="inlineStr">
        <is>
          <t>EXPL</t>
        </is>
      </c>
      <c r="H42" s="21" t="inlineStr">
        <is>
          <t>Bia lon Saigon Export</t>
        </is>
      </c>
      <c r="I42" s="21" t="inlineStr">
        <is>
          <t>PK_HPL_LB</t>
        </is>
      </c>
      <c r="J42" s="21" t="inlineStr">
        <is>
          <t>HPL Depot Long Biên - 20 Thạch Bàn</t>
        </is>
      </c>
      <c r="K42" s="21" t="inlineStr">
        <is>
          <t>Hà Nội</t>
        </is>
      </c>
      <c r="L42" s="21" t="inlineStr">
        <is>
          <t>Long Biên</t>
        </is>
      </c>
      <c r="M42" s="22" t="n">
        <v>21.0261548385</v>
      </c>
      <c r="N42" s="22" t="n">
        <v>105.914182238</v>
      </c>
      <c r="O42" s="21" t="inlineStr">
        <is>
          <t>DL_HN_NAMDUONG</t>
        </is>
      </c>
      <c r="P42" s="21" t="inlineStr">
        <is>
          <t>Nam Dương</t>
        </is>
      </c>
      <c r="Q42" s="21" t="inlineStr">
        <is>
          <t>Hà Nội</t>
        </is>
      </c>
      <c r="R42" s="21" t="inlineStr">
        <is>
          <t>Hà Nội</t>
        </is>
      </c>
      <c r="S42" s="22" t="n">
        <v>21.062911</v>
      </c>
      <c r="T42" s="22" t="n">
        <v>105.832351</v>
      </c>
      <c r="U42" s="21" t="inlineStr">
        <is>
          <t>Nội thành Hà Nội</t>
        </is>
      </c>
      <c r="V42" s="21" t="inlineStr">
        <is>
          <t>Nội thành Hà Nội</t>
        </is>
      </c>
      <c r="W42" s="29" t="n">
        <v>16</v>
      </c>
      <c r="X42" s="28" t="n">
        <v>383</v>
      </c>
      <c r="Y42" s="29" t="n">
        <v>0.83</v>
      </c>
      <c r="Z42" s="28" t="n">
        <v>1</v>
      </c>
      <c r="AA42" s="21" t="inlineStr">
        <is>
          <t>5 tạ</t>
        </is>
      </c>
      <c r="AB42" s="21" t="inlineStr">
        <is>
          <t>1.25T</t>
        </is>
      </c>
      <c r="AC42" s="21" t="inlineStr">
        <is>
          <t>No</t>
        </is>
      </c>
      <c r="AD42" s="21" t="inlineStr">
        <is>
          <t>Yes</t>
        </is>
      </c>
      <c r="AE42" s="21" t="inlineStr">
        <is>
          <t>No</t>
        </is>
      </c>
      <c r="AF42" s="21" t="inlineStr">
        <is>
          <t>Yes</t>
        </is>
      </c>
      <c r="AG42" s="21" t="inlineStr">
        <is>
          <t>Đường nội đô, có khung giờ cấm tải</t>
        </is>
      </c>
      <c r="AH42" s="21" t="inlineStr">
        <is>
          <t>07:30</t>
        </is>
      </c>
      <c r="AI42" s="21" t="inlineStr">
        <is>
          <t>10:00</t>
        </is>
      </c>
      <c r="AJ42" s="21" t="inlineStr">
        <is>
          <t>08:42</t>
        </is>
      </c>
      <c r="AK42" s="21" t="inlineStr">
        <is>
          <t>11:12</t>
        </is>
      </c>
      <c r="AL42" s="22" t="n">
        <v>30</v>
      </c>
      <c r="AM42" s="22" t="n">
        <v>25</v>
      </c>
      <c r="AN42" s="22" t="n">
        <v>20</v>
      </c>
      <c r="AO42" s="22" t="n">
        <v>222</v>
      </c>
      <c r="AP42" s="31" t="n">
        <v>820000</v>
      </c>
      <c r="AQ42" s="31" t="n">
        <v>0</v>
      </c>
      <c r="AR42" s="31" t="n">
        <v>0</v>
      </c>
      <c r="AS42" s="28" t="n">
        <v>150000</v>
      </c>
      <c r="AT42" s="21" t="inlineStr">
        <is>
          <t>A - SLA chặt</t>
        </is>
      </c>
      <c r="AU42" s="21" t="inlineStr">
        <is>
          <t>CR-NỘIT-02</t>
        </is>
      </c>
      <c r="AV42" s="21" t="inlineStr">
        <is>
          <t>Manual nhập điều phối</t>
        </is>
      </c>
      <c r="AW42" s="21" t="inlineStr">
        <is>
          <t>S3-C41</t>
        </is>
      </c>
      <c r="AX42" s="21" t="inlineStr">
        <is>
          <t>5 tạ</t>
        </is>
      </c>
      <c r="AY42" s="21" t="inlineStr">
        <is>
          <t>Send to Clustering</t>
        </is>
      </c>
      <c r="AZ42" s="21" t="inlineStr">
        <is>
          <t>OK</t>
        </is>
      </c>
      <c r="BA42" s="21" t="inlineStr">
        <is>
          <t>Cấm tải/đường nhỏ - đã chọn xe nhỏ</t>
        </is>
      </c>
      <c r="BB42" s="21">
        <f>AM42+AN42</f>
        <v/>
      </c>
      <c r="BC42" s="21">
        <f>ROUND(W42/'03_Cost_Constraints'!$B$4*60,0)</f>
        <v/>
      </c>
      <c r="BD42" s="21">
        <f>IF(X42&lt;=500,"5 tạ",IF(X42&lt;=1250,"1.25T",IF(X42&lt;=5000,"5T",IF(X42&lt;=8000,"8T",IF(X42&lt;=15000,"3 chân","4 chân")))))</f>
        <v/>
      </c>
      <c r="BE42" s="21">
        <f>IF((BB42+BC42)&lt;=AO42,"OK","Risk")</f>
        <v/>
      </c>
      <c r="BF42" s="21">
        <f>IF(AND(AZ42="OK",BE42="OK"),"Ready","Review")</f>
        <v/>
      </c>
      <c r="BG42" s="21" t="n"/>
    </row>
    <row r="43" ht="18" customHeight="1" s="17">
      <c r="A43" s="23" t="inlineStr">
        <is>
          <t>S3</t>
        </is>
      </c>
      <c r="B43" s="23" t="inlineStr">
        <is>
          <t>2026-06-05</t>
        </is>
      </c>
      <c r="C43" s="23" t="inlineStr">
        <is>
          <t>S3-ORD-042</t>
        </is>
      </c>
      <c r="D43" s="23" t="inlineStr">
        <is>
          <t>Acecook</t>
        </is>
      </c>
      <c r="E43" s="23" t="inlineStr">
        <is>
          <t>VINMART Uông Bí</t>
        </is>
      </c>
      <c r="F43" s="23" t="inlineStr">
        <is>
          <t>ST</t>
        </is>
      </c>
      <c r="G43" s="23" t="inlineStr">
        <is>
          <t>PAT2</t>
        </is>
      </c>
      <c r="H43" s="23" t="inlineStr">
        <is>
          <t>Bia lon 333</t>
        </is>
      </c>
      <c r="I43" s="23" t="inlineStr">
        <is>
          <t>PK_LINFOX_VSIP</t>
        </is>
      </c>
      <c r="J43" s="23" t="inlineStr">
        <is>
          <t>Kho Linfox KCN VSIP Bắc Ninh</t>
        </is>
      </c>
      <c r="K43" s="23" t="inlineStr">
        <is>
          <t>Bắc Ninh</t>
        </is>
      </c>
      <c r="L43" s="23" t="inlineStr">
        <is>
          <t>Từ Sơn</t>
        </is>
      </c>
      <c r="M43" s="24" t="n">
        <v>21.082707</v>
      </c>
      <c r="N43" s="24" t="n">
        <v>105.997949</v>
      </c>
      <c r="O43" s="23" t="inlineStr">
        <is>
          <t>DL_QN_UONGBI</t>
        </is>
      </c>
      <c r="P43" s="23" t="inlineStr">
        <is>
          <t>VINMART Uông Bí</t>
        </is>
      </c>
      <c r="Q43" s="23" t="inlineStr">
        <is>
          <t>Quảng Ninh</t>
        </is>
      </c>
      <c r="R43" s="23" t="inlineStr">
        <is>
          <t>Uông Bí</t>
        </is>
      </c>
      <c r="S43" s="24" t="n">
        <v>21.031495</v>
      </c>
      <c r="T43" s="24" t="n">
        <v>106.76688</v>
      </c>
      <c r="U43" s="23" t="inlineStr">
        <is>
          <t>Đông Bắc</t>
        </is>
      </c>
      <c r="V43" s="23" t="inlineStr">
        <is>
          <t>Đông Bắc</t>
        </is>
      </c>
      <c r="W43" s="33" t="n">
        <v>107.6</v>
      </c>
      <c r="X43" s="32" t="n">
        <v>1735</v>
      </c>
      <c r="Y43" s="33" t="n">
        <v>4.15</v>
      </c>
      <c r="Z43" s="32" t="n">
        <v>3</v>
      </c>
      <c r="AA43" s="23" t="inlineStr">
        <is>
          <t>5T</t>
        </is>
      </c>
      <c r="AB43" s="23" t="inlineStr">
        <is>
          <t>8T</t>
        </is>
      </c>
      <c r="AC43" s="23" t="inlineStr">
        <is>
          <t>No</t>
        </is>
      </c>
      <c r="AD43" s="23" t="inlineStr">
        <is>
          <t>Yes</t>
        </is>
      </c>
      <c r="AE43" s="23" t="inlineStr">
        <is>
          <t>No</t>
        </is>
      </c>
      <c r="AF43" s="23" t="inlineStr">
        <is>
          <t>No</t>
        </is>
      </c>
      <c r="AG43" s="23" t="inlineStr">
        <is>
          <t>Đường tỉnh, xe 5T/8T vào được</t>
        </is>
      </c>
      <c r="AH43" s="23" t="inlineStr">
        <is>
          <t>07:00</t>
        </is>
      </c>
      <c r="AI43" s="23" t="inlineStr">
        <is>
          <t>09:30</t>
        </is>
      </c>
      <c r="AJ43" s="23" t="inlineStr">
        <is>
          <t>10:53</t>
        </is>
      </c>
      <c r="AK43" s="23" t="inlineStr">
        <is>
          <t>12:23</t>
        </is>
      </c>
      <c r="AL43" s="24" t="n">
        <v>45</v>
      </c>
      <c r="AM43" s="24" t="n">
        <v>40</v>
      </c>
      <c r="AN43" s="24" t="n">
        <v>35</v>
      </c>
      <c r="AO43" s="24" t="n">
        <v>323</v>
      </c>
      <c r="AP43" s="35" t="n">
        <v>1770000</v>
      </c>
      <c r="AQ43" s="35" t="n">
        <v>0</v>
      </c>
      <c r="AR43" s="35" t="n">
        <v>0</v>
      </c>
      <c r="AS43" s="32" t="n">
        <v>80000</v>
      </c>
      <c r="AT43" s="23" t="inlineStr">
        <is>
          <t>C - Có thể thương lượng</t>
        </is>
      </c>
      <c r="AU43" s="23" t="inlineStr">
        <is>
          <t>CR-ĐÔNG-03</t>
        </is>
      </c>
      <c r="AV43" s="23" t="inlineStr">
        <is>
          <t>Excel khách hàng</t>
        </is>
      </c>
      <c r="AW43" s="23" t="inlineStr">
        <is>
          <t>S3-C41</t>
        </is>
      </c>
      <c r="AX43" s="23" t="inlineStr">
        <is>
          <t>5T</t>
        </is>
      </c>
      <c r="AY43" s="23" t="inlineStr">
        <is>
          <t>Send to Clustering</t>
        </is>
      </c>
      <c r="AZ43" s="23" t="inlineStr">
        <is>
          <t>OK</t>
        </is>
      </c>
      <c r="BA43" s="23" t="inlineStr">
        <is>
          <t>Empty-run &gt;100km cần tìm chuyến về</t>
        </is>
      </c>
      <c r="BB43" s="23">
        <f>AM43+AN43</f>
        <v/>
      </c>
      <c r="BC43" s="23">
        <f>ROUND(W43/'03_Cost_Constraints'!$B$4*60,0)</f>
        <v/>
      </c>
      <c r="BD43" s="23">
        <f>IF(X43&lt;=500,"5 tạ",IF(X43&lt;=1250,"1.25T",IF(X43&lt;=5000,"5T",IF(X43&lt;=8000,"8T",IF(X43&lt;=15000,"3 chân","4 chân")))))</f>
        <v/>
      </c>
      <c r="BE43" s="23">
        <f>IF((BB43+BC43)&lt;=AO43,"OK","Risk")</f>
        <v/>
      </c>
      <c r="BF43" s="23">
        <f>IF(AND(AZ43="OK",BE43="OK"),"Ready","Review")</f>
        <v/>
      </c>
      <c r="BG43" s="23" t="n"/>
    </row>
    <row r="44" ht="18" customHeight="1" s="17">
      <c r="A44" s="21" t="inlineStr">
        <is>
          <t>S3</t>
        </is>
      </c>
      <c r="B44" s="21" t="inlineStr">
        <is>
          <t>2026-06-05</t>
        </is>
      </c>
      <c r="C44" s="21" t="inlineStr">
        <is>
          <t>S3-ORD-043</t>
        </is>
      </c>
      <c r="D44" s="21" t="inlineStr">
        <is>
          <t>Linfox</t>
        </is>
      </c>
      <c r="E44" s="21" t="inlineStr">
        <is>
          <t>VINMART Royal City</t>
        </is>
      </c>
      <c r="F44" s="21" t="inlineStr">
        <is>
          <t>MT</t>
        </is>
      </c>
      <c r="G44" s="21" t="inlineStr">
        <is>
          <t>MILK</t>
        </is>
      </c>
      <c r="H44" s="21" t="inlineStr">
        <is>
          <t>Sữa hộp carton</t>
        </is>
      </c>
      <c r="I44" s="21" t="inlineStr">
        <is>
          <t>PK_HPL_LB</t>
        </is>
      </c>
      <c r="J44" s="21" t="inlineStr">
        <is>
          <t>HPL Depot Long Biên - 20 Thạch Bàn</t>
        </is>
      </c>
      <c r="K44" s="21" t="inlineStr">
        <is>
          <t>Hà Nội</t>
        </is>
      </c>
      <c r="L44" s="21" t="inlineStr">
        <is>
          <t>Long Biên</t>
        </is>
      </c>
      <c r="M44" s="22" t="n">
        <v>21.0261548385</v>
      </c>
      <c r="N44" s="22" t="n">
        <v>105.914182238</v>
      </c>
      <c r="O44" s="21" t="inlineStr">
        <is>
          <t>DL_HN_ROYAL</t>
        </is>
      </c>
      <c r="P44" s="21" t="inlineStr">
        <is>
          <t>VINMART Royal City</t>
        </is>
      </c>
      <c r="Q44" s="21" t="inlineStr">
        <is>
          <t>Hà Nội</t>
        </is>
      </c>
      <c r="R44" s="21" t="inlineStr">
        <is>
          <t>Thanh Xuân</t>
        </is>
      </c>
      <c r="S44" s="22" t="n">
        <v>21.003388</v>
      </c>
      <c r="T44" s="22" t="n">
        <v>105.816212</v>
      </c>
      <c r="U44" s="21" t="inlineStr">
        <is>
          <t>Nội thành Hà Nội</t>
        </is>
      </c>
      <c r="V44" s="21" t="inlineStr">
        <is>
          <t>Nội thành Hà Nội</t>
        </is>
      </c>
      <c r="W44" s="29" t="n">
        <v>18.1</v>
      </c>
      <c r="X44" s="28" t="n">
        <v>1414</v>
      </c>
      <c r="Y44" s="29" t="n">
        <v>2.67</v>
      </c>
      <c r="Z44" s="28" t="n">
        <v>2</v>
      </c>
      <c r="AA44" s="21" t="inlineStr">
        <is>
          <t>5T</t>
        </is>
      </c>
      <c r="AB44" s="21" t="inlineStr">
        <is>
          <t>1.25T</t>
        </is>
      </c>
      <c r="AC44" s="21" t="inlineStr">
        <is>
          <t>No</t>
        </is>
      </c>
      <c r="AD44" s="21" t="inlineStr">
        <is>
          <t>Yes</t>
        </is>
      </c>
      <c r="AE44" s="21" t="inlineStr">
        <is>
          <t>No</t>
        </is>
      </c>
      <c r="AF44" s="21" t="inlineStr">
        <is>
          <t>Yes</t>
        </is>
      </c>
      <c r="AG44" s="21" t="inlineStr">
        <is>
          <t>Hầm trung tâm thương mại</t>
        </is>
      </c>
      <c r="AH44" s="21" t="inlineStr">
        <is>
          <t>09:00</t>
        </is>
      </c>
      <c r="AI44" s="21" t="inlineStr">
        <is>
          <t>11:00</t>
        </is>
      </c>
      <c r="AJ44" s="21" t="inlineStr">
        <is>
          <t>10:31</t>
        </is>
      </c>
      <c r="AK44" s="21" t="inlineStr">
        <is>
          <t>13:31</t>
        </is>
      </c>
      <c r="AL44" s="22" t="n">
        <v>45</v>
      </c>
      <c r="AM44" s="22" t="n">
        <v>40</v>
      </c>
      <c r="AN44" s="22" t="n">
        <v>45</v>
      </c>
      <c r="AO44" s="22" t="n">
        <v>271</v>
      </c>
      <c r="AP44" s="31" t="n">
        <v>720000</v>
      </c>
      <c r="AQ44" s="31" t="n">
        <v>0</v>
      </c>
      <c r="AR44" s="31" t="n">
        <v>120000</v>
      </c>
      <c r="AS44" s="28" t="n">
        <v>150000</v>
      </c>
      <c r="AT44" s="21" t="inlineStr">
        <is>
          <t>A - SLA chặt</t>
        </is>
      </c>
      <c r="AU44" s="21" t="inlineStr">
        <is>
          <t>CR-NỘIT-04</t>
        </is>
      </c>
      <c r="AV44" s="21" t="inlineStr">
        <is>
          <t>Hệ thống khách hàng</t>
        </is>
      </c>
      <c r="AW44" s="21" t="inlineStr">
        <is>
          <t>S3-C43</t>
        </is>
      </c>
      <c r="AX44" s="21" t="inlineStr">
        <is>
          <t>Split/Chuyển tải</t>
        </is>
      </c>
      <c r="AY44" s="21" t="inlineStr">
        <is>
          <t>Split Order/Chuyển tải hoặc xin xe nhỏ nhiều chuyến</t>
        </is>
      </c>
      <c r="AZ44" s="21" t="inlineStr">
        <is>
          <t>Review</t>
        </is>
      </c>
      <c r="BA44" s="21" t="inlineStr">
        <is>
          <t>Vehicle Mismatch</t>
        </is>
      </c>
      <c r="BB44" s="21">
        <f>AM44+AN44</f>
        <v/>
      </c>
      <c r="BC44" s="21">
        <f>ROUND(W44/'03_Cost_Constraints'!$B$4*60,0)</f>
        <v/>
      </c>
      <c r="BD44" s="21">
        <f>IF(X44&lt;=500,"5 tạ",IF(X44&lt;=1250,"1.25T",IF(X44&lt;=5000,"5T",IF(X44&lt;=8000,"8T",IF(X44&lt;=15000,"3 chân","4 chân")))))</f>
        <v/>
      </c>
      <c r="BE44" s="21">
        <f>IF((BB44+BC44)&lt;=AO44,"OK","Risk")</f>
        <v/>
      </c>
      <c r="BF44" s="21">
        <f>IF(AND(AZ44="OK",BE44="OK"),"Ready","Review")</f>
        <v/>
      </c>
      <c r="BG44" s="21" t="n"/>
    </row>
    <row r="45" ht="18" customHeight="1" s="17">
      <c r="A45" s="23" t="inlineStr">
        <is>
          <t>S3</t>
        </is>
      </c>
      <c r="B45" s="23" t="inlineStr">
        <is>
          <t>2026-06-05</t>
        </is>
      </c>
      <c r="C45" s="23" t="inlineStr">
        <is>
          <t>S3-ORD-044</t>
        </is>
      </c>
      <c r="D45" s="23" t="inlineStr">
        <is>
          <t>MM Mega Market</t>
        </is>
      </c>
      <c r="E45" s="23" t="inlineStr">
        <is>
          <t>MM Hồng Bàng</t>
        </is>
      </c>
      <c r="F45" s="23" t="inlineStr">
        <is>
          <t>MT</t>
        </is>
      </c>
      <c r="G45" s="23" t="inlineStr">
        <is>
          <t>LVCA</t>
        </is>
      </c>
      <c r="H45" s="23" t="inlineStr">
        <is>
          <t>Bia lon Lạc Việt</t>
        </is>
      </c>
      <c r="I45" s="23" t="inlineStr">
        <is>
          <t>PK_HPL_LB</t>
        </is>
      </c>
      <c r="J45" s="23" t="inlineStr">
        <is>
          <t>HPL Depot Long Biên - 20 Thạch Bàn</t>
        </is>
      </c>
      <c r="K45" s="23" t="inlineStr">
        <is>
          <t>Hà Nội</t>
        </is>
      </c>
      <c r="L45" s="23" t="inlineStr">
        <is>
          <t>Long Biên</t>
        </is>
      </c>
      <c r="M45" s="24" t="n">
        <v>21.0261548385</v>
      </c>
      <c r="N45" s="24" t="n">
        <v>105.914182238</v>
      </c>
      <c r="O45" s="23" t="inlineStr">
        <is>
          <t>DL_HP_HONGBANG</t>
        </is>
      </c>
      <c r="P45" s="23" t="inlineStr">
        <is>
          <t>MM Hồng Bàng</t>
        </is>
      </c>
      <c r="Q45" s="23" t="inlineStr">
        <is>
          <t>Hải Phòng</t>
        </is>
      </c>
      <c r="R45" s="23" t="inlineStr">
        <is>
          <t>Hồng Bàng</t>
        </is>
      </c>
      <c r="S45" s="24" t="n">
        <v>20.856112</v>
      </c>
      <c r="T45" s="24" t="n">
        <v>106.682239</v>
      </c>
      <c r="U45" s="23" t="inlineStr">
        <is>
          <t>Đông Bắc</t>
        </is>
      </c>
      <c r="V45" s="23" t="inlineStr">
        <is>
          <t>Đông Bắc</t>
        </is>
      </c>
      <c r="W45" s="33" t="n">
        <v>112.1</v>
      </c>
      <c r="X45" s="32" t="n">
        <v>7725</v>
      </c>
      <c r="Y45" s="33" t="n">
        <v>14.89</v>
      </c>
      <c r="Z45" s="32" t="n">
        <v>12</v>
      </c>
      <c r="AA45" s="23" t="inlineStr">
        <is>
          <t>8T</t>
        </is>
      </c>
      <c r="AB45" s="23" t="inlineStr">
        <is>
          <t>5T</t>
        </is>
      </c>
      <c r="AC45" s="23" t="inlineStr">
        <is>
          <t>No</t>
        </is>
      </c>
      <c r="AD45" s="23" t="inlineStr">
        <is>
          <t>Yes</t>
        </is>
      </c>
      <c r="AE45" s="23" t="inlineStr">
        <is>
          <t>No</t>
        </is>
      </c>
      <c r="AF45" s="23" t="inlineStr">
        <is>
          <t>No</t>
        </is>
      </c>
      <c r="AG45" s="23" t="inlineStr">
        <is>
          <t>Đường đô thị Hải Phòng, xe 5T vào được</t>
        </is>
      </c>
      <c r="AH45" s="23" t="inlineStr">
        <is>
          <t>08:00</t>
        </is>
      </c>
      <c r="AI45" s="23" t="inlineStr">
        <is>
          <t>09:30</t>
        </is>
      </c>
      <c r="AJ45" s="23" t="inlineStr">
        <is>
          <t>12:59</t>
        </is>
      </c>
      <c r="AK45" s="23" t="inlineStr">
        <is>
          <t>15:29</t>
        </is>
      </c>
      <c r="AL45" s="24" t="n">
        <v>30</v>
      </c>
      <c r="AM45" s="24" t="n">
        <v>40</v>
      </c>
      <c r="AN45" s="24" t="n">
        <v>45</v>
      </c>
      <c r="AO45" s="24" t="n">
        <v>449</v>
      </c>
      <c r="AP45" s="35" t="n">
        <v>4950000</v>
      </c>
      <c r="AQ45" s="35" t="n">
        <v>0</v>
      </c>
      <c r="AR45" s="35" t="n">
        <v>120000</v>
      </c>
      <c r="AS45" s="32" t="n">
        <v>150000</v>
      </c>
      <c r="AT45" s="23" t="inlineStr">
        <is>
          <t>A - SLA chặt</t>
        </is>
      </c>
      <c r="AU45" s="23" t="inlineStr">
        <is>
          <t>CR-ĐÔNG-05</t>
        </is>
      </c>
      <c r="AV45" s="23" t="inlineStr">
        <is>
          <t>Zalo/Email plan 17:00</t>
        </is>
      </c>
      <c r="AW45" s="23" t="inlineStr">
        <is>
          <t>S3-C44</t>
        </is>
      </c>
      <c r="AX45" s="23" t="inlineStr">
        <is>
          <t>Split/Chuyển tải</t>
        </is>
      </c>
      <c r="AY45" s="23" t="inlineStr">
        <is>
          <t>Split Order/Chuyển tải hoặc xin xe nhỏ nhiều chuyến</t>
        </is>
      </c>
      <c r="AZ45" s="23" t="inlineStr">
        <is>
          <t>Review</t>
        </is>
      </c>
      <c r="BA45" s="23" t="inlineStr">
        <is>
          <t>Vehicle Mismatch</t>
        </is>
      </c>
      <c r="BB45" s="23">
        <f>AM45+AN45</f>
        <v/>
      </c>
      <c r="BC45" s="23">
        <f>ROUND(W45/'03_Cost_Constraints'!$B$4*60,0)</f>
        <v/>
      </c>
      <c r="BD45" s="23">
        <f>IF(X45&lt;=500,"5 tạ",IF(X45&lt;=1250,"1.25T",IF(X45&lt;=5000,"5T",IF(X45&lt;=8000,"8T",IF(X45&lt;=15000,"3 chân","4 chân")))))</f>
        <v/>
      </c>
      <c r="BE45" s="23">
        <f>IF((BB45+BC45)&lt;=AO45,"OK","Risk")</f>
        <v/>
      </c>
      <c r="BF45" s="23">
        <f>IF(AND(AZ45="OK",BE45="OK"),"Ready","Review")</f>
        <v/>
      </c>
      <c r="BG45" s="23" t="inlineStr">
        <is>
          <t>Kế hoạch ngày hôm sau; cần chốt trước 19:00 và gửi tài xế sau duyệt</t>
        </is>
      </c>
    </row>
    <row r="46" ht="18" customHeight="1" s="17">
      <c r="A46" s="21" t="inlineStr">
        <is>
          <t>S3</t>
        </is>
      </c>
      <c r="B46" s="21" t="inlineStr">
        <is>
          <t>2026-06-05</t>
        </is>
      </c>
      <c r="C46" s="21" t="inlineStr">
        <is>
          <t>S3-ORD-045</t>
        </is>
      </c>
      <c r="D46" s="21" t="inlineStr">
        <is>
          <t>Masan</t>
        </is>
      </c>
      <c r="E46" s="21" t="inlineStr">
        <is>
          <t>GO! Hà Nam</t>
        </is>
      </c>
      <c r="F46" s="21" t="inlineStr">
        <is>
          <t>MT</t>
        </is>
      </c>
      <c r="G46" s="21" t="inlineStr">
        <is>
          <t>POSM</t>
        </is>
      </c>
      <c r="H46" s="21" t="inlineStr">
        <is>
          <t>POSM trưng bày</t>
        </is>
      </c>
      <c r="I46" s="21" t="inlineStr">
        <is>
          <t>PK_NA_BACVINH</t>
        </is>
      </c>
      <c r="J46" s="21" t="inlineStr">
        <is>
          <t>Kho DC Vinh - KCN Bắc Vinh</t>
        </is>
      </c>
      <c r="K46" s="21" t="inlineStr">
        <is>
          <t>Nghệ An</t>
        </is>
      </c>
      <c r="L46" s="21" t="inlineStr">
        <is>
          <t>Vinh</t>
        </is>
      </c>
      <c r="M46" s="22" t="n">
        <v>18.733</v>
      </c>
      <c r="N46" s="22" t="n">
        <v>105.681</v>
      </c>
      <c r="O46" s="21" t="inlineStr">
        <is>
          <t>DL_HN_GO_HANAM</t>
        </is>
      </c>
      <c r="P46" s="21" t="inlineStr">
        <is>
          <t>GO! Hà Nam</t>
        </is>
      </c>
      <c r="Q46" s="21" t="inlineStr">
        <is>
          <t>Ninh Bình</t>
        </is>
      </c>
      <c r="R46" s="21" t="inlineStr">
        <is>
          <t>Phủ Lý</t>
        </is>
      </c>
      <c r="S46" s="22" t="n">
        <v>20.541</v>
      </c>
      <c r="T46" s="22" t="n">
        <v>105.913</v>
      </c>
      <c r="U46" s="21" t="inlineStr">
        <is>
          <t>Bắc Trung Bộ</t>
        </is>
      </c>
      <c r="V46" s="21" t="inlineStr">
        <is>
          <t>Bắc Trung Bộ</t>
        </is>
      </c>
      <c r="W46" s="29" t="n">
        <v>265.4</v>
      </c>
      <c r="X46" s="28" t="n">
        <v>7891</v>
      </c>
      <c r="Y46" s="29" t="n">
        <v>135.51</v>
      </c>
      <c r="Z46" s="28" t="n">
        <v>112</v>
      </c>
      <c r="AA46" s="21" t="inlineStr">
        <is>
          <t>Container</t>
        </is>
      </c>
      <c r="AB46" s="21" t="inlineStr">
        <is>
          <t>8T</t>
        </is>
      </c>
      <c r="AC46" s="21" t="inlineStr">
        <is>
          <t>No</t>
        </is>
      </c>
      <c r="AD46" s="21" t="inlineStr">
        <is>
          <t>No</t>
        </is>
      </c>
      <c r="AE46" s="21" t="inlineStr">
        <is>
          <t>Yes</t>
        </is>
      </c>
      <c r="AF46" s="21" t="inlineStr">
        <is>
          <t>No</t>
        </is>
      </c>
      <c r="AG46" s="21" t="inlineStr">
        <is>
          <t>Xe 5T/8T vào được</t>
        </is>
      </c>
      <c r="AH46" s="21" t="inlineStr">
        <is>
          <t>07:00</t>
        </is>
      </c>
      <c r="AI46" s="21" t="inlineStr">
        <is>
          <t>09:30</t>
        </is>
      </c>
      <c r="AJ46" s="21" t="inlineStr">
        <is>
          <t>14:38</t>
        </is>
      </c>
      <c r="AK46" s="21" t="inlineStr">
        <is>
          <t>16:38</t>
        </is>
      </c>
      <c r="AL46" s="22" t="n">
        <v>30</v>
      </c>
      <c r="AM46" s="22" t="n">
        <v>120</v>
      </c>
      <c r="AN46" s="22" t="n">
        <v>100</v>
      </c>
      <c r="AO46" s="22" t="n">
        <v>578</v>
      </c>
      <c r="AP46" s="31" t="n">
        <v>13160000</v>
      </c>
      <c r="AQ46" s="31" t="n">
        <v>150000</v>
      </c>
      <c r="AR46" s="31" t="n">
        <v>120000</v>
      </c>
      <c r="AS46" s="28" t="n">
        <v>80000</v>
      </c>
      <c r="AT46" s="21" t="inlineStr">
        <is>
          <t>B - Thường</t>
        </is>
      </c>
      <c r="AU46" s="21" t="inlineStr">
        <is>
          <t>CR-BẮCT-01</t>
        </is>
      </c>
      <c r="AV46" s="21" t="inlineStr">
        <is>
          <t>Manual nhập điều phối</t>
        </is>
      </c>
      <c r="AW46" s="21" t="inlineStr">
        <is>
          <t>S3-C45</t>
        </is>
      </c>
      <c r="AX46" s="21" t="inlineStr">
        <is>
          <t>Split/Chuyển tải</t>
        </is>
      </c>
      <c r="AY46" s="21" t="inlineStr">
        <is>
          <t>Split Order/Chuyển tải hoặc xin xe nhỏ nhiều chuyến</t>
        </is>
      </c>
      <c r="AZ46" s="21" t="inlineStr">
        <is>
          <t>Review</t>
        </is>
      </c>
      <c r="BA46" s="21" t="inlineStr">
        <is>
          <t>Vehicle Mismatch</t>
        </is>
      </c>
      <c r="BB46" s="21">
        <f>AM46+AN46</f>
        <v/>
      </c>
      <c r="BC46" s="21">
        <f>ROUND(W46/'03_Cost_Constraints'!$B$4*60,0)</f>
        <v/>
      </c>
      <c r="BD46" s="21">
        <f>IF(X46&lt;=500,"5 tạ",IF(X46&lt;=1250,"1.25T",IF(X46&lt;=5000,"5T",IF(X46&lt;=8000,"8T",IF(X46&lt;=15000,"3 chân","4 chân")))))</f>
        <v/>
      </c>
      <c r="BE46" s="21">
        <f>IF((BB46+BC46)&lt;=AO46,"OK","Risk")</f>
        <v/>
      </c>
      <c r="BF46" s="21">
        <f>IF(AND(AZ46="OK",BE46="OK"),"Ready","Review")</f>
        <v/>
      </c>
      <c r="BG46" s="21" t="n"/>
    </row>
    <row r="47" ht="18" customHeight="1" s="17">
      <c r="A47" s="23" t="inlineStr">
        <is>
          <t>S3</t>
        </is>
      </c>
      <c r="B47" s="23" t="inlineStr">
        <is>
          <t>2026-06-05</t>
        </is>
      </c>
      <c r="C47" s="23" t="inlineStr">
        <is>
          <t>S3-ORD-046</t>
        </is>
      </c>
      <c r="D47" s="23" t="inlineStr">
        <is>
          <t>VinCommerce</t>
        </is>
      </c>
      <c r="E47" s="23" t="inlineStr">
        <is>
          <t>VINMART Uông Bí</t>
        </is>
      </c>
      <c r="F47" s="23" t="inlineStr">
        <is>
          <t>ST</t>
        </is>
      </c>
      <c r="G47" s="23" t="inlineStr">
        <is>
          <t>FMCG</t>
        </is>
      </c>
      <c r="H47" s="23" t="inlineStr">
        <is>
          <t>Hàng tiêu dùng nhanh hỗn hợp</t>
        </is>
      </c>
      <c r="I47" s="23" t="inlineStr">
        <is>
          <t>PK_LINFOX_VSIP</t>
        </is>
      </c>
      <c r="J47" s="23" t="inlineStr">
        <is>
          <t>Kho Linfox KCN VSIP Bắc Ninh</t>
        </is>
      </c>
      <c r="K47" s="23" t="inlineStr">
        <is>
          <t>Bắc Ninh</t>
        </is>
      </c>
      <c r="L47" s="23" t="inlineStr">
        <is>
          <t>Từ Sơn</t>
        </is>
      </c>
      <c r="M47" s="24" t="n">
        <v>21.082707</v>
      </c>
      <c r="N47" s="24" t="n">
        <v>105.997949</v>
      </c>
      <c r="O47" s="23" t="inlineStr">
        <is>
          <t>DL_QN_UONGBI</t>
        </is>
      </c>
      <c r="P47" s="23" t="inlineStr">
        <is>
          <t>VINMART Uông Bí</t>
        </is>
      </c>
      <c r="Q47" s="23" t="inlineStr">
        <is>
          <t>Quảng Ninh</t>
        </is>
      </c>
      <c r="R47" s="23" t="inlineStr">
        <is>
          <t>Uông Bí</t>
        </is>
      </c>
      <c r="S47" s="24" t="n">
        <v>21.031495</v>
      </c>
      <c r="T47" s="24" t="n">
        <v>106.76688</v>
      </c>
      <c r="U47" s="23" t="inlineStr">
        <is>
          <t>Đông Bắc</t>
        </is>
      </c>
      <c r="V47" s="23" t="inlineStr">
        <is>
          <t>Đông Bắc</t>
        </is>
      </c>
      <c r="W47" s="33" t="n">
        <v>106.1</v>
      </c>
      <c r="X47" s="32" t="n">
        <v>6612</v>
      </c>
      <c r="Y47" s="33" t="n">
        <v>26.07</v>
      </c>
      <c r="Z47" s="32" t="n">
        <v>21</v>
      </c>
      <c r="AA47" s="23" t="inlineStr">
        <is>
          <t>8T</t>
        </is>
      </c>
      <c r="AB47" s="23" t="inlineStr">
        <is>
          <t>8T</t>
        </is>
      </c>
      <c r="AC47" s="23" t="inlineStr">
        <is>
          <t>No</t>
        </is>
      </c>
      <c r="AD47" s="23" t="inlineStr">
        <is>
          <t>Yes</t>
        </is>
      </c>
      <c r="AE47" s="23" t="inlineStr">
        <is>
          <t>No</t>
        </is>
      </c>
      <c r="AF47" s="23" t="inlineStr">
        <is>
          <t>No</t>
        </is>
      </c>
      <c r="AG47" s="23" t="inlineStr">
        <is>
          <t>Đường tỉnh, xe 5T/8T vào được</t>
        </is>
      </c>
      <c r="AH47" s="23" t="inlineStr">
        <is>
          <t>08:00</t>
        </is>
      </c>
      <c r="AI47" s="23" t="inlineStr">
        <is>
          <t>10:00</t>
        </is>
      </c>
      <c r="AJ47" s="23" t="inlineStr">
        <is>
          <t>11:21</t>
        </is>
      </c>
      <c r="AK47" s="23" t="inlineStr">
        <is>
          <t>14:21</t>
        </is>
      </c>
      <c r="AL47" s="24" t="n">
        <v>45</v>
      </c>
      <c r="AM47" s="24" t="n">
        <v>40</v>
      </c>
      <c r="AN47" s="24" t="n">
        <v>35</v>
      </c>
      <c r="AO47" s="24" t="n">
        <v>381</v>
      </c>
      <c r="AP47" s="35" t="n">
        <v>4090000</v>
      </c>
      <c r="AQ47" s="35" t="n">
        <v>0</v>
      </c>
      <c r="AR47" s="35" t="n">
        <v>0</v>
      </c>
      <c r="AS47" s="32" t="n">
        <v>80000</v>
      </c>
      <c r="AT47" s="23" t="inlineStr">
        <is>
          <t>C - Có thể thương lượng</t>
        </is>
      </c>
      <c r="AU47" s="23" t="inlineStr">
        <is>
          <t>CR-ĐÔNG-02</t>
        </is>
      </c>
      <c r="AV47" s="23" t="inlineStr">
        <is>
          <t>Excel khách hàng</t>
        </is>
      </c>
      <c r="AW47" s="23" t="inlineStr">
        <is>
          <t>S3-C46</t>
        </is>
      </c>
      <c r="AX47" s="23" t="inlineStr">
        <is>
          <t>8T</t>
        </is>
      </c>
      <c r="AY47" s="23" t="inlineStr">
        <is>
          <t>Ưu tiên 3PL/thuê ngoài nếu thiếu xe nội bộ</t>
        </is>
      </c>
      <c r="AZ47" s="23" t="inlineStr">
        <is>
          <t>OK</t>
        </is>
      </c>
      <c r="BA47" s="23" t="inlineStr">
        <is>
          <t>Capacity Shortage Candidate</t>
        </is>
      </c>
      <c r="BB47" s="23">
        <f>AM47+AN47</f>
        <v/>
      </c>
      <c r="BC47" s="23">
        <f>ROUND(W47/'03_Cost_Constraints'!$B$4*60,0)</f>
        <v/>
      </c>
      <c r="BD47" s="23">
        <f>IF(X47&lt;=500,"5 tạ",IF(X47&lt;=1250,"1.25T",IF(X47&lt;=5000,"5T",IF(X47&lt;=8000,"8T",IF(X47&lt;=15000,"3 chân","4 chân")))))</f>
        <v/>
      </c>
      <c r="BE47" s="23">
        <f>IF((BB47+BC47)&lt;=AO47,"OK","Risk")</f>
        <v/>
      </c>
      <c r="BF47" s="23">
        <f>IF(AND(AZ47="OK",BE47="OK"),"Ready","Review")</f>
        <v/>
      </c>
      <c r="BG47" s="23" t="n"/>
    </row>
    <row r="48" ht="18" customHeight="1" s="17">
      <c r="A48" s="21" t="inlineStr">
        <is>
          <t>S3</t>
        </is>
      </c>
      <c r="B48" s="21" t="inlineStr">
        <is>
          <t>2026-06-05</t>
        </is>
      </c>
      <c r="C48" s="21" t="inlineStr">
        <is>
          <t>S3-ORD-047</t>
        </is>
      </c>
      <c r="D48" s="21" t="inlineStr">
        <is>
          <t>Sabeco</t>
        </is>
      </c>
      <c r="E48" s="21" t="inlineStr">
        <is>
          <t>VINMART Bắc Từ Liêm</t>
        </is>
      </c>
      <c r="F48" s="21" t="inlineStr">
        <is>
          <t>ST</t>
        </is>
      </c>
      <c r="G48" s="21" t="inlineStr">
        <is>
          <t>POSM</t>
        </is>
      </c>
      <c r="H48" s="21" t="inlineStr">
        <is>
          <t>POSM trưng bày</t>
        </is>
      </c>
      <c r="I48" s="21" t="inlineStr">
        <is>
          <t>PK_HY_MYHAO</t>
        </is>
      </c>
      <c r="J48" s="21" t="inlineStr">
        <is>
          <t>Kho/Nhà máy khách hàng Mỹ Hào</t>
        </is>
      </c>
      <c r="K48" s="21" t="inlineStr">
        <is>
          <t>Hưng Yên</t>
        </is>
      </c>
      <c r="L48" s="21" t="inlineStr">
        <is>
          <t>Mỹ Hào</t>
        </is>
      </c>
      <c r="M48" s="22" t="n">
        <v>20.9329</v>
      </c>
      <c r="N48" s="22" t="n">
        <v>106.065</v>
      </c>
      <c r="O48" s="21" t="inlineStr">
        <is>
          <t>DL_HN_BACTULIEM</t>
        </is>
      </c>
      <c r="P48" s="21" t="inlineStr">
        <is>
          <t>VINMART Bắc Từ Liêm</t>
        </is>
      </c>
      <c r="Q48" s="21" t="inlineStr">
        <is>
          <t>Hà Nội</t>
        </is>
      </c>
      <c r="R48" s="21" t="inlineStr">
        <is>
          <t>Bắc Từ Liêm</t>
        </is>
      </c>
      <c r="S48" s="22" t="n">
        <v>21.052701</v>
      </c>
      <c r="T48" s="22" t="n">
        <v>105.780729</v>
      </c>
      <c r="U48" s="21" t="inlineStr">
        <is>
          <t>Nội thành Hà Nội</t>
        </is>
      </c>
      <c r="V48" s="21" t="inlineStr">
        <is>
          <t>Nội thành Hà Nội</t>
        </is>
      </c>
      <c r="W48" s="29" t="n">
        <v>50.5</v>
      </c>
      <c r="X48" s="28" t="n">
        <v>535</v>
      </c>
      <c r="Y48" s="29" t="n">
        <v>12.91</v>
      </c>
      <c r="Z48" s="28" t="n">
        <v>10</v>
      </c>
      <c r="AA48" s="21" t="inlineStr">
        <is>
          <t>5T</t>
        </is>
      </c>
      <c r="AB48" s="21" t="inlineStr">
        <is>
          <t>1.25T</t>
        </is>
      </c>
      <c r="AC48" s="21" t="inlineStr">
        <is>
          <t>No</t>
        </is>
      </c>
      <c r="AD48" s="21" t="inlineStr">
        <is>
          <t>No</t>
        </is>
      </c>
      <c r="AE48" s="21" t="inlineStr">
        <is>
          <t>Yes</t>
        </is>
      </c>
      <c r="AF48" s="21" t="inlineStr">
        <is>
          <t>Yes</t>
        </is>
      </c>
      <c r="AG48" s="21" t="inlineStr">
        <is>
          <t>Nội đô, khung giờ hạn chế xe tải</t>
        </is>
      </c>
      <c r="AH48" s="21" t="inlineStr">
        <is>
          <t>08:00</t>
        </is>
      </c>
      <c r="AI48" s="21" t="inlineStr">
        <is>
          <t>10:00</t>
        </is>
      </c>
      <c r="AJ48" s="21" t="inlineStr">
        <is>
          <t>10:26</t>
        </is>
      </c>
      <c r="AK48" s="21" t="inlineStr">
        <is>
          <t>12:26</t>
        </is>
      </c>
      <c r="AL48" s="22" t="n">
        <v>30</v>
      </c>
      <c r="AM48" s="22" t="n">
        <v>40</v>
      </c>
      <c r="AN48" s="22" t="n">
        <v>35</v>
      </c>
      <c r="AO48" s="22" t="n">
        <v>266</v>
      </c>
      <c r="AP48" s="31" t="n">
        <v>920000</v>
      </c>
      <c r="AQ48" s="31" t="n">
        <v>0</v>
      </c>
      <c r="AR48" s="31" t="n">
        <v>0</v>
      </c>
      <c r="AS48" s="28" t="n">
        <v>80000</v>
      </c>
      <c r="AT48" s="21" t="inlineStr">
        <is>
          <t>B - Thường</t>
        </is>
      </c>
      <c r="AU48" s="21" t="inlineStr">
        <is>
          <t>CR-NỘIT-03</t>
        </is>
      </c>
      <c r="AV48" s="21" t="inlineStr">
        <is>
          <t>Hệ thống khách hàng</t>
        </is>
      </c>
      <c r="AW48" s="21" t="inlineStr">
        <is>
          <t>S3-C47</t>
        </is>
      </c>
      <c r="AX48" s="21" t="inlineStr">
        <is>
          <t>Split/Chuyển tải</t>
        </is>
      </c>
      <c r="AY48" s="21" t="inlineStr">
        <is>
          <t>Split Order/Chuyển tải hoặc xin xe nhỏ nhiều chuyến</t>
        </is>
      </c>
      <c r="AZ48" s="21" t="inlineStr">
        <is>
          <t>Review</t>
        </is>
      </c>
      <c r="BA48" s="21" t="inlineStr">
        <is>
          <t>Vehicle Mismatch</t>
        </is>
      </c>
      <c r="BB48" s="21">
        <f>AM48+AN48</f>
        <v/>
      </c>
      <c r="BC48" s="21">
        <f>ROUND(W48/'03_Cost_Constraints'!$B$4*60,0)</f>
        <v/>
      </c>
      <c r="BD48" s="21">
        <f>IF(X48&lt;=500,"5 tạ",IF(X48&lt;=1250,"1.25T",IF(X48&lt;=5000,"5T",IF(X48&lt;=8000,"8T",IF(X48&lt;=15000,"3 chân","4 chân")))))</f>
        <v/>
      </c>
      <c r="BE48" s="21">
        <f>IF((BB48+BC48)&lt;=AO48,"OK","Risk")</f>
        <v/>
      </c>
      <c r="BF48" s="21">
        <f>IF(AND(AZ48="OK",BE48="OK"),"Ready","Review")</f>
        <v/>
      </c>
      <c r="BG48" s="21" t="n"/>
    </row>
    <row r="49" ht="18" customHeight="1" s="17">
      <c r="A49" s="23" t="inlineStr">
        <is>
          <t>S3</t>
        </is>
      </c>
      <c r="B49" s="23" t="inlineStr">
        <is>
          <t>2026-06-05</t>
        </is>
      </c>
      <c r="C49" s="23" t="inlineStr">
        <is>
          <t>S3-ORD-048</t>
        </is>
      </c>
      <c r="D49" s="23" t="inlineStr">
        <is>
          <t>Acecook</t>
        </is>
      </c>
      <c r="E49" s="23" t="inlineStr">
        <is>
          <t>TOPS MARKET ParkCity</t>
        </is>
      </c>
      <c r="F49" s="23" t="inlineStr">
        <is>
          <t>MT</t>
        </is>
      </c>
      <c r="G49" s="23" t="inlineStr">
        <is>
          <t>FMCG</t>
        </is>
      </c>
      <c r="H49" s="23" t="inlineStr">
        <is>
          <t>Hàng tiêu dùng nhanh hỗn hợp</t>
        </is>
      </c>
      <c r="I49" s="23" t="inlineStr">
        <is>
          <t>PK_HY_MYHAO</t>
        </is>
      </c>
      <c r="J49" s="23" t="inlineStr">
        <is>
          <t>Kho/Nhà máy khách hàng Mỹ Hào</t>
        </is>
      </c>
      <c r="K49" s="23" t="inlineStr">
        <is>
          <t>Hưng Yên</t>
        </is>
      </c>
      <c r="L49" s="23" t="inlineStr">
        <is>
          <t>Mỹ Hào</t>
        </is>
      </c>
      <c r="M49" s="24" t="n">
        <v>20.9329</v>
      </c>
      <c r="N49" s="24" t="n">
        <v>106.065</v>
      </c>
      <c r="O49" s="23" t="inlineStr">
        <is>
          <t>DL_HN_PARKCITY</t>
        </is>
      </c>
      <c r="P49" s="23" t="inlineStr">
        <is>
          <t>TOPS MARKET ParkCity</t>
        </is>
      </c>
      <c r="Q49" s="23" t="inlineStr">
        <is>
          <t>Hà Nội</t>
        </is>
      </c>
      <c r="R49" s="23" t="inlineStr">
        <is>
          <t>Hà Đông</t>
        </is>
      </c>
      <c r="S49" s="24" t="n">
        <v>20.965724</v>
      </c>
      <c r="T49" s="24" t="n">
        <v>105.756143</v>
      </c>
      <c r="U49" s="23" t="inlineStr">
        <is>
          <t>Nội thành Hà Nội</t>
        </is>
      </c>
      <c r="V49" s="23" t="inlineStr">
        <is>
          <t>Nội thành Hà Nội</t>
        </is>
      </c>
      <c r="W49" s="33" t="n">
        <v>49.7</v>
      </c>
      <c r="X49" s="32" t="n">
        <v>1639</v>
      </c>
      <c r="Y49" s="33" t="n">
        <v>8.300000000000001</v>
      </c>
      <c r="Z49" s="32" t="n">
        <v>6</v>
      </c>
      <c r="AA49" s="23" t="inlineStr">
        <is>
          <t>5T</t>
        </is>
      </c>
      <c r="AB49" s="23" t="inlineStr">
        <is>
          <t>1.25T</t>
        </is>
      </c>
      <c r="AC49" s="23" t="inlineStr">
        <is>
          <t>No</t>
        </is>
      </c>
      <c r="AD49" s="23" t="inlineStr">
        <is>
          <t>Yes</t>
        </is>
      </c>
      <c r="AE49" s="23" t="inlineStr">
        <is>
          <t>No</t>
        </is>
      </c>
      <c r="AF49" s="23" t="inlineStr">
        <is>
          <t>Yes</t>
        </is>
      </c>
      <c r="AG49" s="23" t="inlineStr">
        <is>
          <t>Bãi giao giới hạn chiều cao</t>
        </is>
      </c>
      <c r="AH49" s="23" t="inlineStr">
        <is>
          <t>08:30</t>
        </is>
      </c>
      <c r="AI49" s="23" t="inlineStr">
        <is>
          <t>11:00</t>
        </is>
      </c>
      <c r="AJ49" s="23" t="inlineStr">
        <is>
          <t>09:55</t>
        </is>
      </c>
      <c r="AK49" s="23" t="inlineStr">
        <is>
          <t>11:25</t>
        </is>
      </c>
      <c r="AL49" s="24" t="n">
        <v>45</v>
      </c>
      <c r="AM49" s="24" t="n">
        <v>40</v>
      </c>
      <c r="AN49" s="24" t="n">
        <v>45</v>
      </c>
      <c r="AO49" s="24" t="n">
        <v>175</v>
      </c>
      <c r="AP49" s="35" t="n">
        <v>980000</v>
      </c>
      <c r="AQ49" s="35" t="n">
        <v>0</v>
      </c>
      <c r="AR49" s="35" t="n">
        <v>120000</v>
      </c>
      <c r="AS49" s="32" t="n">
        <v>150000</v>
      </c>
      <c r="AT49" s="23" t="inlineStr">
        <is>
          <t>A - SLA chặt</t>
        </is>
      </c>
      <c r="AU49" s="23" t="inlineStr">
        <is>
          <t>CR-NỘIT-04</t>
        </is>
      </c>
      <c r="AV49" s="23" t="inlineStr">
        <is>
          <t>Zalo/Email plan 17:00</t>
        </is>
      </c>
      <c r="AW49" s="23" t="inlineStr">
        <is>
          <t>S3-C47</t>
        </is>
      </c>
      <c r="AX49" s="23" t="inlineStr">
        <is>
          <t>Split/Chuyển tải</t>
        </is>
      </c>
      <c r="AY49" s="23" t="inlineStr">
        <is>
          <t>Split Order/Chuyển tải hoặc xin xe nhỏ nhiều chuyến</t>
        </is>
      </c>
      <c r="AZ49" s="23" t="inlineStr">
        <is>
          <t>Review</t>
        </is>
      </c>
      <c r="BA49" s="23" t="inlineStr">
        <is>
          <t>Vehicle Mismatch</t>
        </is>
      </c>
      <c r="BB49" s="23">
        <f>AM49+AN49</f>
        <v/>
      </c>
      <c r="BC49" s="23">
        <f>ROUND(W49/'03_Cost_Constraints'!$B$4*60,0)</f>
        <v/>
      </c>
      <c r="BD49" s="23">
        <f>IF(X49&lt;=500,"5 tạ",IF(X49&lt;=1250,"1.25T",IF(X49&lt;=5000,"5T",IF(X49&lt;=8000,"8T",IF(X49&lt;=15000,"3 chân","4 chân")))))</f>
        <v/>
      </c>
      <c r="BE49" s="23">
        <f>IF((BB49+BC49)&lt;=AO49,"OK","Risk")</f>
        <v/>
      </c>
      <c r="BF49" s="23">
        <f>IF(AND(AZ49="OK",BE49="OK"),"Ready","Review")</f>
        <v/>
      </c>
      <c r="BG49" s="23" t="inlineStr">
        <is>
          <t>Lead time hẹp, cần cảnh báo hoặc xin nới giờ</t>
        </is>
      </c>
    </row>
    <row r="50" ht="18" customHeight="1" s="17">
      <c r="A50" s="21" t="inlineStr">
        <is>
          <t>S3</t>
        </is>
      </c>
      <c r="B50" s="21" t="inlineStr">
        <is>
          <t>2026-06-05</t>
        </is>
      </c>
      <c r="C50" s="21" t="inlineStr">
        <is>
          <t>S3-ORD-049</t>
        </is>
      </c>
      <c r="D50" s="21" t="inlineStr">
        <is>
          <t>Sabeco</t>
        </is>
      </c>
      <c r="E50" s="21" t="inlineStr">
        <is>
          <t>Siêu thị Thanh Hóa</t>
        </is>
      </c>
      <c r="F50" s="21" t="inlineStr">
        <is>
          <t>MT</t>
        </is>
      </c>
      <c r="G50" s="21" t="inlineStr">
        <is>
          <t>PAT2</t>
        </is>
      </c>
      <c r="H50" s="21" t="inlineStr">
        <is>
          <t>Bia lon 333</t>
        </is>
      </c>
      <c r="I50" s="21" t="inlineStr">
        <is>
          <t>PK_HPL_LB</t>
        </is>
      </c>
      <c r="J50" s="21" t="inlineStr">
        <is>
          <t>HPL Depot Long Biên - 20 Thạch Bàn</t>
        </is>
      </c>
      <c r="K50" s="21" t="inlineStr">
        <is>
          <t>Hà Nội</t>
        </is>
      </c>
      <c r="L50" s="21" t="inlineStr">
        <is>
          <t>Long Biên</t>
        </is>
      </c>
      <c r="M50" s="22" t="n">
        <v>21.0261548385</v>
      </c>
      <c r="N50" s="22" t="n">
        <v>105.914182238</v>
      </c>
      <c r="O50" s="21" t="inlineStr">
        <is>
          <t>DL_TH_SIEUTHI</t>
        </is>
      </c>
      <c r="P50" s="21" t="inlineStr">
        <is>
          <t>Siêu thị Thanh Hóa</t>
        </is>
      </c>
      <c r="Q50" s="21" t="inlineStr">
        <is>
          <t>Thanh Hóa</t>
        </is>
      </c>
      <c r="R50" s="21" t="inlineStr">
        <is>
          <t>Hạc Thành</t>
        </is>
      </c>
      <c r="S50" s="22" t="n">
        <v>19.8076</v>
      </c>
      <c r="T50" s="22" t="n">
        <v>105.77639</v>
      </c>
      <c r="U50" s="21" t="inlineStr">
        <is>
          <t>Bắc Trung Bộ</t>
        </is>
      </c>
      <c r="V50" s="21" t="inlineStr">
        <is>
          <t>Bắc Trung Bộ</t>
        </is>
      </c>
      <c r="W50" s="29" t="n">
        <v>180.9</v>
      </c>
      <c r="X50" s="28" t="n">
        <v>4395</v>
      </c>
      <c r="Y50" s="29" t="n">
        <v>7.61</v>
      </c>
      <c r="Z50" s="28" t="n">
        <v>6</v>
      </c>
      <c r="AA50" s="21" t="inlineStr">
        <is>
          <t>5T</t>
        </is>
      </c>
      <c r="AB50" s="21" t="inlineStr">
        <is>
          <t>5T</t>
        </is>
      </c>
      <c r="AC50" s="21" t="inlineStr">
        <is>
          <t>No</t>
        </is>
      </c>
      <c r="AD50" s="21" t="inlineStr">
        <is>
          <t>Yes</t>
        </is>
      </c>
      <c r="AE50" s="21" t="inlineStr">
        <is>
          <t>No</t>
        </is>
      </c>
      <c r="AF50" s="21" t="inlineStr">
        <is>
          <t>No</t>
        </is>
      </c>
      <c r="AG50" s="21" t="inlineStr">
        <is>
          <t>Đường đô thị, xe 5T vào được</t>
        </is>
      </c>
      <c r="AH50" s="21" t="inlineStr">
        <is>
          <t>07:00</t>
        </is>
      </c>
      <c r="AI50" s="21" t="inlineStr">
        <is>
          <t>08:30</t>
        </is>
      </c>
      <c r="AJ50" s="21" t="inlineStr">
        <is>
          <t>11:17</t>
        </is>
      </c>
      <c r="AK50" s="21" t="inlineStr">
        <is>
          <t>13:17</t>
        </is>
      </c>
      <c r="AL50" s="22" t="n">
        <v>30</v>
      </c>
      <c r="AM50" s="22" t="n">
        <v>40</v>
      </c>
      <c r="AN50" s="22" t="n">
        <v>45</v>
      </c>
      <c r="AO50" s="22" t="n">
        <v>377</v>
      </c>
      <c r="AP50" s="31" t="n">
        <v>5220000</v>
      </c>
      <c r="AQ50" s="31" t="n">
        <v>0</v>
      </c>
      <c r="AR50" s="31" t="n">
        <v>120000</v>
      </c>
      <c r="AS50" s="28" t="n">
        <v>80000</v>
      </c>
      <c r="AT50" s="21" t="inlineStr">
        <is>
          <t>C - Có thể thương lượng</t>
        </is>
      </c>
      <c r="AU50" s="21" t="inlineStr">
        <is>
          <t>CR-BẮCT-05</t>
        </is>
      </c>
      <c r="AV50" s="21" t="inlineStr">
        <is>
          <t>Manual nhập điều phối</t>
        </is>
      </c>
      <c r="AW50" s="21" t="inlineStr">
        <is>
          <t>S3-C49</t>
        </is>
      </c>
      <c r="AX50" s="21" t="inlineStr">
        <is>
          <t>5T</t>
        </is>
      </c>
      <c r="AY50" s="21" t="inlineStr">
        <is>
          <t>Send to Clustering</t>
        </is>
      </c>
      <c r="AZ50" s="21" t="inlineStr">
        <is>
          <t>OK</t>
        </is>
      </c>
      <c r="BA50" s="21" t="inlineStr">
        <is>
          <t>Empty-run &gt;100km cần tìm chuyến về</t>
        </is>
      </c>
      <c r="BB50" s="21">
        <f>AM50+AN50</f>
        <v/>
      </c>
      <c r="BC50" s="21">
        <f>ROUND(W50/'03_Cost_Constraints'!$B$4*60,0)</f>
        <v/>
      </c>
      <c r="BD50" s="21">
        <f>IF(X50&lt;=500,"5 tạ",IF(X50&lt;=1250,"1.25T",IF(X50&lt;=5000,"5T",IF(X50&lt;=8000,"8T",IF(X50&lt;=15000,"3 chân","4 chân")))))</f>
        <v/>
      </c>
      <c r="BE50" s="21">
        <f>IF((BB50+BC50)&lt;=AO50,"OK","Risk")</f>
        <v/>
      </c>
      <c r="BF50" s="21">
        <f>IF(AND(AZ50="OK",BE50="OK"),"Ready","Review")</f>
        <v/>
      </c>
      <c r="BG50" s="21" t="inlineStr">
        <is>
          <t>Lead time hẹp, cần cảnh báo hoặc xin nới giờ</t>
        </is>
      </c>
    </row>
    <row r="51" ht="18" customHeight="1" s="17">
      <c r="A51" s="23" t="inlineStr">
        <is>
          <t>S3</t>
        </is>
      </c>
      <c r="B51" s="23" t="inlineStr">
        <is>
          <t>2026-06-05</t>
        </is>
      </c>
      <c r="C51" s="23" t="inlineStr">
        <is>
          <t>S3-ORD-050</t>
        </is>
      </c>
      <c r="D51" s="23" t="inlineStr">
        <is>
          <t>Bách Hóa Xanh</t>
        </is>
      </c>
      <c r="E51" s="23" t="inlineStr">
        <is>
          <t>MM Vinh</t>
        </is>
      </c>
      <c r="F51" s="23" t="inlineStr">
        <is>
          <t>MT</t>
        </is>
      </c>
      <c r="G51" s="23" t="inlineStr">
        <is>
          <t>LVCA</t>
        </is>
      </c>
      <c r="H51" s="23" t="inlineStr">
        <is>
          <t>Bia lon Lạc Việt</t>
        </is>
      </c>
      <c r="I51" s="23" t="inlineStr">
        <is>
          <t>PK_TH_QX</t>
        </is>
      </c>
      <c r="J51" s="23" t="inlineStr">
        <is>
          <t>Kho DC Thanh Hóa - Quảng Xương</t>
        </is>
      </c>
      <c r="K51" s="23" t="inlineStr">
        <is>
          <t>Thanh Hóa</t>
        </is>
      </c>
      <c r="L51" s="23" t="inlineStr">
        <is>
          <t>Quảng Xương</t>
        </is>
      </c>
      <c r="M51" s="24" t="n">
        <v>19.731</v>
      </c>
      <c r="N51" s="24" t="n">
        <v>105.815</v>
      </c>
      <c r="O51" s="23" t="inlineStr">
        <is>
          <t>DL_NA_MM_VINH</t>
        </is>
      </c>
      <c r="P51" s="23" t="inlineStr">
        <is>
          <t>MM Vinh</t>
        </is>
      </c>
      <c r="Q51" s="23" t="inlineStr">
        <is>
          <t>Nghệ An</t>
        </is>
      </c>
      <c r="R51" s="23" t="inlineStr">
        <is>
          <t>Vinh</t>
        </is>
      </c>
      <c r="S51" s="24" t="n">
        <v>18.68052</v>
      </c>
      <c r="T51" s="24" t="n">
        <v>105.68133</v>
      </c>
      <c r="U51" s="23" t="inlineStr">
        <is>
          <t>Bắc Trung Bộ</t>
        </is>
      </c>
      <c r="V51" s="23" t="inlineStr">
        <is>
          <t>Bắc Trung Bộ</t>
        </is>
      </c>
      <c r="W51" s="33" t="n">
        <v>156.4</v>
      </c>
      <c r="X51" s="32" t="n">
        <v>10503</v>
      </c>
      <c r="Y51" s="33" t="n">
        <v>29.58</v>
      </c>
      <c r="Z51" s="32" t="n">
        <v>24</v>
      </c>
      <c r="AA51" s="23" t="inlineStr">
        <is>
          <t>3 chân</t>
        </is>
      </c>
      <c r="AB51" s="23" t="inlineStr">
        <is>
          <t>8T</t>
        </is>
      </c>
      <c r="AC51" s="23" t="inlineStr">
        <is>
          <t>No</t>
        </is>
      </c>
      <c r="AD51" s="23" t="inlineStr">
        <is>
          <t>Yes</t>
        </is>
      </c>
      <c r="AE51" s="23" t="inlineStr">
        <is>
          <t>No</t>
        </is>
      </c>
      <c r="AF51" s="23" t="inlineStr">
        <is>
          <t>No</t>
        </is>
      </c>
      <c r="AG51" s="23" t="inlineStr">
        <is>
          <t>Xe 8T vào được</t>
        </is>
      </c>
      <c r="AH51" s="23" t="inlineStr">
        <is>
          <t>07:00</t>
        </is>
      </c>
      <c r="AI51" s="23" t="inlineStr">
        <is>
          <t>09:00</t>
        </is>
      </c>
      <c r="AJ51" s="23" t="inlineStr">
        <is>
          <t>12:27</t>
        </is>
      </c>
      <c r="AK51" s="23" t="inlineStr">
        <is>
          <t>14:27</t>
        </is>
      </c>
      <c r="AL51" s="24" t="n">
        <v>45</v>
      </c>
      <c r="AM51" s="24" t="n">
        <v>120</v>
      </c>
      <c r="AN51" s="24" t="n">
        <v>100</v>
      </c>
      <c r="AO51" s="24" t="n">
        <v>447</v>
      </c>
      <c r="AP51" s="35" t="n">
        <v>10300000</v>
      </c>
      <c r="AQ51" s="35" t="n">
        <v>0</v>
      </c>
      <c r="AR51" s="35" t="n">
        <v>120000</v>
      </c>
      <c r="AS51" s="32" t="n">
        <v>80000</v>
      </c>
      <c r="AT51" s="23" t="inlineStr">
        <is>
          <t>C - Có thể thương lượng</t>
        </is>
      </c>
      <c r="AU51" s="23" t="inlineStr">
        <is>
          <t>CR-BẮCT-01</t>
        </is>
      </c>
      <c r="AV51" s="23" t="inlineStr">
        <is>
          <t>Excel khách hàng</t>
        </is>
      </c>
      <c r="AW51" s="23" t="inlineStr">
        <is>
          <t>S3-C50</t>
        </is>
      </c>
      <c r="AX51" s="23" t="inlineStr">
        <is>
          <t>Split/Chuyển tải</t>
        </is>
      </c>
      <c r="AY51" s="23" t="inlineStr">
        <is>
          <t>Split Order/Chuyển tải hoặc xin xe nhỏ nhiều chuyến</t>
        </is>
      </c>
      <c r="AZ51" s="23" t="inlineStr">
        <is>
          <t>Review</t>
        </is>
      </c>
      <c r="BA51" s="23" t="inlineStr">
        <is>
          <t>Vehicle Mismatch</t>
        </is>
      </c>
      <c r="BB51" s="23">
        <f>AM51+AN51</f>
        <v/>
      </c>
      <c r="BC51" s="23">
        <f>ROUND(W51/'03_Cost_Constraints'!$B$4*60,0)</f>
        <v/>
      </c>
      <c r="BD51" s="23">
        <f>IF(X51&lt;=500,"5 tạ",IF(X51&lt;=1250,"1.25T",IF(X51&lt;=5000,"5T",IF(X51&lt;=8000,"8T",IF(X51&lt;=15000,"3 chân","4 chân")))))</f>
        <v/>
      </c>
      <c r="BE51" s="23">
        <f>IF((BB51+BC51)&lt;=AO51,"OK","Risk")</f>
        <v/>
      </c>
      <c r="BF51" s="23">
        <f>IF(AND(AZ51="OK",BE51="OK"),"Ready","Review")</f>
        <v/>
      </c>
      <c r="BG51" s="23" t="n"/>
    </row>
    <row r="52" ht="18" customHeight="1" s="17">
      <c r="A52" s="21" t="inlineStr">
        <is>
          <t>S3</t>
        </is>
      </c>
      <c r="B52" s="21" t="inlineStr">
        <is>
          <t>2026-06-05</t>
        </is>
      </c>
      <c r="C52" s="21" t="inlineStr">
        <is>
          <t>S3-ORD-051</t>
        </is>
      </c>
      <c r="D52" s="21" t="inlineStr">
        <is>
          <t>Linfox</t>
        </is>
      </c>
      <c r="E52" s="21" t="inlineStr">
        <is>
          <t>VINMART Bắc Từ Liêm</t>
        </is>
      </c>
      <c r="F52" s="21" t="inlineStr">
        <is>
          <t>ST</t>
        </is>
      </c>
      <c r="G52" s="21" t="inlineStr">
        <is>
          <t>LVCA</t>
        </is>
      </c>
      <c r="H52" s="21" t="inlineStr">
        <is>
          <t>Bia lon Lạc Việt</t>
        </is>
      </c>
      <c r="I52" s="21" t="inlineStr">
        <is>
          <t>PK_HPL_LB</t>
        </is>
      </c>
      <c r="J52" s="21" t="inlineStr">
        <is>
          <t>HPL Depot Long Biên - 20 Thạch Bàn</t>
        </is>
      </c>
      <c r="K52" s="21" t="inlineStr">
        <is>
          <t>Hà Nội</t>
        </is>
      </c>
      <c r="L52" s="21" t="inlineStr">
        <is>
          <t>Long Biên</t>
        </is>
      </c>
      <c r="M52" s="22" t="n">
        <v>21.0261548385</v>
      </c>
      <c r="N52" s="22" t="n">
        <v>105.914182238</v>
      </c>
      <c r="O52" s="21" t="inlineStr">
        <is>
          <t>DL_HN_BACTULIEM</t>
        </is>
      </c>
      <c r="P52" s="21" t="inlineStr">
        <is>
          <t>VINMART Bắc Từ Liêm</t>
        </is>
      </c>
      <c r="Q52" s="21" t="inlineStr">
        <is>
          <t>Hà Nội</t>
        </is>
      </c>
      <c r="R52" s="21" t="inlineStr">
        <is>
          <t>Bắc Từ Liêm</t>
        </is>
      </c>
      <c r="S52" s="22" t="n">
        <v>21.052701</v>
      </c>
      <c r="T52" s="22" t="n">
        <v>105.780729</v>
      </c>
      <c r="U52" s="21" t="inlineStr">
        <is>
          <t>Nội thành Hà Nội</t>
        </is>
      </c>
      <c r="V52" s="21" t="inlineStr">
        <is>
          <t>Nội thành Hà Nội</t>
        </is>
      </c>
      <c r="W52" s="29" t="n">
        <v>26.8</v>
      </c>
      <c r="X52" s="28" t="n">
        <v>1220</v>
      </c>
      <c r="Y52" s="29" t="n">
        <v>2.46</v>
      </c>
      <c r="Z52" s="28" t="n">
        <v>2</v>
      </c>
      <c r="AA52" s="21" t="inlineStr">
        <is>
          <t>1.25T</t>
        </is>
      </c>
      <c r="AB52" s="21" t="inlineStr">
        <is>
          <t>1.25T</t>
        </is>
      </c>
      <c r="AC52" s="21" t="inlineStr">
        <is>
          <t>No</t>
        </is>
      </c>
      <c r="AD52" s="21" t="inlineStr">
        <is>
          <t>Yes</t>
        </is>
      </c>
      <c r="AE52" s="21" t="inlineStr">
        <is>
          <t>No</t>
        </is>
      </c>
      <c r="AF52" s="21" t="inlineStr">
        <is>
          <t>Yes</t>
        </is>
      </c>
      <c r="AG52" s="21" t="inlineStr">
        <is>
          <t>Nội đô, khung giờ hạn chế xe tải</t>
        </is>
      </c>
      <c r="AH52" s="21" t="inlineStr">
        <is>
          <t>08:30</t>
        </is>
      </c>
      <c r="AI52" s="21" t="inlineStr">
        <is>
          <t>10:30</t>
        </is>
      </c>
      <c r="AJ52" s="21" t="inlineStr">
        <is>
          <t>11:30</t>
        </is>
      </c>
      <c r="AK52" s="21" t="inlineStr">
        <is>
          <t>13:00</t>
        </is>
      </c>
      <c r="AL52" s="22" t="n">
        <v>45</v>
      </c>
      <c r="AM52" s="22" t="n">
        <v>25</v>
      </c>
      <c r="AN52" s="22" t="n">
        <v>20</v>
      </c>
      <c r="AO52" s="22" t="n">
        <v>270</v>
      </c>
      <c r="AP52" s="31" t="n">
        <v>750000</v>
      </c>
      <c r="AQ52" s="31" t="n">
        <v>150000</v>
      </c>
      <c r="AR52" s="31" t="n">
        <v>0</v>
      </c>
      <c r="AS52" s="28" t="n">
        <v>80000</v>
      </c>
      <c r="AT52" s="21" t="inlineStr">
        <is>
          <t>C - Có thể thương lượng</t>
        </is>
      </c>
      <c r="AU52" s="21" t="inlineStr">
        <is>
          <t>CR-NỘIT-02</t>
        </is>
      </c>
      <c r="AV52" s="21" t="inlineStr">
        <is>
          <t>Hệ thống khách hàng</t>
        </is>
      </c>
      <c r="AW52" s="21" t="inlineStr">
        <is>
          <t>S3-C51</t>
        </is>
      </c>
      <c r="AX52" s="21" t="inlineStr">
        <is>
          <t>1.25T</t>
        </is>
      </c>
      <c r="AY52" s="21" t="inlineStr">
        <is>
          <t>Send to Clustering</t>
        </is>
      </c>
      <c r="AZ52" s="21" t="inlineStr">
        <is>
          <t>OK</t>
        </is>
      </c>
      <c r="BA52" s="21" t="inlineStr">
        <is>
          <t>Cấm tải/đường nhỏ - đã chọn xe nhỏ</t>
        </is>
      </c>
      <c r="BB52" s="21">
        <f>AM52+AN52</f>
        <v/>
      </c>
      <c r="BC52" s="21">
        <f>ROUND(W52/'03_Cost_Constraints'!$B$4*60,0)</f>
        <v/>
      </c>
      <c r="BD52" s="21">
        <f>IF(X52&lt;=500,"5 tạ",IF(X52&lt;=1250,"1.25T",IF(X52&lt;=5000,"5T",IF(X52&lt;=8000,"8T",IF(X52&lt;=15000,"3 chân","4 chân")))))</f>
        <v/>
      </c>
      <c r="BE52" s="21">
        <f>IF((BB52+BC52)&lt;=AO52,"OK","Risk")</f>
        <v/>
      </c>
      <c r="BF52" s="21">
        <f>IF(AND(AZ52="OK",BE52="OK"),"Ready","Review")</f>
        <v/>
      </c>
      <c r="BG52" s="21" t="n"/>
    </row>
    <row r="53" ht="18" customHeight="1" s="17">
      <c r="A53" s="23" t="inlineStr">
        <is>
          <t>S3</t>
        </is>
      </c>
      <c r="B53" s="23" t="inlineStr">
        <is>
          <t>2026-06-05</t>
        </is>
      </c>
      <c r="C53" s="23" t="inlineStr">
        <is>
          <t>S3-ORD-052</t>
        </is>
      </c>
      <c r="D53" s="23" t="inlineStr">
        <is>
          <t>VinCommerce</t>
        </is>
      </c>
      <c r="E53" s="23" t="inlineStr">
        <is>
          <t>VINMART Times City</t>
        </is>
      </c>
      <c r="F53" s="23" t="inlineStr">
        <is>
          <t>MT</t>
        </is>
      </c>
      <c r="G53" s="23" t="inlineStr">
        <is>
          <t>PAT2</t>
        </is>
      </c>
      <c r="H53" s="23" t="inlineStr">
        <is>
          <t>Bia lon 333</t>
        </is>
      </c>
      <c r="I53" s="23" t="inlineStr">
        <is>
          <t>PK_HPL_LB</t>
        </is>
      </c>
      <c r="J53" s="23" t="inlineStr">
        <is>
          <t>HPL Depot Long Biên - 20 Thạch Bàn</t>
        </is>
      </c>
      <c r="K53" s="23" t="inlineStr">
        <is>
          <t>Hà Nội</t>
        </is>
      </c>
      <c r="L53" s="23" t="inlineStr">
        <is>
          <t>Long Biên</t>
        </is>
      </c>
      <c r="M53" s="24" t="n">
        <v>21.0261548385</v>
      </c>
      <c r="N53" s="24" t="n">
        <v>105.914182238</v>
      </c>
      <c r="O53" s="23" t="inlineStr">
        <is>
          <t>DL_HN_TIMESCITY</t>
        </is>
      </c>
      <c r="P53" s="23" t="inlineStr">
        <is>
          <t>VINMART Times City</t>
        </is>
      </c>
      <c r="Q53" s="23" t="inlineStr">
        <is>
          <t>Hà Nội</t>
        </is>
      </c>
      <c r="R53" s="23" t="inlineStr">
        <is>
          <t>Hai Bà Trưng</t>
        </is>
      </c>
      <c r="S53" s="24" t="n">
        <v>20.994022</v>
      </c>
      <c r="T53" s="24" t="n">
        <v>105.869639</v>
      </c>
      <c r="U53" s="23" t="inlineStr">
        <is>
          <t>Nội thành Hà Nội</t>
        </is>
      </c>
      <c r="V53" s="23" t="inlineStr">
        <is>
          <t>Nội thành Hà Nội</t>
        </is>
      </c>
      <c r="W53" s="33" t="n">
        <v>12</v>
      </c>
      <c r="X53" s="32" t="n">
        <v>201</v>
      </c>
      <c r="Y53" s="33" t="n">
        <v>0.6</v>
      </c>
      <c r="Z53" s="32" t="n">
        <v>1</v>
      </c>
      <c r="AA53" s="23" t="inlineStr">
        <is>
          <t>5 tạ</t>
        </is>
      </c>
      <c r="AB53" s="23" t="inlineStr">
        <is>
          <t>1.25T</t>
        </is>
      </c>
      <c r="AC53" s="23" t="inlineStr">
        <is>
          <t>No</t>
        </is>
      </c>
      <c r="AD53" s="23" t="inlineStr">
        <is>
          <t>Yes</t>
        </is>
      </c>
      <c r="AE53" s="23" t="inlineStr">
        <is>
          <t>No</t>
        </is>
      </c>
      <c r="AF53" s="23" t="inlineStr">
        <is>
          <t>Yes</t>
        </is>
      </c>
      <c r="AG53" s="23" t="inlineStr">
        <is>
          <t>Nội khu, xe lớn hạn chế</t>
        </is>
      </c>
      <c r="AH53" s="23" t="inlineStr">
        <is>
          <t>07:00</t>
        </is>
      </c>
      <c r="AI53" s="23" t="inlineStr">
        <is>
          <t>09:30</t>
        </is>
      </c>
      <c r="AJ53" s="23" t="inlineStr">
        <is>
          <t>09:05</t>
        </is>
      </c>
      <c r="AK53" s="23" t="inlineStr">
        <is>
          <t>11:05</t>
        </is>
      </c>
      <c r="AL53" s="24" t="n">
        <v>45</v>
      </c>
      <c r="AM53" s="24" t="n">
        <v>25</v>
      </c>
      <c r="AN53" s="24" t="n">
        <v>30</v>
      </c>
      <c r="AO53" s="24" t="n">
        <v>245</v>
      </c>
      <c r="AP53" s="35" t="n">
        <v>460000</v>
      </c>
      <c r="AQ53" s="35" t="n">
        <v>0</v>
      </c>
      <c r="AR53" s="35" t="n">
        <v>120000</v>
      </c>
      <c r="AS53" s="32" t="n">
        <v>150000</v>
      </c>
      <c r="AT53" s="23" t="inlineStr">
        <is>
          <t>A - SLA chặt</t>
        </is>
      </c>
      <c r="AU53" s="23" t="inlineStr">
        <is>
          <t>CR-NỘIT-03</t>
        </is>
      </c>
      <c r="AV53" s="23" t="inlineStr">
        <is>
          <t>Zalo/Email plan 17:00</t>
        </is>
      </c>
      <c r="AW53" s="23" t="inlineStr">
        <is>
          <t>S3-C52</t>
        </is>
      </c>
      <c r="AX53" s="23" t="inlineStr">
        <is>
          <t>5 tạ</t>
        </is>
      </c>
      <c r="AY53" s="23" t="inlineStr">
        <is>
          <t>Send to Clustering</t>
        </is>
      </c>
      <c r="AZ53" s="23" t="inlineStr">
        <is>
          <t>OK</t>
        </is>
      </c>
      <c r="BA53" s="23" t="inlineStr">
        <is>
          <t>Cấm tải/đường nhỏ - đã chọn xe nhỏ</t>
        </is>
      </c>
      <c r="BB53" s="23">
        <f>AM53+AN53</f>
        <v/>
      </c>
      <c r="BC53" s="23">
        <f>ROUND(W53/'03_Cost_Constraints'!$B$4*60,0)</f>
        <v/>
      </c>
      <c r="BD53" s="23">
        <f>IF(X53&lt;=500,"5 tạ",IF(X53&lt;=1250,"1.25T",IF(X53&lt;=5000,"5T",IF(X53&lt;=8000,"8T",IF(X53&lt;=15000,"3 chân","4 chân")))))</f>
        <v/>
      </c>
      <c r="BE53" s="23">
        <f>IF((BB53+BC53)&lt;=AO53,"OK","Risk")</f>
        <v/>
      </c>
      <c r="BF53" s="23">
        <f>IF(AND(AZ53="OK",BE53="OK"),"Ready","Review")</f>
        <v/>
      </c>
      <c r="BG53" s="23" t="inlineStr">
        <is>
          <t>Kế hoạch ngày hôm sau; cần chốt trước 19:00 và gửi tài xế sau duyệt</t>
        </is>
      </c>
    </row>
    <row r="54" ht="18" customHeight="1" s="17">
      <c r="A54" s="21" t="inlineStr">
        <is>
          <t>S3</t>
        </is>
      </c>
      <c r="B54" s="21" t="inlineStr">
        <is>
          <t>2026-06-05</t>
        </is>
      </c>
      <c r="C54" s="21" t="inlineStr">
        <is>
          <t>S3-ORD-053</t>
        </is>
      </c>
      <c r="D54" s="21" t="inlineStr">
        <is>
          <t>Unilever</t>
        </is>
      </c>
      <c r="E54" s="21" t="inlineStr">
        <is>
          <t>Siêu thị Thái Bình</t>
        </is>
      </c>
      <c r="F54" s="21" t="inlineStr">
        <is>
          <t>ST</t>
        </is>
      </c>
      <c r="G54" s="21" t="inlineStr">
        <is>
          <t>NOODLE</t>
        </is>
      </c>
      <c r="H54" s="21" t="inlineStr">
        <is>
          <t>Mì gói/Acecook carton</t>
        </is>
      </c>
      <c r="I54" s="21" t="inlineStr">
        <is>
          <t>PK_HPL_LB</t>
        </is>
      </c>
      <c r="J54" s="21" t="inlineStr">
        <is>
          <t>HPL Depot Long Biên - 20 Thạch Bàn</t>
        </is>
      </c>
      <c r="K54" s="21" t="inlineStr">
        <is>
          <t>Hà Nội</t>
        </is>
      </c>
      <c r="L54" s="21" t="inlineStr">
        <is>
          <t>Long Biên</t>
        </is>
      </c>
      <c r="M54" s="22" t="n">
        <v>21.0261548385</v>
      </c>
      <c r="N54" s="22" t="n">
        <v>105.914182238</v>
      </c>
      <c r="O54" s="21" t="inlineStr">
        <is>
          <t>DL_TB_SIEUTHI</t>
        </is>
      </c>
      <c r="P54" s="21" t="inlineStr">
        <is>
          <t>Siêu thị Thái Bình</t>
        </is>
      </c>
      <c r="Q54" s="21" t="inlineStr">
        <is>
          <t>Hưng Yên</t>
        </is>
      </c>
      <c r="R54" s="21" t="inlineStr">
        <is>
          <t>Thái Bình</t>
        </is>
      </c>
      <c r="S54" s="22" t="n">
        <v>20.446344</v>
      </c>
      <c r="T54" s="22" t="n">
        <v>106.336582</v>
      </c>
      <c r="U54" s="21" t="inlineStr">
        <is>
          <t>Đông Nam Hà Nội</t>
        </is>
      </c>
      <c r="V54" s="21" t="inlineStr">
        <is>
          <t>Đông Nam Hà Nội</t>
        </is>
      </c>
      <c r="W54" s="29" t="n">
        <v>107.3</v>
      </c>
      <c r="X54" s="28" t="n">
        <v>4852</v>
      </c>
      <c r="Y54" s="29" t="n">
        <v>41.52</v>
      </c>
      <c r="Z54" s="28" t="n">
        <v>34</v>
      </c>
      <c r="AA54" s="21" t="inlineStr">
        <is>
          <t>8T</t>
        </is>
      </c>
      <c r="AB54" s="21" t="inlineStr">
        <is>
          <t>8T</t>
        </is>
      </c>
      <c r="AC54" s="21" t="inlineStr">
        <is>
          <t>No</t>
        </is>
      </c>
      <c r="AD54" s="21" t="inlineStr">
        <is>
          <t>Yes</t>
        </is>
      </c>
      <c r="AE54" s="21" t="inlineStr">
        <is>
          <t>No</t>
        </is>
      </c>
      <c r="AF54" s="21" t="inlineStr">
        <is>
          <t>No</t>
        </is>
      </c>
      <c r="AG54" s="21" t="inlineStr">
        <is>
          <t>Ngoại thành, xe 5T/8T</t>
        </is>
      </c>
      <c r="AH54" s="21" t="inlineStr">
        <is>
          <t>09:00</t>
        </is>
      </c>
      <c r="AI54" s="21" t="inlineStr">
        <is>
          <t>10:30</t>
        </is>
      </c>
      <c r="AJ54" s="21" t="inlineStr">
        <is>
          <t>13:53</t>
        </is>
      </c>
      <c r="AK54" s="21" t="inlineStr">
        <is>
          <t>16:53</t>
        </is>
      </c>
      <c r="AL54" s="22" t="n">
        <v>45</v>
      </c>
      <c r="AM54" s="22" t="n">
        <v>40</v>
      </c>
      <c r="AN54" s="22" t="n">
        <v>35</v>
      </c>
      <c r="AO54" s="22" t="n">
        <v>473</v>
      </c>
      <c r="AP54" s="31" t="n">
        <v>3150000</v>
      </c>
      <c r="AQ54" s="31" t="n">
        <v>0</v>
      </c>
      <c r="AR54" s="31" t="n">
        <v>0</v>
      </c>
      <c r="AS54" s="28" t="n">
        <v>80000</v>
      </c>
      <c r="AT54" s="21" t="inlineStr">
        <is>
          <t>C - Có thể thương lượng</t>
        </is>
      </c>
      <c r="AU54" s="21" t="inlineStr">
        <is>
          <t>CR-ĐÔNG-04</t>
        </is>
      </c>
      <c r="AV54" s="21" t="inlineStr">
        <is>
          <t>Manual nhập điều phối</t>
        </is>
      </c>
      <c r="AW54" s="21" t="inlineStr">
        <is>
          <t>S3-C02</t>
        </is>
      </c>
      <c r="AX54" s="21" t="inlineStr">
        <is>
          <t>8T</t>
        </is>
      </c>
      <c r="AY54" s="21" t="inlineStr">
        <is>
          <t>Ưu tiên 3PL/thuê ngoài nếu thiếu xe nội bộ</t>
        </is>
      </c>
      <c r="AZ54" s="21" t="inlineStr">
        <is>
          <t>OK</t>
        </is>
      </c>
      <c r="BA54" s="21" t="inlineStr">
        <is>
          <t>Capacity Shortage Candidate</t>
        </is>
      </c>
      <c r="BB54" s="21">
        <f>AM54+AN54</f>
        <v/>
      </c>
      <c r="BC54" s="21">
        <f>ROUND(W54/'03_Cost_Constraints'!$B$4*60,0)</f>
        <v/>
      </c>
      <c r="BD54" s="21">
        <f>IF(X54&lt;=500,"5 tạ",IF(X54&lt;=1250,"1.25T",IF(X54&lt;=5000,"5T",IF(X54&lt;=8000,"8T",IF(X54&lt;=15000,"3 chân","4 chân")))))</f>
        <v/>
      </c>
      <c r="BE54" s="21">
        <f>IF((BB54+BC54)&lt;=AO54,"OK","Risk")</f>
        <v/>
      </c>
      <c r="BF54" s="21">
        <f>IF(AND(AZ54="OK",BE54="OK"),"Ready","Review")</f>
        <v/>
      </c>
      <c r="BG54" s="21" t="n"/>
    </row>
    <row r="55" ht="18" customHeight="1" s="17">
      <c r="A55" s="23" t="inlineStr">
        <is>
          <t>S3</t>
        </is>
      </c>
      <c r="B55" s="23" t="inlineStr">
        <is>
          <t>2026-06-05</t>
        </is>
      </c>
      <c r="C55" s="23" t="inlineStr">
        <is>
          <t>S3-ORD-054</t>
        </is>
      </c>
      <c r="D55" s="23" t="inlineStr">
        <is>
          <t>Masan</t>
        </is>
      </c>
      <c r="E55" s="23" t="inlineStr">
        <is>
          <t>Siêu thị Vinh</t>
        </is>
      </c>
      <c r="F55" s="23" t="inlineStr">
        <is>
          <t>ST</t>
        </is>
      </c>
      <c r="G55" s="23" t="inlineStr">
        <is>
          <t>CHCA</t>
        </is>
      </c>
      <c r="H55" s="23" t="inlineStr">
        <is>
          <t>Bia lon Saigon Chill</t>
        </is>
      </c>
      <c r="I55" s="23" t="inlineStr">
        <is>
          <t>PK_NA_BACVINH</t>
        </is>
      </c>
      <c r="J55" s="23" t="inlineStr">
        <is>
          <t>Kho DC Vinh - KCN Bắc Vinh</t>
        </is>
      </c>
      <c r="K55" s="23" t="inlineStr">
        <is>
          <t>Nghệ An</t>
        </is>
      </c>
      <c r="L55" s="23" t="inlineStr">
        <is>
          <t>Vinh</t>
        </is>
      </c>
      <c r="M55" s="24" t="n">
        <v>18.733</v>
      </c>
      <c r="N55" s="24" t="n">
        <v>105.681</v>
      </c>
      <c r="O55" s="23" t="inlineStr">
        <is>
          <t>DL_NA_SIEUTHI</t>
        </is>
      </c>
      <c r="P55" s="23" t="inlineStr">
        <is>
          <t>Siêu thị Vinh</t>
        </is>
      </c>
      <c r="Q55" s="23" t="inlineStr">
        <is>
          <t>Nghệ An</t>
        </is>
      </c>
      <c r="R55" s="23" t="inlineStr">
        <is>
          <t>Vinh</t>
        </is>
      </c>
      <c r="S55" s="24" t="n">
        <v>18.679586</v>
      </c>
      <c r="T55" s="24" t="n">
        <v>105.681101</v>
      </c>
      <c r="U55" s="23" t="inlineStr">
        <is>
          <t>Bắc Trung Bộ</t>
        </is>
      </c>
      <c r="V55" s="23" t="inlineStr">
        <is>
          <t>Bắc Trung Bộ</t>
        </is>
      </c>
      <c r="W55" s="33" t="n">
        <v>15.4</v>
      </c>
      <c r="X55" s="32" t="n">
        <v>3694</v>
      </c>
      <c r="Y55" s="33" t="n">
        <v>7.2</v>
      </c>
      <c r="Z55" s="32" t="n">
        <v>6</v>
      </c>
      <c r="AA55" s="23" t="inlineStr">
        <is>
          <t>5T</t>
        </is>
      </c>
      <c r="AB55" s="23" t="inlineStr">
        <is>
          <t>5T</t>
        </is>
      </c>
      <c r="AC55" s="23" t="inlineStr">
        <is>
          <t>No</t>
        </is>
      </c>
      <c r="AD55" s="23" t="inlineStr">
        <is>
          <t>Yes</t>
        </is>
      </c>
      <c r="AE55" s="23" t="inlineStr">
        <is>
          <t>No</t>
        </is>
      </c>
      <c r="AF55" s="23" t="inlineStr">
        <is>
          <t>No</t>
        </is>
      </c>
      <c r="AG55" s="23" t="inlineStr">
        <is>
          <t>Khung giờ nhập kho chiều</t>
        </is>
      </c>
      <c r="AH55" s="23" t="inlineStr">
        <is>
          <t>07:30</t>
        </is>
      </c>
      <c r="AI55" s="23" t="inlineStr">
        <is>
          <t>10:00</t>
        </is>
      </c>
      <c r="AJ55" s="23" t="inlineStr">
        <is>
          <t>09:20</t>
        </is>
      </c>
      <c r="AK55" s="23" t="inlineStr">
        <is>
          <t>10:50</t>
        </is>
      </c>
      <c r="AL55" s="24" t="n">
        <v>30</v>
      </c>
      <c r="AM55" s="24" t="n">
        <v>40</v>
      </c>
      <c r="AN55" s="24" t="n">
        <v>35</v>
      </c>
      <c r="AO55" s="24" t="n">
        <v>200</v>
      </c>
      <c r="AP55" s="35" t="n">
        <v>1090000</v>
      </c>
      <c r="AQ55" s="35" t="n">
        <v>0</v>
      </c>
      <c r="AR55" s="35" t="n">
        <v>0</v>
      </c>
      <c r="AS55" s="32" t="n">
        <v>150000</v>
      </c>
      <c r="AT55" s="23" t="inlineStr">
        <is>
          <t>A - SLA chặt</t>
        </is>
      </c>
      <c r="AU55" s="23" t="inlineStr">
        <is>
          <t>CR-BẮCT-05</t>
        </is>
      </c>
      <c r="AV55" s="23" t="inlineStr">
        <is>
          <t>Excel khách hàng</t>
        </is>
      </c>
      <c r="AW55" s="23" t="inlineStr">
        <is>
          <t>S3-C53</t>
        </is>
      </c>
      <c r="AX55" s="23" t="inlineStr">
        <is>
          <t>5T</t>
        </is>
      </c>
      <c r="AY55" s="23" t="inlineStr">
        <is>
          <t>Send to Clustering</t>
        </is>
      </c>
      <c r="AZ55" s="23" t="inlineStr">
        <is>
          <t>OK</t>
        </is>
      </c>
      <c r="BA55" s="23" t="inlineStr">
        <is>
          <t>OK</t>
        </is>
      </c>
      <c r="BB55" s="23">
        <f>AM55+AN55</f>
        <v/>
      </c>
      <c r="BC55" s="23">
        <f>ROUND(W55/'03_Cost_Constraints'!$B$4*60,0)</f>
        <v/>
      </c>
      <c r="BD55" s="23">
        <f>IF(X55&lt;=500,"5 tạ",IF(X55&lt;=1250,"1.25T",IF(X55&lt;=5000,"5T",IF(X55&lt;=8000,"8T",IF(X55&lt;=15000,"3 chân","4 chân")))))</f>
        <v/>
      </c>
      <c r="BE55" s="23">
        <f>IF((BB55+BC55)&lt;=AO55,"OK","Risk")</f>
        <v/>
      </c>
      <c r="BF55" s="23">
        <f>IF(AND(AZ55="OK",BE55="OK"),"Ready","Review")</f>
        <v/>
      </c>
      <c r="BG55" s="23" t="n"/>
    </row>
    <row r="56" ht="18" customHeight="1" s="17">
      <c r="A56" s="21" t="inlineStr">
        <is>
          <t>S3</t>
        </is>
      </c>
      <c r="B56" s="21" t="inlineStr">
        <is>
          <t>2026-06-05</t>
        </is>
      </c>
      <c r="C56" s="21" t="inlineStr">
        <is>
          <t>S3-ORD-055</t>
        </is>
      </c>
      <c r="D56" s="21" t="inlineStr">
        <is>
          <t>Sabeco</t>
        </is>
      </c>
      <c r="E56" s="21" t="inlineStr">
        <is>
          <t>LOTTE MART Đống Đa</t>
        </is>
      </c>
      <c r="F56" s="21" t="inlineStr">
        <is>
          <t>MT</t>
        </is>
      </c>
      <c r="G56" s="21" t="inlineStr">
        <is>
          <t>CHCA</t>
        </is>
      </c>
      <c r="H56" s="21" t="inlineStr">
        <is>
          <t>Bia lon Saigon Chill</t>
        </is>
      </c>
      <c r="I56" s="21" t="inlineStr">
        <is>
          <t>PK_HPL_LB</t>
        </is>
      </c>
      <c r="J56" s="21" t="inlineStr">
        <is>
          <t>HPL Depot Long Biên - 20 Thạch Bàn</t>
        </is>
      </c>
      <c r="K56" s="21" t="inlineStr">
        <is>
          <t>Hà Nội</t>
        </is>
      </c>
      <c r="L56" s="21" t="inlineStr">
        <is>
          <t>Long Biên</t>
        </is>
      </c>
      <c r="M56" s="22" t="n">
        <v>21.0261548385</v>
      </c>
      <c r="N56" s="22" t="n">
        <v>105.914182238</v>
      </c>
      <c r="O56" s="21" t="inlineStr">
        <is>
          <t>DL_HN_LOTTE_DD</t>
        </is>
      </c>
      <c r="P56" s="21" t="inlineStr">
        <is>
          <t>LOTTE MART Đống Đa</t>
        </is>
      </c>
      <c r="Q56" s="21" t="inlineStr">
        <is>
          <t>Hà Nội</t>
        </is>
      </c>
      <c r="R56" s="21" t="inlineStr">
        <is>
          <t>Đống Đa</t>
        </is>
      </c>
      <c r="S56" s="22" t="n">
        <v>21.005536</v>
      </c>
      <c r="T56" s="22" t="n">
        <v>105.823942</v>
      </c>
      <c r="U56" s="21" t="inlineStr">
        <is>
          <t>Nội thành Hà Nội</t>
        </is>
      </c>
      <c r="V56" s="21" t="inlineStr">
        <is>
          <t>Nội thành Hà Nội</t>
        </is>
      </c>
      <c r="W56" s="29" t="n">
        <v>21.5</v>
      </c>
      <c r="X56" s="28" t="n">
        <v>1035</v>
      </c>
      <c r="Y56" s="29" t="n">
        <v>2.2</v>
      </c>
      <c r="Z56" s="28" t="n">
        <v>1</v>
      </c>
      <c r="AA56" s="21" t="inlineStr">
        <is>
          <t>1.25T</t>
        </is>
      </c>
      <c r="AB56" s="21" t="inlineStr">
        <is>
          <t>1.25T</t>
        </is>
      </c>
      <c r="AC56" s="21" t="inlineStr">
        <is>
          <t>No</t>
        </is>
      </c>
      <c r="AD56" s="21" t="inlineStr">
        <is>
          <t>Yes</t>
        </is>
      </c>
      <c r="AE56" s="21" t="inlineStr">
        <is>
          <t>No</t>
        </is>
      </c>
      <c r="AF56" s="21" t="inlineStr">
        <is>
          <t>Yes</t>
        </is>
      </c>
      <c r="AG56" s="21" t="inlineStr">
        <is>
          <t>Hầm giao nhận, chỉ xe nhỏ/1.25T</t>
        </is>
      </c>
      <c r="AH56" s="21" t="inlineStr">
        <is>
          <t>08:30</t>
        </is>
      </c>
      <c r="AI56" s="21" t="inlineStr">
        <is>
          <t>10:00</t>
        </is>
      </c>
      <c r="AJ56" s="21" t="inlineStr">
        <is>
          <t>10:21</t>
        </is>
      </c>
      <c r="AK56" s="21" t="inlineStr">
        <is>
          <t>12:51</t>
        </is>
      </c>
      <c r="AL56" s="22" t="n">
        <v>30</v>
      </c>
      <c r="AM56" s="22" t="n">
        <v>25</v>
      </c>
      <c r="AN56" s="22" t="n">
        <v>30</v>
      </c>
      <c r="AO56" s="22" t="n">
        <v>261</v>
      </c>
      <c r="AP56" s="31" t="n">
        <v>550000</v>
      </c>
      <c r="AQ56" s="31" t="n">
        <v>0</v>
      </c>
      <c r="AR56" s="31" t="n">
        <v>120000</v>
      </c>
      <c r="AS56" s="28" t="n">
        <v>150000</v>
      </c>
      <c r="AT56" s="21" t="inlineStr">
        <is>
          <t>A - SLA chặt</t>
        </is>
      </c>
      <c r="AU56" s="21" t="inlineStr">
        <is>
          <t>CR-NỘIT-01</t>
        </is>
      </c>
      <c r="AV56" s="21" t="inlineStr">
        <is>
          <t>Hệ thống khách hàng</t>
        </is>
      </c>
      <c r="AW56" s="21" t="inlineStr">
        <is>
          <t>S3-C04</t>
        </is>
      </c>
      <c r="AX56" s="21" t="inlineStr">
        <is>
          <t>1.25T</t>
        </is>
      </c>
      <c r="AY56" s="21" t="inlineStr">
        <is>
          <t>Send to Clustering</t>
        </is>
      </c>
      <c r="AZ56" s="21" t="inlineStr">
        <is>
          <t>OK</t>
        </is>
      </c>
      <c r="BA56" s="21" t="inlineStr">
        <is>
          <t>Cấm tải/đường nhỏ - đã chọn xe nhỏ</t>
        </is>
      </c>
      <c r="BB56" s="21">
        <f>AM56+AN56</f>
        <v/>
      </c>
      <c r="BC56" s="21">
        <f>ROUND(W56/'03_Cost_Constraints'!$B$4*60,0)</f>
        <v/>
      </c>
      <c r="BD56" s="21">
        <f>IF(X56&lt;=500,"5 tạ",IF(X56&lt;=1250,"1.25T",IF(X56&lt;=5000,"5T",IF(X56&lt;=8000,"8T",IF(X56&lt;=15000,"3 chân","4 chân")))))</f>
        <v/>
      </c>
      <c r="BE56" s="21">
        <f>IF((BB56+BC56)&lt;=AO56,"OK","Risk")</f>
        <v/>
      </c>
      <c r="BF56" s="21">
        <f>IF(AND(AZ56="OK",BE56="OK"),"Ready","Review")</f>
        <v/>
      </c>
      <c r="BG56" s="21" t="n"/>
    </row>
    <row r="57" ht="18" customHeight="1" s="17">
      <c r="A57" s="23" t="inlineStr">
        <is>
          <t>S3</t>
        </is>
      </c>
      <c r="B57" s="23" t="inlineStr">
        <is>
          <t>2026-06-05</t>
        </is>
      </c>
      <c r="C57" s="23" t="inlineStr">
        <is>
          <t>S3-ORD-056</t>
        </is>
      </c>
      <c r="D57" s="23" t="inlineStr">
        <is>
          <t>Sabeco</t>
        </is>
      </c>
      <c r="E57" s="23" t="inlineStr">
        <is>
          <t>VINMART Bắc Từ Liêm</t>
        </is>
      </c>
      <c r="F57" s="23" t="inlineStr">
        <is>
          <t>ST</t>
        </is>
      </c>
      <c r="G57" s="23" t="inlineStr">
        <is>
          <t>POSM</t>
        </is>
      </c>
      <c r="H57" s="23" t="inlineStr">
        <is>
          <t>POSM trưng bày</t>
        </is>
      </c>
      <c r="I57" s="23" t="inlineStr">
        <is>
          <t>PK_HY_MYHAO</t>
        </is>
      </c>
      <c r="J57" s="23" t="inlineStr">
        <is>
          <t>Kho/Nhà máy khách hàng Mỹ Hào</t>
        </is>
      </c>
      <c r="K57" s="23" t="inlineStr">
        <is>
          <t>Hưng Yên</t>
        </is>
      </c>
      <c r="L57" s="23" t="inlineStr">
        <is>
          <t>Mỹ Hào</t>
        </is>
      </c>
      <c r="M57" s="24" t="n">
        <v>20.9329</v>
      </c>
      <c r="N57" s="24" t="n">
        <v>106.065</v>
      </c>
      <c r="O57" s="23" t="inlineStr">
        <is>
          <t>DL_HN_BACTULIEM</t>
        </is>
      </c>
      <c r="P57" s="23" t="inlineStr">
        <is>
          <t>VINMART Bắc Từ Liêm</t>
        </is>
      </c>
      <c r="Q57" s="23" t="inlineStr">
        <is>
          <t>Hà Nội</t>
        </is>
      </c>
      <c r="R57" s="23" t="inlineStr">
        <is>
          <t>Bắc Từ Liêm</t>
        </is>
      </c>
      <c r="S57" s="24" t="n">
        <v>21.052701</v>
      </c>
      <c r="T57" s="24" t="n">
        <v>105.780729</v>
      </c>
      <c r="U57" s="23" t="inlineStr">
        <is>
          <t>Nội thành Hà Nội</t>
        </is>
      </c>
      <c r="V57" s="23" t="inlineStr">
        <is>
          <t>Nội thành Hà Nội</t>
        </is>
      </c>
      <c r="W57" s="33" t="n">
        <v>50.9</v>
      </c>
      <c r="X57" s="32" t="n">
        <v>1044</v>
      </c>
      <c r="Y57" s="33" t="n">
        <v>20.32</v>
      </c>
      <c r="Z57" s="32" t="n">
        <v>16</v>
      </c>
      <c r="AA57" s="23" t="inlineStr">
        <is>
          <t>5T</t>
        </is>
      </c>
      <c r="AB57" s="23" t="inlineStr">
        <is>
          <t>1.25T</t>
        </is>
      </c>
      <c r="AC57" s="23" t="inlineStr">
        <is>
          <t>No</t>
        </is>
      </c>
      <c r="AD57" s="23" t="inlineStr">
        <is>
          <t>Yes</t>
        </is>
      </c>
      <c r="AE57" s="23" t="inlineStr">
        <is>
          <t>No</t>
        </is>
      </c>
      <c r="AF57" s="23" t="inlineStr">
        <is>
          <t>Yes</t>
        </is>
      </c>
      <c r="AG57" s="23" t="inlineStr">
        <is>
          <t>Nội đô, khung giờ hạn chế xe tải</t>
        </is>
      </c>
      <c r="AH57" s="23" t="inlineStr">
        <is>
          <t>07:30</t>
        </is>
      </c>
      <c r="AI57" s="23" t="inlineStr">
        <is>
          <t>09:30</t>
        </is>
      </c>
      <c r="AJ57" s="23" t="inlineStr">
        <is>
          <t>11:27</t>
        </is>
      </c>
      <c r="AK57" s="23" t="inlineStr">
        <is>
          <t>13:57</t>
        </is>
      </c>
      <c r="AL57" s="24" t="n">
        <v>30</v>
      </c>
      <c r="AM57" s="24" t="n">
        <v>40</v>
      </c>
      <c r="AN57" s="24" t="n">
        <v>35</v>
      </c>
      <c r="AO57" s="24" t="n">
        <v>387</v>
      </c>
      <c r="AP57" s="35" t="n">
        <v>690000</v>
      </c>
      <c r="AQ57" s="35" t="n">
        <v>0</v>
      </c>
      <c r="AR57" s="35" t="n">
        <v>0</v>
      </c>
      <c r="AS57" s="32" t="n">
        <v>150000</v>
      </c>
      <c r="AT57" s="23" t="inlineStr">
        <is>
          <t>A - SLA chặt</t>
        </is>
      </c>
      <c r="AU57" s="23" t="inlineStr">
        <is>
          <t>CR-NỘIT-02</t>
        </is>
      </c>
      <c r="AV57" s="23" t="inlineStr">
        <is>
          <t>Zalo/Email plan 17:00</t>
        </is>
      </c>
      <c r="AW57" s="23" t="inlineStr">
        <is>
          <t>S3-C05</t>
        </is>
      </c>
      <c r="AX57" s="23" t="inlineStr">
        <is>
          <t>Split/Chuyển tải</t>
        </is>
      </c>
      <c r="AY57" s="23" t="inlineStr">
        <is>
          <t>Split Order/Chuyển tải hoặc xin xe nhỏ nhiều chuyến</t>
        </is>
      </c>
      <c r="AZ57" s="23" t="inlineStr">
        <is>
          <t>Review</t>
        </is>
      </c>
      <c r="BA57" s="23" t="inlineStr">
        <is>
          <t>Vehicle Mismatch</t>
        </is>
      </c>
      <c r="BB57" s="23">
        <f>AM57+AN57</f>
        <v/>
      </c>
      <c r="BC57" s="23">
        <f>ROUND(W57/'03_Cost_Constraints'!$B$4*60,0)</f>
        <v/>
      </c>
      <c r="BD57" s="23">
        <f>IF(X57&lt;=500,"5 tạ",IF(X57&lt;=1250,"1.25T",IF(X57&lt;=5000,"5T",IF(X57&lt;=8000,"8T",IF(X57&lt;=15000,"3 chân","4 chân")))))</f>
        <v/>
      </c>
      <c r="BE57" s="23">
        <f>IF((BB57+BC57)&lt;=AO57,"OK","Risk")</f>
        <v/>
      </c>
      <c r="BF57" s="23">
        <f>IF(AND(AZ57="OK",BE57="OK"),"Ready","Review")</f>
        <v/>
      </c>
      <c r="BG57" s="23" t="inlineStr">
        <is>
          <t>Kế hoạch ngày hôm sau; cần chốt trước 19:00 và gửi tài xế sau duyệt</t>
        </is>
      </c>
    </row>
    <row r="58" ht="18" customHeight="1" s="17">
      <c r="A58" s="21" t="inlineStr">
        <is>
          <t>S3</t>
        </is>
      </c>
      <c r="B58" s="21" t="inlineStr">
        <is>
          <t>2026-06-05</t>
        </is>
      </c>
      <c r="C58" s="21" t="inlineStr">
        <is>
          <t>S3-ORD-057</t>
        </is>
      </c>
      <c r="D58" s="21" t="inlineStr">
        <is>
          <t>Sabeco</t>
        </is>
      </c>
      <c r="E58" s="21" t="inlineStr">
        <is>
          <t>TOPS MARKET ParkCity</t>
        </is>
      </c>
      <c r="F58" s="21" t="inlineStr">
        <is>
          <t>MT</t>
        </is>
      </c>
      <c r="G58" s="21" t="inlineStr">
        <is>
          <t>SP33</t>
        </is>
      </c>
      <c r="H58" s="21" t="inlineStr">
        <is>
          <t>Bia lon Saigon Special</t>
        </is>
      </c>
      <c r="I58" s="21" t="inlineStr">
        <is>
          <t>PK_HY_MYHAO</t>
        </is>
      </c>
      <c r="J58" s="21" t="inlineStr">
        <is>
          <t>Kho/Nhà máy khách hàng Mỹ Hào</t>
        </is>
      </c>
      <c r="K58" s="21" t="inlineStr">
        <is>
          <t>Hưng Yên</t>
        </is>
      </c>
      <c r="L58" s="21" t="inlineStr">
        <is>
          <t>Mỹ Hào</t>
        </is>
      </c>
      <c r="M58" s="22" t="n">
        <v>20.9329</v>
      </c>
      <c r="N58" s="22" t="n">
        <v>106.065</v>
      </c>
      <c r="O58" s="21" t="inlineStr">
        <is>
          <t>DL_HN_PARKCITY</t>
        </is>
      </c>
      <c r="P58" s="21" t="inlineStr">
        <is>
          <t>TOPS MARKET ParkCity</t>
        </is>
      </c>
      <c r="Q58" s="21" t="inlineStr">
        <is>
          <t>Hà Nội</t>
        </is>
      </c>
      <c r="R58" s="21" t="inlineStr">
        <is>
          <t>Hà Đông</t>
        </is>
      </c>
      <c r="S58" s="22" t="n">
        <v>20.965724</v>
      </c>
      <c r="T58" s="22" t="n">
        <v>105.756143</v>
      </c>
      <c r="U58" s="21" t="inlineStr">
        <is>
          <t>Nội thành Hà Nội</t>
        </is>
      </c>
      <c r="V58" s="21" t="inlineStr">
        <is>
          <t>Nội thành Hà Nội</t>
        </is>
      </c>
      <c r="W58" s="29" t="n">
        <v>52</v>
      </c>
      <c r="X58" s="28" t="n">
        <v>351</v>
      </c>
      <c r="Y58" s="29" t="n">
        <v>0.9</v>
      </c>
      <c r="Z58" s="28" t="n">
        <v>1</v>
      </c>
      <c r="AA58" s="21" t="inlineStr">
        <is>
          <t>5 tạ</t>
        </is>
      </c>
      <c r="AB58" s="21" t="inlineStr">
        <is>
          <t>1.25T</t>
        </is>
      </c>
      <c r="AC58" s="21" t="inlineStr">
        <is>
          <t>No</t>
        </is>
      </c>
      <c r="AD58" s="21" t="inlineStr">
        <is>
          <t>Yes</t>
        </is>
      </c>
      <c r="AE58" s="21" t="inlineStr">
        <is>
          <t>No</t>
        </is>
      </c>
      <c r="AF58" s="21" t="inlineStr">
        <is>
          <t>Yes</t>
        </is>
      </c>
      <c r="AG58" s="21" t="inlineStr">
        <is>
          <t>Bãi giao giới hạn chiều cao</t>
        </is>
      </c>
      <c r="AH58" s="21" t="inlineStr">
        <is>
          <t>07:00</t>
        </is>
      </c>
      <c r="AI58" s="21" t="inlineStr">
        <is>
          <t>08:30</t>
        </is>
      </c>
      <c r="AJ58" s="21" t="inlineStr">
        <is>
          <t>09:44</t>
        </is>
      </c>
      <c r="AK58" s="21" t="inlineStr">
        <is>
          <t>11:44</t>
        </is>
      </c>
      <c r="AL58" s="22" t="n">
        <v>30</v>
      </c>
      <c r="AM58" s="22" t="n">
        <v>25</v>
      </c>
      <c r="AN58" s="22" t="n">
        <v>30</v>
      </c>
      <c r="AO58" s="22" t="n">
        <v>284</v>
      </c>
      <c r="AP58" s="31" t="n">
        <v>880000</v>
      </c>
      <c r="AQ58" s="31" t="n">
        <v>150000</v>
      </c>
      <c r="AR58" s="31" t="n">
        <v>120000</v>
      </c>
      <c r="AS58" s="28" t="n">
        <v>150000</v>
      </c>
      <c r="AT58" s="21" t="inlineStr">
        <is>
          <t>A - SLA chặt</t>
        </is>
      </c>
      <c r="AU58" s="21" t="inlineStr">
        <is>
          <t>CR-NỘIT-03</t>
        </is>
      </c>
      <c r="AV58" s="21" t="inlineStr">
        <is>
          <t>Manual nhập điều phối</t>
        </is>
      </c>
      <c r="AW58" s="21" t="inlineStr">
        <is>
          <t>S3-C06</t>
        </is>
      </c>
      <c r="AX58" s="21" t="inlineStr">
        <is>
          <t>5 tạ</t>
        </is>
      </c>
      <c r="AY58" s="21" t="inlineStr">
        <is>
          <t>Ưu tiên 3PL/thuê ngoài nếu thiếu xe nội bộ</t>
        </is>
      </c>
      <c r="AZ58" s="21" t="inlineStr">
        <is>
          <t>OK</t>
        </is>
      </c>
      <c r="BA58" s="21" t="inlineStr">
        <is>
          <t>Capacity Shortage Candidate</t>
        </is>
      </c>
      <c r="BB58" s="21">
        <f>AM58+AN58</f>
        <v/>
      </c>
      <c r="BC58" s="21">
        <f>ROUND(W58/'03_Cost_Constraints'!$B$4*60,0)</f>
        <v/>
      </c>
      <c r="BD58" s="21">
        <f>IF(X58&lt;=500,"5 tạ",IF(X58&lt;=1250,"1.25T",IF(X58&lt;=5000,"5T",IF(X58&lt;=8000,"8T",IF(X58&lt;=15000,"3 chân","4 chân")))))</f>
        <v/>
      </c>
      <c r="BE58" s="21">
        <f>IF((BB58+BC58)&lt;=AO58,"OK","Risk")</f>
        <v/>
      </c>
      <c r="BF58" s="21">
        <f>IF(AND(AZ58="OK",BE58="OK"),"Ready","Review")</f>
        <v/>
      </c>
      <c r="BG58" s="21" t="n"/>
    </row>
    <row r="59" ht="18" customHeight="1" s="17">
      <c r="A59" s="23" t="inlineStr">
        <is>
          <t>S3</t>
        </is>
      </c>
      <c r="B59" s="23" t="inlineStr">
        <is>
          <t>2026-06-05</t>
        </is>
      </c>
      <c r="C59" s="23" t="inlineStr">
        <is>
          <t>S3-ORD-058</t>
        </is>
      </c>
      <c r="D59" s="23" t="inlineStr">
        <is>
          <t>Acecook</t>
        </is>
      </c>
      <c r="E59" s="23" t="inlineStr">
        <is>
          <t>MM Hạ Long</t>
        </is>
      </c>
      <c r="F59" s="23" t="inlineStr">
        <is>
          <t>MT</t>
        </is>
      </c>
      <c r="G59" s="23" t="inlineStr">
        <is>
          <t>FMCG</t>
        </is>
      </c>
      <c r="H59" s="23" t="inlineStr">
        <is>
          <t>Hàng tiêu dùng nhanh hỗn hợp</t>
        </is>
      </c>
      <c r="I59" s="23" t="inlineStr">
        <is>
          <t>PK_LINFOX_VSIP</t>
        </is>
      </c>
      <c r="J59" s="23" t="inlineStr">
        <is>
          <t>Kho Linfox KCN VSIP Bắc Ninh</t>
        </is>
      </c>
      <c r="K59" s="23" t="inlineStr">
        <is>
          <t>Bắc Ninh</t>
        </is>
      </c>
      <c r="L59" s="23" t="inlineStr">
        <is>
          <t>Từ Sơn</t>
        </is>
      </c>
      <c r="M59" s="24" t="n">
        <v>21.082707</v>
      </c>
      <c r="N59" s="24" t="n">
        <v>105.997949</v>
      </c>
      <c r="O59" s="23" t="inlineStr">
        <is>
          <t>DL_QN_HALONG</t>
        </is>
      </c>
      <c r="P59" s="23" t="inlineStr">
        <is>
          <t>MM Hạ Long</t>
        </is>
      </c>
      <c r="Q59" s="23" t="inlineStr">
        <is>
          <t>Quảng Ninh</t>
        </is>
      </c>
      <c r="R59" s="23" t="inlineStr">
        <is>
          <t>Hạ Long</t>
        </is>
      </c>
      <c r="S59" s="24" t="n">
        <v>20.95129</v>
      </c>
      <c r="T59" s="24" t="n">
        <v>107.08008</v>
      </c>
      <c r="U59" s="23" t="inlineStr">
        <is>
          <t>Đông Bắc</t>
        </is>
      </c>
      <c r="V59" s="23" t="inlineStr">
        <is>
          <t>Đông Bắc</t>
        </is>
      </c>
      <c r="W59" s="33" t="n">
        <v>152</v>
      </c>
      <c r="X59" s="32" t="n">
        <v>7922</v>
      </c>
      <c r="Y59" s="33" t="n">
        <v>30.2</v>
      </c>
      <c r="Z59" s="32" t="n">
        <v>25</v>
      </c>
      <c r="AA59" s="23" t="inlineStr">
        <is>
          <t>8T</t>
        </is>
      </c>
      <c r="AB59" s="23" t="inlineStr">
        <is>
          <t>8T</t>
        </is>
      </c>
      <c r="AC59" s="23" t="inlineStr">
        <is>
          <t>No</t>
        </is>
      </c>
      <c r="AD59" s="23" t="inlineStr">
        <is>
          <t>Yes</t>
        </is>
      </c>
      <c r="AE59" s="23" t="inlineStr">
        <is>
          <t>No</t>
        </is>
      </c>
      <c r="AF59" s="23" t="inlineStr">
        <is>
          <t>No</t>
        </is>
      </c>
      <c r="AG59" s="23" t="inlineStr">
        <is>
          <t>Đường ven biển, xe 8T vào được</t>
        </is>
      </c>
      <c r="AH59" s="23" t="inlineStr">
        <is>
          <t>07:30</t>
        </is>
      </c>
      <c r="AI59" s="23" t="inlineStr">
        <is>
          <t>09:00</t>
        </is>
      </c>
      <c r="AJ59" s="23" t="inlineStr">
        <is>
          <t>12:32</t>
        </is>
      </c>
      <c r="AK59" s="23" t="inlineStr">
        <is>
          <t>15:02</t>
        </is>
      </c>
      <c r="AL59" s="24" t="n">
        <v>45</v>
      </c>
      <c r="AM59" s="24" t="n">
        <v>40</v>
      </c>
      <c r="AN59" s="24" t="n">
        <v>45</v>
      </c>
      <c r="AO59" s="24" t="n">
        <v>452</v>
      </c>
      <c r="AP59" s="35" t="n">
        <v>8020000</v>
      </c>
      <c r="AQ59" s="35" t="n">
        <v>0</v>
      </c>
      <c r="AR59" s="35" t="n">
        <v>120000</v>
      </c>
      <c r="AS59" s="32" t="n">
        <v>80000</v>
      </c>
      <c r="AT59" s="23" t="inlineStr">
        <is>
          <t>B - Thường</t>
        </is>
      </c>
      <c r="AU59" s="23" t="inlineStr">
        <is>
          <t>CR-ĐÔNG-04</t>
        </is>
      </c>
      <c r="AV59" s="23" t="inlineStr">
        <is>
          <t>Excel khách hàng</t>
        </is>
      </c>
      <c r="AW59" s="23" t="inlineStr">
        <is>
          <t>S3-C07</t>
        </is>
      </c>
      <c r="AX59" s="23" t="inlineStr">
        <is>
          <t>8T</t>
        </is>
      </c>
      <c r="AY59" s="23" t="inlineStr">
        <is>
          <t>Send to Clustering</t>
        </is>
      </c>
      <c r="AZ59" s="23" t="inlineStr">
        <is>
          <t>OK</t>
        </is>
      </c>
      <c r="BA59" s="23" t="inlineStr">
        <is>
          <t>Empty-run &gt;100km cần tìm chuyến về</t>
        </is>
      </c>
      <c r="BB59" s="23">
        <f>AM59+AN59</f>
        <v/>
      </c>
      <c r="BC59" s="23">
        <f>ROUND(W59/'03_Cost_Constraints'!$B$4*60,0)</f>
        <v/>
      </c>
      <c r="BD59" s="23">
        <f>IF(X59&lt;=500,"5 tạ",IF(X59&lt;=1250,"1.25T",IF(X59&lt;=5000,"5T",IF(X59&lt;=8000,"8T",IF(X59&lt;=15000,"3 chân","4 chân")))))</f>
        <v/>
      </c>
      <c r="BE59" s="23">
        <f>IF((BB59+BC59)&lt;=AO59,"OK","Risk")</f>
        <v/>
      </c>
      <c r="BF59" s="23">
        <f>IF(AND(AZ59="OK",BE59="OK"),"Ready","Review")</f>
        <v/>
      </c>
      <c r="BG59" s="23" t="n"/>
    </row>
    <row r="60" ht="18" customHeight="1" s="17">
      <c r="A60" s="21" t="inlineStr">
        <is>
          <t>S3</t>
        </is>
      </c>
      <c r="B60" s="21" t="inlineStr">
        <is>
          <t>2026-06-05</t>
        </is>
      </c>
      <c r="C60" s="21" t="inlineStr">
        <is>
          <t>S3-ORD-059</t>
        </is>
      </c>
      <c r="D60" s="21" t="inlineStr">
        <is>
          <t>Bách Hóa Xanh</t>
        </is>
      </c>
      <c r="E60" s="21" t="inlineStr">
        <is>
          <t>BHX Thanh Hóa - Kho DC Quảng Xương</t>
        </is>
      </c>
      <c r="F60" s="21" t="inlineStr">
        <is>
          <t>DC</t>
        </is>
      </c>
      <c r="G60" s="21" t="inlineStr">
        <is>
          <t>PAT2</t>
        </is>
      </c>
      <c r="H60" s="21" t="inlineStr">
        <is>
          <t>Bia lon 333</t>
        </is>
      </c>
      <c r="I60" s="21" t="inlineStr">
        <is>
          <t>PK_HPL_LB</t>
        </is>
      </c>
      <c r="J60" s="21" t="inlineStr">
        <is>
          <t>HPL Depot Long Biên - 20 Thạch Bàn</t>
        </is>
      </c>
      <c r="K60" s="21" t="inlineStr">
        <is>
          <t>Hà Nội</t>
        </is>
      </c>
      <c r="L60" s="21" t="inlineStr">
        <is>
          <t>Long Biên</t>
        </is>
      </c>
      <c r="M60" s="22" t="n">
        <v>21.0261548385</v>
      </c>
      <c r="N60" s="22" t="n">
        <v>105.914182238</v>
      </c>
      <c r="O60" s="21" t="inlineStr">
        <is>
          <t>DL_TH_BHX_QX</t>
        </is>
      </c>
      <c r="P60" s="21" t="inlineStr">
        <is>
          <t>BHX Thanh Hóa - Kho DC Quảng Xương</t>
        </is>
      </c>
      <c r="Q60" s="21" t="inlineStr">
        <is>
          <t>Thanh Hóa</t>
        </is>
      </c>
      <c r="R60" s="21" t="inlineStr">
        <is>
          <t>Quảng Xương</t>
        </is>
      </c>
      <c r="S60" s="22" t="n">
        <v>19.731</v>
      </c>
      <c r="T60" s="22" t="n">
        <v>105.815</v>
      </c>
      <c r="U60" s="21" t="inlineStr">
        <is>
          <t>Bắc Trung Bộ</t>
        </is>
      </c>
      <c r="V60" s="21" t="inlineStr">
        <is>
          <t>Bắc Trung Bộ</t>
        </is>
      </c>
      <c r="W60" s="29" t="n">
        <v>192.2</v>
      </c>
      <c r="X60" s="28" t="n">
        <v>11995</v>
      </c>
      <c r="Y60" s="29" t="n">
        <v>29.05</v>
      </c>
      <c r="Z60" s="28" t="n">
        <v>24</v>
      </c>
      <c r="AA60" s="21" t="inlineStr">
        <is>
          <t>3 chân</t>
        </is>
      </c>
      <c r="AB60" s="21" t="inlineStr">
        <is>
          <t>3 chân</t>
        </is>
      </c>
      <c r="AC60" s="21" t="inlineStr">
        <is>
          <t>No</t>
        </is>
      </c>
      <c r="AD60" s="21" t="inlineStr">
        <is>
          <t>No</t>
        </is>
      </c>
      <c r="AE60" s="21" t="inlineStr">
        <is>
          <t>Yes</t>
        </is>
      </c>
      <c r="AF60" s="21" t="inlineStr">
        <is>
          <t>No</t>
        </is>
      </c>
      <c r="AG60" s="21" t="inlineStr">
        <is>
          <t>DC có thể nhận xe 8T/3 chân</t>
        </is>
      </c>
      <c r="AH60" s="21" t="inlineStr">
        <is>
          <t>07:30</t>
        </is>
      </c>
      <c r="AI60" s="21" t="inlineStr">
        <is>
          <t>10:00</t>
        </is>
      </c>
      <c r="AJ60" s="21" t="inlineStr">
        <is>
          <t>14:10</t>
        </is>
      </c>
      <c r="AK60" s="21" t="inlineStr">
        <is>
          <t>15:40</t>
        </is>
      </c>
      <c r="AL60" s="22" t="n">
        <v>45</v>
      </c>
      <c r="AM60" s="22" t="n">
        <v>120</v>
      </c>
      <c r="AN60" s="22" t="n">
        <v>90</v>
      </c>
      <c r="AO60" s="22" t="n">
        <v>490</v>
      </c>
      <c r="AP60" s="31" t="n">
        <v>14630000</v>
      </c>
      <c r="AQ60" s="31" t="n">
        <v>0</v>
      </c>
      <c r="AR60" s="31" t="n">
        <v>0</v>
      </c>
      <c r="AS60" s="28" t="n">
        <v>80000</v>
      </c>
      <c r="AT60" s="21" t="inlineStr">
        <is>
          <t>C - Có thể thương lượng</t>
        </is>
      </c>
      <c r="AU60" s="21" t="inlineStr">
        <is>
          <t>CR-BẮCT-05</t>
        </is>
      </c>
      <c r="AV60" s="21" t="inlineStr">
        <is>
          <t>Hệ thống khách hàng</t>
        </is>
      </c>
      <c r="AW60" s="21" t="inlineStr">
        <is>
          <t>S3-C08</t>
        </is>
      </c>
      <c r="AX60" s="21" t="inlineStr">
        <is>
          <t>3 chân</t>
        </is>
      </c>
      <c r="AY60" s="21" t="inlineStr">
        <is>
          <t>Ưu tiên 3PL/thuê ngoài nếu thiếu xe nội bộ</t>
        </is>
      </c>
      <c r="AZ60" s="21" t="inlineStr">
        <is>
          <t>OK</t>
        </is>
      </c>
      <c r="BA60" s="21" t="inlineStr">
        <is>
          <t>Capacity Shortage Candidate</t>
        </is>
      </c>
      <c r="BB60" s="21">
        <f>AM60+AN60</f>
        <v/>
      </c>
      <c r="BC60" s="21">
        <f>ROUND(W60/'03_Cost_Constraints'!$B$4*60,0)</f>
        <v/>
      </c>
      <c r="BD60" s="21">
        <f>IF(X60&lt;=500,"5 tạ",IF(X60&lt;=1250,"1.25T",IF(X60&lt;=5000,"5T",IF(X60&lt;=8000,"8T",IF(X60&lt;=15000,"3 chân","4 chân")))))</f>
        <v/>
      </c>
      <c r="BE60" s="21">
        <f>IF((BB60+BC60)&lt;=AO60,"OK","Risk")</f>
        <v/>
      </c>
      <c r="BF60" s="21">
        <f>IF(AND(AZ60="OK",BE60="OK"),"Ready","Review")</f>
        <v/>
      </c>
      <c r="BG60" s="21" t="n"/>
    </row>
    <row r="61" ht="18" customHeight="1" s="17">
      <c r="A61" s="23" t="inlineStr">
        <is>
          <t>S3</t>
        </is>
      </c>
      <c r="B61" s="23" t="inlineStr">
        <is>
          <t>2026-06-05</t>
        </is>
      </c>
      <c r="C61" s="23" t="inlineStr">
        <is>
          <t>S3-ORD-060</t>
        </is>
      </c>
      <c r="D61" s="23" t="inlineStr">
        <is>
          <t>Bách Hóa Xanh</t>
        </is>
      </c>
      <c r="E61" s="23" t="inlineStr">
        <is>
          <t>VINMART Bắc Từ Liêm</t>
        </is>
      </c>
      <c r="F61" s="23" t="inlineStr">
        <is>
          <t>ST</t>
        </is>
      </c>
      <c r="G61" s="23" t="inlineStr">
        <is>
          <t>LASG</t>
        </is>
      </c>
      <c r="H61" s="23" t="inlineStr">
        <is>
          <t>Bia lon Saigon Lager 330ml</t>
        </is>
      </c>
      <c r="I61" s="23" t="inlineStr">
        <is>
          <t>PK_HY_MYHAO</t>
        </is>
      </c>
      <c r="J61" s="23" t="inlineStr">
        <is>
          <t>Kho/Nhà máy khách hàng Mỹ Hào</t>
        </is>
      </c>
      <c r="K61" s="23" t="inlineStr">
        <is>
          <t>Hưng Yên</t>
        </is>
      </c>
      <c r="L61" s="23" t="inlineStr">
        <is>
          <t>Mỹ Hào</t>
        </is>
      </c>
      <c r="M61" s="24" t="n">
        <v>20.9329</v>
      </c>
      <c r="N61" s="24" t="n">
        <v>106.065</v>
      </c>
      <c r="O61" s="23" t="inlineStr">
        <is>
          <t>DL_HN_BACTULIEM</t>
        </is>
      </c>
      <c r="P61" s="23" t="inlineStr">
        <is>
          <t>VINMART Bắc Từ Liêm</t>
        </is>
      </c>
      <c r="Q61" s="23" t="inlineStr">
        <is>
          <t>Hà Nội</t>
        </is>
      </c>
      <c r="R61" s="23" t="inlineStr">
        <is>
          <t>Bắc Từ Liêm</t>
        </is>
      </c>
      <c r="S61" s="24" t="n">
        <v>21.052701</v>
      </c>
      <c r="T61" s="24" t="n">
        <v>105.780729</v>
      </c>
      <c r="U61" s="23" t="inlineStr">
        <is>
          <t>Nội thành Hà Nội</t>
        </is>
      </c>
      <c r="V61" s="23" t="inlineStr">
        <is>
          <t>Nội thành Hà Nội</t>
        </is>
      </c>
      <c r="W61" s="33" t="n">
        <v>49.5</v>
      </c>
      <c r="X61" s="32" t="n">
        <v>2177</v>
      </c>
      <c r="Y61" s="33" t="n">
        <v>5.48</v>
      </c>
      <c r="Z61" s="32" t="n">
        <v>4</v>
      </c>
      <c r="AA61" s="23" t="inlineStr">
        <is>
          <t>5T</t>
        </is>
      </c>
      <c r="AB61" s="23" t="inlineStr">
        <is>
          <t>1.25T</t>
        </is>
      </c>
      <c r="AC61" s="23" t="inlineStr">
        <is>
          <t>No</t>
        </is>
      </c>
      <c r="AD61" s="23" t="inlineStr">
        <is>
          <t>Yes</t>
        </is>
      </c>
      <c r="AE61" s="23" t="inlineStr">
        <is>
          <t>No</t>
        </is>
      </c>
      <c r="AF61" s="23" t="inlineStr">
        <is>
          <t>Yes</t>
        </is>
      </c>
      <c r="AG61" s="23" t="inlineStr">
        <is>
          <t>Nội đô, khung giờ hạn chế xe tải</t>
        </is>
      </c>
      <c r="AH61" s="23" t="inlineStr">
        <is>
          <t>08:30</t>
        </is>
      </c>
      <c r="AI61" s="23" t="inlineStr">
        <is>
          <t>10:00</t>
        </is>
      </c>
      <c r="AJ61" s="23" t="inlineStr">
        <is>
          <t>11:24</t>
        </is>
      </c>
      <c r="AK61" s="23" t="inlineStr">
        <is>
          <t>12:54</t>
        </is>
      </c>
      <c r="AL61" s="24" t="n">
        <v>45</v>
      </c>
      <c r="AM61" s="24" t="n">
        <v>40</v>
      </c>
      <c r="AN61" s="24" t="n">
        <v>35</v>
      </c>
      <c r="AO61" s="24" t="n">
        <v>264</v>
      </c>
      <c r="AP61" s="35" t="n">
        <v>1300000</v>
      </c>
      <c r="AQ61" s="35" t="n">
        <v>150000</v>
      </c>
      <c r="AR61" s="35" t="n">
        <v>0</v>
      </c>
      <c r="AS61" s="32" t="n">
        <v>80000</v>
      </c>
      <c r="AT61" s="23" t="inlineStr">
        <is>
          <t>C - Có thể thương lượng</t>
        </is>
      </c>
      <c r="AU61" s="23" t="inlineStr">
        <is>
          <t>CR-NỘIT-01</t>
        </is>
      </c>
      <c r="AV61" s="23" t="inlineStr">
        <is>
          <t>Zalo/Email plan 17:00</t>
        </is>
      </c>
      <c r="AW61" s="23" t="inlineStr">
        <is>
          <t>S3-C09</t>
        </is>
      </c>
      <c r="AX61" s="23" t="inlineStr">
        <is>
          <t>Split/Chuyển tải</t>
        </is>
      </c>
      <c r="AY61" s="23" t="inlineStr">
        <is>
          <t>Split Order/Chuyển tải hoặc xin xe nhỏ nhiều chuyến</t>
        </is>
      </c>
      <c r="AZ61" s="23" t="inlineStr">
        <is>
          <t>Review</t>
        </is>
      </c>
      <c r="BA61" s="23" t="inlineStr">
        <is>
          <t>Vehicle Mismatch</t>
        </is>
      </c>
      <c r="BB61" s="23">
        <f>AM61+AN61</f>
        <v/>
      </c>
      <c r="BC61" s="23">
        <f>ROUND(W61/'03_Cost_Constraints'!$B$4*60,0)</f>
        <v/>
      </c>
      <c r="BD61" s="23">
        <f>IF(X61&lt;=500,"5 tạ",IF(X61&lt;=1250,"1.25T",IF(X61&lt;=5000,"5T",IF(X61&lt;=8000,"8T",IF(X61&lt;=15000,"3 chân","4 chân")))))</f>
        <v/>
      </c>
      <c r="BE61" s="23">
        <f>IF((BB61+BC61)&lt;=AO61,"OK","Risk")</f>
        <v/>
      </c>
      <c r="BF61" s="23">
        <f>IF(AND(AZ61="OK",BE61="OK"),"Ready","Review")</f>
        <v/>
      </c>
      <c r="BG61" s="23" t="inlineStr">
        <is>
          <t>Kế hoạch ngày hôm sau; cần chốt trước 19:00 và gửi tài xế sau duyệt</t>
        </is>
      </c>
    </row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Z2:BG61">
    <cfRule type="expression" priority="1" dxfId="4">
      <formula>$BH2="Review"</formula>
    </cfRule>
  </conditionalFormatting>
  <conditionalFormatting sqref="BA2:BA61">
    <cfRule type="expression" priority="2" dxfId="5">
      <formula>OR(ISNUMBER(SEARCH("Mismatch",BA2)),ISNUMBER(SEARCH("Conflict",BA2)),ISNUMBER(SEARCH("Shortage",BA2)))</formula>
    </cfRule>
  </conditionalFormatting>
  <dataValidations count="2">
    <dataValidation sqref="BA2:BA61" showDropDown="0" showInputMessage="0" showErrorMessage="0" allowBlank="1" type="list">
      <formula1>"OK,Cấm tải/đường nhỏ - đã chọn xe nhỏ,Vehicle Mismatch,Time Window Conflict,Empty-run &gt;100km cần tìm chuyến về,Capacity Shortage Candidate"</formula1>
    </dataValidation>
    <dataValidation sqref="AZ2:AZ61" showDropDown="0" showInputMessage="0" showErrorMessage="0" allowBlank="1" type="list">
      <formula1>"OK,Review"</formula1>
    </dataValidation>
  </dataValidations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AD2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1"/>
    <col width="18" customWidth="1" style="17" min="2" max="3"/>
    <col width="14" customWidth="1" style="17" min="3" max="3"/>
    <col width="16" customWidth="1" style="17" min="4" max="4"/>
    <col width="18" customWidth="1" style="17" min="5" max="5"/>
    <col width="18" customWidth="1" style="17" min="6" max="10"/>
    <col width="20" customWidth="1" style="17" min="7" max="7"/>
    <col width="36" customWidth="1" style="17" min="8" max="8"/>
    <col width="13" customWidth="1" style="17" min="9" max="9"/>
    <col width="14" customWidth="1" style="17" min="10" max="10"/>
    <col width="15" customWidth="1" style="17" min="11" max="12"/>
    <col width="15" customWidth="1" style="17" min="12" max="12"/>
    <col width="23" customWidth="1" style="17" min="13" max="22"/>
    <col width="21" customWidth="1" style="17" min="14" max="14"/>
    <col width="24" customWidth="1" style="17" min="15" max="15"/>
    <col width="22" customWidth="1" style="17" min="16" max="16"/>
    <col width="18" customWidth="1" style="17" min="17" max="17"/>
    <col width="18" customWidth="1" style="17" min="18" max="18"/>
    <col width="18" customWidth="1" style="17" min="19" max="19"/>
    <col width="24" customWidth="1" style="17" min="20" max="20"/>
    <col width="21" customWidth="1" style="17" min="21" max="21"/>
    <col width="18" customWidth="1" style="17" min="22" max="22"/>
    <col width="19" customWidth="1" style="17" min="23" max="23"/>
    <col width="25" customWidth="1" style="17" min="24" max="29"/>
    <col width="23" customWidth="1" style="17" min="25" max="25"/>
    <col width="26" customWidth="1" style="17" min="26" max="26"/>
    <col width="18" customWidth="1" style="17" min="27" max="27"/>
    <col width="15" customWidth="1" style="17" min="28" max="28"/>
    <col width="13" customWidth="1" style="17" min="29" max="29"/>
    <col width="44" customWidth="1" style="17" min="30" max="30"/>
  </cols>
  <sheetData>
    <row r="1" ht="26" customHeight="1" s="17">
      <c r="A1" s="20" t="inlineStr">
        <is>
          <t>Scenario_ID</t>
        </is>
      </c>
      <c r="B1" s="20" t="inlineStr">
        <is>
          <t>Order_ID</t>
        </is>
      </c>
      <c r="C1" s="20" t="inlineStr">
        <is>
          <t>Node_ID</t>
        </is>
      </c>
      <c r="D1" s="20" t="inlineStr">
        <is>
          <t>Node_Type</t>
        </is>
      </c>
      <c r="E1" s="20" t="inlineStr">
        <is>
          <t>Pair_Node_ID</t>
        </is>
      </c>
      <c r="F1" s="20" t="inlineStr">
        <is>
          <t>Precedence_Group</t>
        </is>
      </c>
      <c r="G1" s="20" t="inlineStr">
        <is>
          <t>Location_ID</t>
        </is>
      </c>
      <c r="H1" s="20" t="inlineStr">
        <is>
          <t>Location_Name</t>
        </is>
      </c>
      <c r="I1" s="20" t="inlineStr">
        <is>
          <t>Province</t>
        </is>
      </c>
      <c r="J1" s="20" t="inlineStr">
        <is>
          <t>District</t>
        </is>
      </c>
      <c r="K1" s="20" t="inlineStr">
        <is>
          <t>Latitude</t>
        </is>
      </c>
      <c r="L1" s="20" t="inlineStr">
        <is>
          <t>Longitude</t>
        </is>
      </c>
      <c r="M1" s="20" t="inlineStr">
        <is>
          <t>Time_Window_Start_Min</t>
        </is>
      </c>
      <c r="N1" s="20" t="inlineStr">
        <is>
          <t>Time_Window_End_Min</t>
        </is>
      </c>
      <c r="O1" s="20" t="inlineStr">
        <is>
          <t>Time_Window_Start_Text</t>
        </is>
      </c>
      <c r="P1" s="20" t="inlineStr">
        <is>
          <t>Time_Window_End_Text</t>
        </is>
      </c>
      <c r="Q1" s="20" t="inlineStr">
        <is>
          <t>Service_Time_Min</t>
        </is>
      </c>
      <c r="R1" s="20" t="inlineStr">
        <is>
          <t>Demand_Weight_kg</t>
        </is>
      </c>
      <c r="S1" s="20" t="inlineStr">
        <is>
          <t>Demand_Volume_m3</t>
        </is>
      </c>
      <c r="T1" s="20" t="inlineStr">
        <is>
          <t>Compatible_Min_Vehicle</t>
        </is>
      </c>
      <c r="U1" s="20" t="inlineStr">
        <is>
          <t>Max_Vehicle_Allowed</t>
        </is>
      </c>
      <c r="V1" s="20" t="inlineStr">
        <is>
          <t>Corridor</t>
        </is>
      </c>
      <c r="W1" s="20" t="inlineStr">
        <is>
          <t>Contract_Route_ID</t>
        </is>
      </c>
      <c r="X1" s="20" t="inlineStr">
        <is>
          <t>Priority</t>
        </is>
      </c>
      <c r="Y1" s="20" t="inlineStr">
        <is>
          <t>Revenue_If_Served_VND</t>
        </is>
      </c>
      <c r="Z1" s="20" t="inlineStr">
        <is>
          <t>Late_Penalty_VND_per_30m</t>
        </is>
      </c>
      <c r="AA1" s="20" t="inlineStr">
        <is>
          <t>Hard_Time_Window</t>
        </is>
      </c>
      <c r="AB1" s="20" t="inlineStr">
        <is>
          <t>Planning_Date</t>
        </is>
      </c>
      <c r="AC1" s="20" t="inlineStr">
        <is>
          <t>Ready_Flag</t>
        </is>
      </c>
      <c r="AD1" s="20" t="inlineStr">
        <is>
          <t>Notes</t>
        </is>
      </c>
    </row>
    <row r="2" ht="18" customHeight="1" s="17">
      <c r="A2" s="21" t="inlineStr">
        <is>
          <t>S1</t>
        </is>
      </c>
      <c r="B2" s="21" t="inlineStr">
        <is>
          <t>S1-ORD-001</t>
        </is>
      </c>
      <c r="C2" s="21" t="inlineStr">
        <is>
          <t>S1-ORD-001-P</t>
        </is>
      </c>
      <c r="D2" s="21" t="inlineStr">
        <is>
          <t>Pickup</t>
        </is>
      </c>
      <c r="E2" s="21" t="inlineStr">
        <is>
          <t>S1-ORD-001-D</t>
        </is>
      </c>
      <c r="F2" s="21" t="inlineStr">
        <is>
          <t>S1-ORD-001</t>
        </is>
      </c>
      <c r="G2" s="21" t="inlineStr">
        <is>
          <t>PK_HY_MYHAO</t>
        </is>
      </c>
      <c r="H2" s="21" t="inlineStr">
        <is>
          <t>Kho/Nhà máy khách hàng Mỹ Hào</t>
        </is>
      </c>
      <c r="I2" s="21" t="inlineStr">
        <is>
          <t>Hưng Yên</t>
        </is>
      </c>
      <c r="J2" s="21" t="inlineStr">
        <is>
          <t>Mỹ Hào</t>
        </is>
      </c>
      <c r="K2" s="36" t="n">
        <v>20.9329</v>
      </c>
      <c r="L2" s="36" t="n">
        <v>106.065</v>
      </c>
      <c r="M2" s="37" t="n">
        <v>480</v>
      </c>
      <c r="N2" s="37" t="n">
        <v>630</v>
      </c>
      <c r="O2" s="21" t="inlineStr">
        <is>
          <t>08:00</t>
        </is>
      </c>
      <c r="P2" s="21" t="inlineStr">
        <is>
          <t>10:30</t>
        </is>
      </c>
      <c r="Q2" s="22" t="n">
        <v>25</v>
      </c>
      <c r="R2" s="28" t="n">
        <v>385</v>
      </c>
      <c r="S2" s="29" t="n">
        <v>0.93</v>
      </c>
      <c r="T2" s="21" t="inlineStr">
        <is>
          <t>5 tạ</t>
        </is>
      </c>
      <c r="U2" s="21" t="inlineStr">
        <is>
          <t>1.25T</t>
        </is>
      </c>
      <c r="V2" s="21" t="inlineStr">
        <is>
          <t>Nội thành Hà Nội</t>
        </is>
      </c>
      <c r="W2" s="21" t="inlineStr">
        <is>
          <t>CR-NỘIT-02</t>
        </is>
      </c>
      <c r="X2" s="21" t="inlineStr">
        <is>
          <t>A - SLA chặt</t>
        </is>
      </c>
      <c r="Y2" s="31" t="n">
        <v>670000</v>
      </c>
      <c r="Z2" s="28" t="n">
        <v>150000</v>
      </c>
      <c r="AA2" s="21" t="inlineStr">
        <is>
          <t>Yes</t>
        </is>
      </c>
      <c r="AB2" s="21" t="inlineStr">
        <is>
          <t>2026-06-05</t>
        </is>
      </c>
      <c r="AC2" s="21" t="inlineStr">
        <is>
          <t>Ready</t>
        </is>
      </c>
      <c r="AD2" s="21" t="inlineStr">
        <is>
          <t>Pickup must happen before paired delivery</t>
        </is>
      </c>
    </row>
    <row r="3" ht="18" customHeight="1" s="17">
      <c r="A3" s="23" t="inlineStr">
        <is>
          <t>S1</t>
        </is>
      </c>
      <c r="B3" s="23" t="inlineStr">
        <is>
          <t>S1-ORD-001</t>
        </is>
      </c>
      <c r="C3" s="23" t="inlineStr">
        <is>
          <t>S1-ORD-001-D</t>
        </is>
      </c>
      <c r="D3" s="23" t="inlineStr">
        <is>
          <t>Delivery</t>
        </is>
      </c>
      <c r="E3" s="23" t="inlineStr">
        <is>
          <t>S1-ORD-001-P</t>
        </is>
      </c>
      <c r="F3" s="23" t="inlineStr">
        <is>
          <t>S1-ORD-001</t>
        </is>
      </c>
      <c r="G3" s="23" t="inlineStr">
        <is>
          <t>DL_HN_VOTHISAU</t>
        </is>
      </c>
      <c r="H3" s="23" t="inlineStr">
        <is>
          <t>VINMART Võ Thị Sáu</t>
        </is>
      </c>
      <c r="I3" s="23" t="inlineStr">
        <is>
          <t>Hà Nội</t>
        </is>
      </c>
      <c r="J3" s="23" t="inlineStr">
        <is>
          <t>Hai Bà Trưng</t>
        </is>
      </c>
      <c r="K3" s="38" t="n">
        <v>21.00441</v>
      </c>
      <c r="L3" s="38" t="n">
        <v>105.855148</v>
      </c>
      <c r="M3" s="39" t="n">
        <v>655</v>
      </c>
      <c r="N3" s="39" t="n">
        <v>745</v>
      </c>
      <c r="O3" s="23" t="inlineStr">
        <is>
          <t>10:55</t>
        </is>
      </c>
      <c r="P3" s="23" t="inlineStr">
        <is>
          <t>12:25</t>
        </is>
      </c>
      <c r="Q3" s="24" t="n">
        <v>20</v>
      </c>
      <c r="R3" s="32" t="n">
        <v>-385</v>
      </c>
      <c r="S3" s="33" t="n">
        <v>-0.93</v>
      </c>
      <c r="T3" s="23" t="inlineStr">
        <is>
          <t>5 tạ</t>
        </is>
      </c>
      <c r="U3" s="23" t="inlineStr">
        <is>
          <t>1.25T</t>
        </is>
      </c>
      <c r="V3" s="23" t="inlineStr">
        <is>
          <t>Nội thành Hà Nội</t>
        </is>
      </c>
      <c r="W3" s="23" t="inlineStr">
        <is>
          <t>CR-NỘIT-02</t>
        </is>
      </c>
      <c r="X3" s="23" t="inlineStr">
        <is>
          <t>A - SLA chặt</t>
        </is>
      </c>
      <c r="Y3" s="35" t="n">
        <v>0</v>
      </c>
      <c r="Z3" s="32" t="n">
        <v>150000</v>
      </c>
      <c r="AA3" s="23" t="inlineStr">
        <is>
          <t>Yes</t>
        </is>
      </c>
      <c r="AB3" s="23" t="inlineStr">
        <is>
          <t>2026-06-05</t>
        </is>
      </c>
      <c r="AC3" s="23" t="inlineStr">
        <is>
          <t>Ready</t>
        </is>
      </c>
      <c r="AD3" s="23" t="inlineStr">
        <is>
          <t>Delivery paired with same order and same vehicle unless transshipment enabled</t>
        </is>
      </c>
    </row>
    <row r="4" ht="18" customHeight="1" s="17">
      <c r="A4" s="21" t="inlineStr">
        <is>
          <t>S1</t>
        </is>
      </c>
      <c r="B4" s="21" t="inlineStr">
        <is>
          <t>S1-ORD-002</t>
        </is>
      </c>
      <c r="C4" s="21" t="inlineStr">
        <is>
          <t>S1-ORD-002-P</t>
        </is>
      </c>
      <c r="D4" s="21" t="inlineStr">
        <is>
          <t>Pickup</t>
        </is>
      </c>
      <c r="E4" s="21" t="inlineStr">
        <is>
          <t>S1-ORD-002-D</t>
        </is>
      </c>
      <c r="F4" s="21" t="inlineStr">
        <is>
          <t>S1-ORD-002</t>
        </is>
      </c>
      <c r="G4" s="21" t="inlineStr">
        <is>
          <t>PK_HY_MYHAO</t>
        </is>
      </c>
      <c r="H4" s="21" t="inlineStr">
        <is>
          <t>Kho/Nhà máy khách hàng Mỹ Hào</t>
        </is>
      </c>
      <c r="I4" s="21" t="inlineStr">
        <is>
          <t>Hưng Yên</t>
        </is>
      </c>
      <c r="J4" s="21" t="inlineStr">
        <is>
          <t>Mỹ Hào</t>
        </is>
      </c>
      <c r="K4" s="36" t="n">
        <v>20.9329</v>
      </c>
      <c r="L4" s="36" t="n">
        <v>106.065</v>
      </c>
      <c r="M4" s="37" t="n">
        <v>510</v>
      </c>
      <c r="N4" s="37" t="n">
        <v>600</v>
      </c>
      <c r="O4" s="21" t="inlineStr">
        <is>
          <t>08:30</t>
        </is>
      </c>
      <c r="P4" s="21" t="inlineStr">
        <is>
          <t>10:00</t>
        </is>
      </c>
      <c r="Q4" s="22" t="n">
        <v>25</v>
      </c>
      <c r="R4" s="28" t="n">
        <v>307</v>
      </c>
      <c r="S4" s="29" t="n">
        <v>0.88</v>
      </c>
      <c r="T4" s="21" t="inlineStr">
        <is>
          <t>5 tạ</t>
        </is>
      </c>
      <c r="U4" s="21" t="inlineStr">
        <is>
          <t>1.25T</t>
        </is>
      </c>
      <c r="V4" s="21" t="inlineStr">
        <is>
          <t>Nội thành Hà Nội</t>
        </is>
      </c>
      <c r="W4" s="21" t="inlineStr">
        <is>
          <t>CR-NỘIT-03</t>
        </is>
      </c>
      <c r="X4" s="21" t="inlineStr">
        <is>
          <t>B - Thường</t>
        </is>
      </c>
      <c r="Y4" s="31" t="n">
        <v>860000</v>
      </c>
      <c r="Z4" s="28" t="n">
        <v>80000</v>
      </c>
      <c r="AA4" s="21" t="inlineStr">
        <is>
          <t>Yes</t>
        </is>
      </c>
      <c r="AB4" s="21" t="inlineStr">
        <is>
          <t>2026-06-05</t>
        </is>
      </c>
      <c r="AC4" s="21" t="inlineStr">
        <is>
          <t>Ready</t>
        </is>
      </c>
      <c r="AD4" s="21" t="inlineStr">
        <is>
          <t>Pickup must happen before paired delivery</t>
        </is>
      </c>
    </row>
    <row r="5" ht="18" customHeight="1" s="17">
      <c r="A5" s="23" t="inlineStr">
        <is>
          <t>S1</t>
        </is>
      </c>
      <c r="B5" s="23" t="inlineStr">
        <is>
          <t>S1-ORD-002</t>
        </is>
      </c>
      <c r="C5" s="23" t="inlineStr">
        <is>
          <t>S1-ORD-002-D</t>
        </is>
      </c>
      <c r="D5" s="23" t="inlineStr">
        <is>
          <t>Delivery</t>
        </is>
      </c>
      <c r="E5" s="23" t="inlineStr">
        <is>
          <t>S1-ORD-002-P</t>
        </is>
      </c>
      <c r="F5" s="23" t="inlineStr">
        <is>
          <t>S1-ORD-002</t>
        </is>
      </c>
      <c r="G5" s="23" t="inlineStr">
        <is>
          <t>DL_HN_ROYAL</t>
        </is>
      </c>
      <c r="H5" s="23" t="inlineStr">
        <is>
          <t>VINMART Royal City</t>
        </is>
      </c>
      <c r="I5" s="23" t="inlineStr">
        <is>
          <t>Hà Nội</t>
        </is>
      </c>
      <c r="J5" s="23" t="inlineStr">
        <is>
          <t>Thanh Xuân</t>
        </is>
      </c>
      <c r="K5" s="38" t="n">
        <v>21.003388</v>
      </c>
      <c r="L5" s="38" t="n">
        <v>105.816212</v>
      </c>
      <c r="M5" s="39" t="n">
        <v>718</v>
      </c>
      <c r="N5" s="39" t="n">
        <v>838</v>
      </c>
      <c r="O5" s="23" t="inlineStr">
        <is>
          <t>11:58</t>
        </is>
      </c>
      <c r="P5" s="23" t="inlineStr">
        <is>
          <t>13:58</t>
        </is>
      </c>
      <c r="Q5" s="24" t="n">
        <v>30</v>
      </c>
      <c r="R5" s="32" t="n">
        <v>-307</v>
      </c>
      <c r="S5" s="33" t="n">
        <v>-0.88</v>
      </c>
      <c r="T5" s="23" t="inlineStr">
        <is>
          <t>5 tạ</t>
        </is>
      </c>
      <c r="U5" s="23" t="inlineStr">
        <is>
          <t>1.25T</t>
        </is>
      </c>
      <c r="V5" s="23" t="inlineStr">
        <is>
          <t>Nội thành Hà Nội</t>
        </is>
      </c>
      <c r="W5" s="23" t="inlineStr">
        <is>
          <t>CR-NỘIT-03</t>
        </is>
      </c>
      <c r="X5" s="23" t="inlineStr">
        <is>
          <t>B - Thường</t>
        </is>
      </c>
      <c r="Y5" s="35" t="n">
        <v>0</v>
      </c>
      <c r="Z5" s="32" t="n">
        <v>80000</v>
      </c>
      <c r="AA5" s="23" t="inlineStr">
        <is>
          <t>Yes</t>
        </is>
      </c>
      <c r="AB5" s="23" t="inlineStr">
        <is>
          <t>2026-06-05</t>
        </is>
      </c>
      <c r="AC5" s="23" t="inlineStr">
        <is>
          <t>Ready</t>
        </is>
      </c>
      <c r="AD5" s="23" t="inlineStr">
        <is>
          <t>Delivery paired with same order and same vehicle unless transshipment enabled</t>
        </is>
      </c>
    </row>
    <row r="6" ht="18" customHeight="1" s="17">
      <c r="A6" s="21" t="inlineStr">
        <is>
          <t>S1</t>
        </is>
      </c>
      <c r="B6" s="21" t="inlineStr">
        <is>
          <t>S1-ORD-003</t>
        </is>
      </c>
      <c r="C6" s="21" t="inlineStr">
        <is>
          <t>S1-ORD-003-P</t>
        </is>
      </c>
      <c r="D6" s="21" t="inlineStr">
        <is>
          <t>Pickup</t>
        </is>
      </c>
      <c r="E6" s="21" t="inlineStr">
        <is>
          <t>S1-ORD-003-D</t>
        </is>
      </c>
      <c r="F6" s="21" t="inlineStr">
        <is>
          <t>S1-ORD-003</t>
        </is>
      </c>
      <c r="G6" s="21" t="inlineStr">
        <is>
          <t>PK_LINFOX_VSIP</t>
        </is>
      </c>
      <c r="H6" s="21" t="inlineStr">
        <is>
          <t>Kho Linfox KCN VSIP Bắc Ninh</t>
        </is>
      </c>
      <c r="I6" s="21" t="inlineStr">
        <is>
          <t>Bắc Ninh</t>
        </is>
      </c>
      <c r="J6" s="21" t="inlineStr">
        <is>
          <t>Từ Sơn</t>
        </is>
      </c>
      <c r="K6" s="36" t="n">
        <v>21.082707</v>
      </c>
      <c r="L6" s="36" t="n">
        <v>105.997949</v>
      </c>
      <c r="M6" s="37" t="n">
        <v>450</v>
      </c>
      <c r="N6" s="37" t="n">
        <v>540</v>
      </c>
      <c r="O6" s="21" t="inlineStr">
        <is>
          <t>07:30</t>
        </is>
      </c>
      <c r="P6" s="21" t="inlineStr">
        <is>
          <t>09:00</t>
        </is>
      </c>
      <c r="Q6" s="22" t="n">
        <v>40</v>
      </c>
      <c r="R6" s="28" t="n">
        <v>7751</v>
      </c>
      <c r="S6" s="29" t="n">
        <v>16.16</v>
      </c>
      <c r="T6" s="21" t="inlineStr">
        <is>
          <t>8T</t>
        </is>
      </c>
      <c r="U6" s="21" t="inlineStr">
        <is>
          <t>8T</t>
        </is>
      </c>
      <c r="V6" s="21" t="inlineStr">
        <is>
          <t>Đông Bắc</t>
        </is>
      </c>
      <c r="W6" s="21" t="inlineStr">
        <is>
          <t>CR-ĐÔNG-04</t>
        </is>
      </c>
      <c r="X6" s="21" t="inlineStr">
        <is>
          <t>C - Có thể thương lượng</t>
        </is>
      </c>
      <c r="Y6" s="31" t="n">
        <v>1810000</v>
      </c>
      <c r="Z6" s="28" t="n">
        <v>80000</v>
      </c>
      <c r="AA6" s="21" t="inlineStr">
        <is>
          <t>Yes</t>
        </is>
      </c>
      <c r="AB6" s="21" t="inlineStr">
        <is>
          <t>2026-06-05</t>
        </is>
      </c>
      <c r="AC6" s="21" t="inlineStr">
        <is>
          <t>Ready</t>
        </is>
      </c>
      <c r="AD6" s="21" t="inlineStr">
        <is>
          <t>Pickup must happen before paired delivery</t>
        </is>
      </c>
    </row>
    <row r="7" ht="18" customHeight="1" s="17">
      <c r="A7" s="23" t="inlineStr">
        <is>
          <t>S1</t>
        </is>
      </c>
      <c r="B7" s="23" t="inlineStr">
        <is>
          <t>S1-ORD-003</t>
        </is>
      </c>
      <c r="C7" s="23" t="inlineStr">
        <is>
          <t>S1-ORD-003-D</t>
        </is>
      </c>
      <c r="D7" s="23" t="inlineStr">
        <is>
          <t>Delivery</t>
        </is>
      </c>
      <c r="E7" s="23" t="inlineStr">
        <is>
          <t>S1-ORD-003-P</t>
        </is>
      </c>
      <c r="F7" s="23" t="inlineStr">
        <is>
          <t>S1-ORD-003</t>
        </is>
      </c>
      <c r="G7" s="23" t="inlineStr">
        <is>
          <t>DL_BN_QUEVO_01</t>
        </is>
      </c>
      <c r="H7" s="23" t="inlineStr">
        <is>
          <t>VINMART Quế Võ</t>
        </is>
      </c>
      <c r="I7" s="23" t="inlineStr">
        <is>
          <t>Bắc Ninh</t>
        </is>
      </c>
      <c r="J7" s="23" t="inlineStr">
        <is>
          <t>Quế Võ</t>
        </is>
      </c>
      <c r="K7" s="38" t="n">
        <v>21.170139</v>
      </c>
      <c r="L7" s="38" t="n">
        <v>106.102396</v>
      </c>
      <c r="M7" s="39" t="n">
        <v>603</v>
      </c>
      <c r="N7" s="39" t="n">
        <v>723</v>
      </c>
      <c r="O7" s="23" t="inlineStr">
        <is>
          <t>10:03</t>
        </is>
      </c>
      <c r="P7" s="23" t="inlineStr">
        <is>
          <t>12:03</t>
        </is>
      </c>
      <c r="Q7" s="24" t="n">
        <v>35</v>
      </c>
      <c r="R7" s="32" t="n">
        <v>-7751</v>
      </c>
      <c r="S7" s="33" t="n">
        <v>-16.16</v>
      </c>
      <c r="T7" s="23" t="inlineStr">
        <is>
          <t>8T</t>
        </is>
      </c>
      <c r="U7" s="23" t="inlineStr">
        <is>
          <t>8T</t>
        </is>
      </c>
      <c r="V7" s="23" t="inlineStr">
        <is>
          <t>Đông Bắc</t>
        </is>
      </c>
      <c r="W7" s="23" t="inlineStr">
        <is>
          <t>CR-ĐÔNG-04</t>
        </is>
      </c>
      <c r="X7" s="23" t="inlineStr">
        <is>
          <t>C - Có thể thương lượng</t>
        </is>
      </c>
      <c r="Y7" s="35" t="n">
        <v>0</v>
      </c>
      <c r="Z7" s="32" t="n">
        <v>80000</v>
      </c>
      <c r="AA7" s="23" t="inlineStr">
        <is>
          <t>Yes</t>
        </is>
      </c>
      <c r="AB7" s="23" t="inlineStr">
        <is>
          <t>2026-06-05</t>
        </is>
      </c>
      <c r="AC7" s="23" t="inlineStr">
        <is>
          <t>Ready</t>
        </is>
      </c>
      <c r="AD7" s="23" t="inlineStr">
        <is>
          <t>Delivery paired with same order and same vehicle unless transshipment enabled</t>
        </is>
      </c>
    </row>
    <row r="8" ht="18" customHeight="1" s="17">
      <c r="A8" s="21" t="inlineStr">
        <is>
          <t>S1</t>
        </is>
      </c>
      <c r="B8" s="21" t="inlineStr">
        <is>
          <t>S1-ORD-004</t>
        </is>
      </c>
      <c r="C8" s="21" t="inlineStr">
        <is>
          <t>S1-ORD-004-P</t>
        </is>
      </c>
      <c r="D8" s="21" t="inlineStr">
        <is>
          <t>Pickup</t>
        </is>
      </c>
      <c r="E8" s="21" t="inlineStr">
        <is>
          <t>S1-ORD-004-D</t>
        </is>
      </c>
      <c r="F8" s="21" t="inlineStr">
        <is>
          <t>S1-ORD-004</t>
        </is>
      </c>
      <c r="G8" s="21" t="inlineStr">
        <is>
          <t>PK_HY_MYHAO</t>
        </is>
      </c>
      <c r="H8" s="21" t="inlineStr">
        <is>
          <t>Kho/Nhà máy khách hàng Mỹ Hào</t>
        </is>
      </c>
      <c r="I8" s="21" t="inlineStr">
        <is>
          <t>Hưng Yên</t>
        </is>
      </c>
      <c r="J8" s="21" t="inlineStr">
        <is>
          <t>Mỹ Hào</t>
        </is>
      </c>
      <c r="K8" s="36" t="n">
        <v>20.9329</v>
      </c>
      <c r="L8" s="36" t="n">
        <v>106.065</v>
      </c>
      <c r="M8" s="37" t="n">
        <v>420</v>
      </c>
      <c r="N8" s="37" t="n">
        <v>540</v>
      </c>
      <c r="O8" s="21" t="inlineStr">
        <is>
          <t>07:00</t>
        </is>
      </c>
      <c r="P8" s="21" t="inlineStr">
        <is>
          <t>09:00</t>
        </is>
      </c>
      <c r="Q8" s="22" t="n">
        <v>25</v>
      </c>
      <c r="R8" s="28" t="n">
        <v>226</v>
      </c>
      <c r="S8" s="29" t="n">
        <v>0.6</v>
      </c>
      <c r="T8" s="21" t="inlineStr">
        <is>
          <t>5 tạ</t>
        </is>
      </c>
      <c r="U8" s="21" t="inlineStr">
        <is>
          <t>1.25T</t>
        </is>
      </c>
      <c r="V8" s="21" t="inlineStr">
        <is>
          <t>Nội thành Hà Nội</t>
        </is>
      </c>
      <c r="W8" s="21" t="inlineStr">
        <is>
          <t>CR-NỘIT-05</t>
        </is>
      </c>
      <c r="X8" s="21" t="inlineStr">
        <is>
          <t>C - Có thể thương lượng</t>
        </is>
      </c>
      <c r="Y8" s="31" t="n">
        <v>850000</v>
      </c>
      <c r="Z8" s="28" t="n">
        <v>80000</v>
      </c>
      <c r="AA8" s="21" t="inlineStr">
        <is>
          <t>Yes</t>
        </is>
      </c>
      <c r="AB8" s="21" t="inlineStr">
        <is>
          <t>2026-06-05</t>
        </is>
      </c>
      <c r="AC8" s="21" t="inlineStr">
        <is>
          <t>Ready</t>
        </is>
      </c>
      <c r="AD8" s="21" t="inlineStr">
        <is>
          <t>Pickup must happen before paired delivery</t>
        </is>
      </c>
    </row>
    <row r="9" ht="18" customHeight="1" s="17">
      <c r="A9" s="23" t="inlineStr">
        <is>
          <t>S1</t>
        </is>
      </c>
      <c r="B9" s="23" t="inlineStr">
        <is>
          <t>S1-ORD-004</t>
        </is>
      </c>
      <c r="C9" s="23" t="inlineStr">
        <is>
          <t>S1-ORD-004-D</t>
        </is>
      </c>
      <c r="D9" s="23" t="inlineStr">
        <is>
          <t>Delivery</t>
        </is>
      </c>
      <c r="E9" s="23" t="inlineStr">
        <is>
          <t>S1-ORD-004-P</t>
        </is>
      </c>
      <c r="F9" s="23" t="inlineStr">
        <is>
          <t>S1-ORD-004</t>
        </is>
      </c>
      <c r="G9" s="23" t="inlineStr">
        <is>
          <t>DL_HN_BACTULIEM</t>
        </is>
      </c>
      <c r="H9" s="23" t="inlineStr">
        <is>
          <t>VINMART Bắc Từ Liêm</t>
        </is>
      </c>
      <c r="I9" s="23" t="inlineStr">
        <is>
          <t>Hà Nội</t>
        </is>
      </c>
      <c r="J9" s="23" t="inlineStr">
        <is>
          <t>Bắc Từ Liêm</t>
        </is>
      </c>
      <c r="K9" s="38" t="n">
        <v>21.052701</v>
      </c>
      <c r="L9" s="38" t="n">
        <v>105.780729</v>
      </c>
      <c r="M9" s="39" t="n">
        <v>557</v>
      </c>
      <c r="N9" s="39" t="n">
        <v>737</v>
      </c>
      <c r="O9" s="23" t="inlineStr">
        <is>
          <t>09:17</t>
        </is>
      </c>
      <c r="P9" s="23" t="inlineStr">
        <is>
          <t>12:17</t>
        </is>
      </c>
      <c r="Q9" s="24" t="n">
        <v>20</v>
      </c>
      <c r="R9" s="32" t="n">
        <v>-226</v>
      </c>
      <c r="S9" s="33" t="n">
        <v>-0.6</v>
      </c>
      <c r="T9" s="23" t="inlineStr">
        <is>
          <t>5 tạ</t>
        </is>
      </c>
      <c r="U9" s="23" t="inlineStr">
        <is>
          <t>1.25T</t>
        </is>
      </c>
      <c r="V9" s="23" t="inlineStr">
        <is>
          <t>Nội thành Hà Nội</t>
        </is>
      </c>
      <c r="W9" s="23" t="inlineStr">
        <is>
          <t>CR-NỘIT-05</t>
        </is>
      </c>
      <c r="X9" s="23" t="inlineStr">
        <is>
          <t>C - Có thể thương lượng</t>
        </is>
      </c>
      <c r="Y9" s="35" t="n">
        <v>0</v>
      </c>
      <c r="Z9" s="32" t="n">
        <v>80000</v>
      </c>
      <c r="AA9" s="23" t="inlineStr">
        <is>
          <t>Yes</t>
        </is>
      </c>
      <c r="AB9" s="23" t="inlineStr">
        <is>
          <t>2026-06-05</t>
        </is>
      </c>
      <c r="AC9" s="23" t="inlineStr">
        <is>
          <t>Ready</t>
        </is>
      </c>
      <c r="AD9" s="23" t="inlineStr">
        <is>
          <t>Delivery paired with same order and same vehicle unless transshipment enabled</t>
        </is>
      </c>
    </row>
    <row r="10" ht="18" customHeight="1" s="17">
      <c r="A10" s="21" t="inlineStr">
        <is>
          <t>S1</t>
        </is>
      </c>
      <c r="B10" s="21" t="inlineStr">
        <is>
          <t>S1-ORD-005</t>
        </is>
      </c>
      <c r="C10" s="21" t="inlineStr">
        <is>
          <t>S1-ORD-005-P</t>
        </is>
      </c>
      <c r="D10" s="21" t="inlineStr">
        <is>
          <t>Pickup</t>
        </is>
      </c>
      <c r="E10" s="21" t="inlineStr">
        <is>
          <t>S1-ORD-005-D</t>
        </is>
      </c>
      <c r="F10" s="21" t="inlineStr">
        <is>
          <t>S1-ORD-005</t>
        </is>
      </c>
      <c r="G10" s="21" t="inlineStr">
        <is>
          <t>PK_HPL_LB</t>
        </is>
      </c>
      <c r="H10" s="21" t="inlineStr">
        <is>
          <t>HPL Depot Long Biên - 20 Thạch Bàn</t>
        </is>
      </c>
      <c r="I10" s="21" t="inlineStr">
        <is>
          <t>Hà Nội</t>
        </is>
      </c>
      <c r="J10" s="21" t="inlineStr">
        <is>
          <t>Long Biên</t>
        </is>
      </c>
      <c r="K10" s="36" t="n">
        <v>21.0261548385</v>
      </c>
      <c r="L10" s="36" t="n">
        <v>105.914182238</v>
      </c>
      <c r="M10" s="37" t="n">
        <v>420</v>
      </c>
      <c r="N10" s="37" t="n">
        <v>570</v>
      </c>
      <c r="O10" s="21" t="inlineStr">
        <is>
          <t>07:00</t>
        </is>
      </c>
      <c r="P10" s="21" t="inlineStr">
        <is>
          <t>09:30</t>
        </is>
      </c>
      <c r="Q10" s="22" t="n">
        <v>25</v>
      </c>
      <c r="R10" s="28" t="n">
        <v>661</v>
      </c>
      <c r="S10" s="29" t="n">
        <v>1.58</v>
      </c>
      <c r="T10" s="21" t="inlineStr">
        <is>
          <t>1.25T</t>
        </is>
      </c>
      <c r="U10" s="21" t="inlineStr">
        <is>
          <t>1.25T</t>
        </is>
      </c>
      <c r="V10" s="21" t="inlineStr">
        <is>
          <t>Nội thành Hà Nội</t>
        </is>
      </c>
      <c r="W10" s="21" t="inlineStr">
        <is>
          <t>CR-NỘIT-01</t>
        </is>
      </c>
      <c r="X10" s="21" t="inlineStr">
        <is>
          <t>B - Thường</t>
        </is>
      </c>
      <c r="Y10" s="31" t="n">
        <v>490000</v>
      </c>
      <c r="Z10" s="28" t="n">
        <v>80000</v>
      </c>
      <c r="AA10" s="21" t="inlineStr">
        <is>
          <t>Yes</t>
        </is>
      </c>
      <c r="AB10" s="21" t="inlineStr">
        <is>
          <t>2026-06-05</t>
        </is>
      </c>
      <c r="AC10" s="21" t="inlineStr">
        <is>
          <t>Ready</t>
        </is>
      </c>
      <c r="AD10" s="21" t="inlineStr">
        <is>
          <t>Pickup must happen before paired delivery</t>
        </is>
      </c>
    </row>
    <row r="11" ht="18" customHeight="1" s="17">
      <c r="A11" s="23" t="inlineStr">
        <is>
          <t>S1</t>
        </is>
      </c>
      <c r="B11" s="23" t="inlineStr">
        <is>
          <t>S1-ORD-005</t>
        </is>
      </c>
      <c r="C11" s="23" t="inlineStr">
        <is>
          <t>S1-ORD-005-D</t>
        </is>
      </c>
      <c r="D11" s="23" t="inlineStr">
        <is>
          <t>Delivery</t>
        </is>
      </c>
      <c r="E11" s="23" t="inlineStr">
        <is>
          <t>S1-ORD-005-P</t>
        </is>
      </c>
      <c r="F11" s="23" t="inlineStr">
        <is>
          <t>S1-ORD-005</t>
        </is>
      </c>
      <c r="G11" s="23" t="inlineStr">
        <is>
          <t>DL_HN_VOTHISAU</t>
        </is>
      </c>
      <c r="H11" s="23" t="inlineStr">
        <is>
          <t>VINMART Võ Thị Sáu</t>
        </is>
      </c>
      <c r="I11" s="23" t="inlineStr">
        <is>
          <t>Hà Nội</t>
        </is>
      </c>
      <c r="J11" s="23" t="inlineStr">
        <is>
          <t>Hai Bà Trưng</t>
        </is>
      </c>
      <c r="K11" s="38" t="n">
        <v>21.00441</v>
      </c>
      <c r="L11" s="38" t="n">
        <v>105.855148</v>
      </c>
      <c r="M11" s="39" t="n">
        <v>552</v>
      </c>
      <c r="N11" s="39" t="n">
        <v>672</v>
      </c>
      <c r="O11" s="23" t="inlineStr">
        <is>
          <t>09:12</t>
        </is>
      </c>
      <c r="P11" s="23" t="inlineStr">
        <is>
          <t>11:12</t>
        </is>
      </c>
      <c r="Q11" s="24" t="n">
        <v>20</v>
      </c>
      <c r="R11" s="32" t="n">
        <v>-661</v>
      </c>
      <c r="S11" s="33" t="n">
        <v>-1.58</v>
      </c>
      <c r="T11" s="23" t="inlineStr">
        <is>
          <t>1.25T</t>
        </is>
      </c>
      <c r="U11" s="23" t="inlineStr">
        <is>
          <t>1.25T</t>
        </is>
      </c>
      <c r="V11" s="23" t="inlineStr">
        <is>
          <t>Nội thành Hà Nội</t>
        </is>
      </c>
      <c r="W11" s="23" t="inlineStr">
        <is>
          <t>CR-NỘIT-01</t>
        </is>
      </c>
      <c r="X11" s="23" t="inlineStr">
        <is>
          <t>B - Thường</t>
        </is>
      </c>
      <c r="Y11" s="35" t="n">
        <v>0</v>
      </c>
      <c r="Z11" s="32" t="n">
        <v>80000</v>
      </c>
      <c r="AA11" s="23" t="inlineStr">
        <is>
          <t>Yes</t>
        </is>
      </c>
      <c r="AB11" s="23" t="inlineStr">
        <is>
          <t>2026-06-05</t>
        </is>
      </c>
      <c r="AC11" s="23" t="inlineStr">
        <is>
          <t>Ready</t>
        </is>
      </c>
      <c r="AD11" s="23" t="inlineStr">
        <is>
          <t>Delivery paired with same order and same vehicle unless transshipment enabled</t>
        </is>
      </c>
    </row>
    <row r="12" ht="18" customHeight="1" s="17">
      <c r="A12" s="21" t="inlineStr">
        <is>
          <t>S1</t>
        </is>
      </c>
      <c r="B12" s="21" t="inlineStr">
        <is>
          <t>S1-ORD-006</t>
        </is>
      </c>
      <c r="C12" s="21" t="inlineStr">
        <is>
          <t>S1-ORD-006-P</t>
        </is>
      </c>
      <c r="D12" s="21" t="inlineStr">
        <is>
          <t>Pickup</t>
        </is>
      </c>
      <c r="E12" s="21" t="inlineStr">
        <is>
          <t>S1-ORD-006-D</t>
        </is>
      </c>
      <c r="F12" s="21" t="inlineStr">
        <is>
          <t>S1-ORD-006</t>
        </is>
      </c>
      <c r="G12" s="21" t="inlineStr">
        <is>
          <t>PK_HPL_LB</t>
        </is>
      </c>
      <c r="H12" s="21" t="inlineStr">
        <is>
          <t>HPL Depot Long Biên - 20 Thạch Bàn</t>
        </is>
      </c>
      <c r="I12" s="21" t="inlineStr">
        <is>
          <t>Hà Nội</t>
        </is>
      </c>
      <c r="J12" s="21" t="inlineStr">
        <is>
          <t>Long Biên</t>
        </is>
      </c>
      <c r="K12" s="36" t="n">
        <v>21.0261548385</v>
      </c>
      <c r="L12" s="36" t="n">
        <v>105.914182238</v>
      </c>
      <c r="M12" s="37" t="n">
        <v>420</v>
      </c>
      <c r="N12" s="37" t="n">
        <v>570</v>
      </c>
      <c r="O12" s="21" t="inlineStr">
        <is>
          <t>07:00</t>
        </is>
      </c>
      <c r="P12" s="21" t="inlineStr">
        <is>
          <t>09:30</t>
        </is>
      </c>
      <c r="Q12" s="22" t="n">
        <v>120</v>
      </c>
      <c r="R12" s="28" t="n">
        <v>7814</v>
      </c>
      <c r="S12" s="29" t="n">
        <v>172.96</v>
      </c>
      <c r="T12" s="21" t="inlineStr">
        <is>
          <t>Container</t>
        </is>
      </c>
      <c r="U12" s="21" t="inlineStr">
        <is>
          <t>8T</t>
        </is>
      </c>
      <c r="V12" s="21" t="inlineStr">
        <is>
          <t>Đông Bắc</t>
        </is>
      </c>
      <c r="W12" s="21" t="inlineStr">
        <is>
          <t>CR-ĐÔNG-02</t>
        </is>
      </c>
      <c r="X12" s="21" t="inlineStr">
        <is>
          <t>C - Có thể thương lượng</t>
        </is>
      </c>
      <c r="Y12" s="31" t="n">
        <v>3320000</v>
      </c>
      <c r="Z12" s="28" t="n">
        <v>80000</v>
      </c>
      <c r="AA12" s="21" t="inlineStr">
        <is>
          <t>Yes</t>
        </is>
      </c>
      <c r="AB12" s="21" t="inlineStr">
        <is>
          <t>2026-06-05</t>
        </is>
      </c>
      <c r="AC12" s="21" t="inlineStr">
        <is>
          <t>Review</t>
        </is>
      </c>
      <c r="AD12" s="21" t="inlineStr">
        <is>
          <t>Pickup must happen before paired delivery</t>
        </is>
      </c>
    </row>
    <row r="13" ht="18" customHeight="1" s="17">
      <c r="A13" s="23" t="inlineStr">
        <is>
          <t>S1</t>
        </is>
      </c>
      <c r="B13" s="23" t="inlineStr">
        <is>
          <t>S1-ORD-006</t>
        </is>
      </c>
      <c r="C13" s="23" t="inlineStr">
        <is>
          <t>S1-ORD-006-D</t>
        </is>
      </c>
      <c r="D13" s="23" t="inlineStr">
        <is>
          <t>Delivery</t>
        </is>
      </c>
      <c r="E13" s="23" t="inlineStr">
        <is>
          <t>S1-ORD-006-P</t>
        </is>
      </c>
      <c r="F13" s="23" t="inlineStr">
        <is>
          <t>S1-ORD-006</t>
        </is>
      </c>
      <c r="G13" s="23" t="inlineStr">
        <is>
          <t>DL_HD_SIEUTHI</t>
        </is>
      </c>
      <c r="H13" s="23" t="inlineStr">
        <is>
          <t>Siêu thị Hải Dương</t>
        </is>
      </c>
      <c r="I13" s="23" t="inlineStr">
        <is>
          <t>Hải Phòng</t>
        </is>
      </c>
      <c r="J13" s="23" t="inlineStr">
        <is>
          <t>Hải Dương</t>
        </is>
      </c>
      <c r="K13" s="38" t="n">
        <v>20.937341</v>
      </c>
      <c r="L13" s="38" t="n">
        <v>106.314555</v>
      </c>
      <c r="M13" s="39" t="n">
        <v>732</v>
      </c>
      <c r="N13" s="39" t="n">
        <v>852</v>
      </c>
      <c r="O13" s="23" t="inlineStr">
        <is>
          <t>12:12</t>
        </is>
      </c>
      <c r="P13" s="23" t="inlineStr">
        <is>
          <t>14:12</t>
        </is>
      </c>
      <c r="Q13" s="24" t="n">
        <v>90</v>
      </c>
      <c r="R13" s="32" t="n">
        <v>-7814</v>
      </c>
      <c r="S13" s="33" t="n">
        <v>-172.96</v>
      </c>
      <c r="T13" s="23" t="inlineStr">
        <is>
          <t>Container</t>
        </is>
      </c>
      <c r="U13" s="23" t="inlineStr">
        <is>
          <t>8T</t>
        </is>
      </c>
      <c r="V13" s="23" t="inlineStr">
        <is>
          <t>Đông Bắc</t>
        </is>
      </c>
      <c r="W13" s="23" t="inlineStr">
        <is>
          <t>CR-ĐÔNG-02</t>
        </is>
      </c>
      <c r="X13" s="23" t="inlineStr">
        <is>
          <t>C - Có thể thương lượng</t>
        </is>
      </c>
      <c r="Y13" s="35" t="n">
        <v>0</v>
      </c>
      <c r="Z13" s="32" t="n">
        <v>80000</v>
      </c>
      <c r="AA13" s="23" t="inlineStr">
        <is>
          <t>Yes</t>
        </is>
      </c>
      <c r="AB13" s="23" t="inlineStr">
        <is>
          <t>2026-06-05</t>
        </is>
      </c>
      <c r="AC13" s="23" t="inlineStr">
        <is>
          <t>Review</t>
        </is>
      </c>
      <c r="AD13" s="23" t="inlineStr">
        <is>
          <t>Delivery paired with same order and same vehicle unless transshipment enabled</t>
        </is>
      </c>
    </row>
    <row r="14" ht="18" customHeight="1" s="17">
      <c r="A14" s="21" t="inlineStr">
        <is>
          <t>S1</t>
        </is>
      </c>
      <c r="B14" s="21" t="inlineStr">
        <is>
          <t>S1-ORD-007</t>
        </is>
      </c>
      <c r="C14" s="21" t="inlineStr">
        <is>
          <t>S1-ORD-007-P</t>
        </is>
      </c>
      <c r="D14" s="21" t="inlineStr">
        <is>
          <t>Pickup</t>
        </is>
      </c>
      <c r="E14" s="21" t="inlineStr">
        <is>
          <t>S1-ORD-007-D</t>
        </is>
      </c>
      <c r="F14" s="21" t="inlineStr">
        <is>
          <t>S1-ORD-007</t>
        </is>
      </c>
      <c r="G14" s="21" t="inlineStr">
        <is>
          <t>PK_HY_MYHAO</t>
        </is>
      </c>
      <c r="H14" s="21" t="inlineStr">
        <is>
          <t>Kho/Nhà máy khách hàng Mỹ Hào</t>
        </is>
      </c>
      <c r="I14" s="21" t="inlineStr">
        <is>
          <t>Hưng Yên</t>
        </is>
      </c>
      <c r="J14" s="21" t="inlineStr">
        <is>
          <t>Mỹ Hào</t>
        </is>
      </c>
      <c r="K14" s="36" t="n">
        <v>20.9329</v>
      </c>
      <c r="L14" s="36" t="n">
        <v>106.065</v>
      </c>
      <c r="M14" s="37" t="n">
        <v>420</v>
      </c>
      <c r="N14" s="37" t="n">
        <v>540</v>
      </c>
      <c r="O14" s="21" t="inlineStr">
        <is>
          <t>07:00</t>
        </is>
      </c>
      <c r="P14" s="21" t="inlineStr">
        <is>
          <t>09:00</t>
        </is>
      </c>
      <c r="Q14" s="22" t="n">
        <v>40</v>
      </c>
      <c r="R14" s="28" t="n">
        <v>1470</v>
      </c>
      <c r="S14" s="29" t="n">
        <v>33.65</v>
      </c>
      <c r="T14" s="21" t="inlineStr">
        <is>
          <t>8T</t>
        </is>
      </c>
      <c r="U14" s="21" t="inlineStr">
        <is>
          <t>1.25T</t>
        </is>
      </c>
      <c r="V14" s="21" t="inlineStr">
        <is>
          <t>Nội thành Hà Nội</t>
        </is>
      </c>
      <c r="W14" s="21" t="inlineStr">
        <is>
          <t>CR-NỘIT-03</t>
        </is>
      </c>
      <c r="X14" s="21" t="inlineStr">
        <is>
          <t>B - Thường</t>
        </is>
      </c>
      <c r="Y14" s="31" t="n">
        <v>660000</v>
      </c>
      <c r="Z14" s="28" t="n">
        <v>80000</v>
      </c>
      <c r="AA14" s="21" t="inlineStr">
        <is>
          <t>Yes</t>
        </is>
      </c>
      <c r="AB14" s="21" t="inlineStr">
        <is>
          <t>2026-06-05</t>
        </is>
      </c>
      <c r="AC14" s="21" t="inlineStr">
        <is>
          <t>Review</t>
        </is>
      </c>
      <c r="AD14" s="21" t="inlineStr">
        <is>
          <t>Pickup must happen before paired delivery</t>
        </is>
      </c>
    </row>
    <row r="15" ht="18" customHeight="1" s="17">
      <c r="A15" s="23" t="inlineStr">
        <is>
          <t>S1</t>
        </is>
      </c>
      <c r="B15" s="23" t="inlineStr">
        <is>
          <t>S1-ORD-007</t>
        </is>
      </c>
      <c r="C15" s="23" t="inlineStr">
        <is>
          <t>S1-ORD-007-D</t>
        </is>
      </c>
      <c r="D15" s="23" t="inlineStr">
        <is>
          <t>Delivery</t>
        </is>
      </c>
      <c r="E15" s="23" t="inlineStr">
        <is>
          <t>S1-ORD-007-P</t>
        </is>
      </c>
      <c r="F15" s="23" t="inlineStr">
        <is>
          <t>S1-ORD-007</t>
        </is>
      </c>
      <c r="G15" s="23" t="inlineStr">
        <is>
          <t>DL_HN_THAIDUONG</t>
        </is>
      </c>
      <c r="H15" s="23" t="inlineStr">
        <is>
          <t>Thái Dương</t>
        </is>
      </c>
      <c r="I15" s="23" t="inlineStr">
        <is>
          <t>Hà Nội</t>
        </is>
      </c>
      <c r="J15" s="23" t="inlineStr">
        <is>
          <t>Hà Nội</t>
        </is>
      </c>
      <c r="K15" s="38" t="n">
        <v>20.929215</v>
      </c>
      <c r="L15" s="38" t="n">
        <v>105.869998</v>
      </c>
      <c r="M15" s="39" t="n">
        <v>563</v>
      </c>
      <c r="N15" s="39" t="n">
        <v>683</v>
      </c>
      <c r="O15" s="23" t="inlineStr">
        <is>
          <t>09:23</t>
        </is>
      </c>
      <c r="P15" s="23" t="inlineStr">
        <is>
          <t>11:23</t>
        </is>
      </c>
      <c r="Q15" s="24" t="n">
        <v>35</v>
      </c>
      <c r="R15" s="32" t="n">
        <v>-1470</v>
      </c>
      <c r="S15" s="33" t="n">
        <v>-33.65</v>
      </c>
      <c r="T15" s="23" t="inlineStr">
        <is>
          <t>8T</t>
        </is>
      </c>
      <c r="U15" s="23" t="inlineStr">
        <is>
          <t>1.25T</t>
        </is>
      </c>
      <c r="V15" s="23" t="inlineStr">
        <is>
          <t>Nội thành Hà Nội</t>
        </is>
      </c>
      <c r="W15" s="23" t="inlineStr">
        <is>
          <t>CR-NỘIT-03</t>
        </is>
      </c>
      <c r="X15" s="23" t="inlineStr">
        <is>
          <t>B - Thường</t>
        </is>
      </c>
      <c r="Y15" s="35" t="n">
        <v>0</v>
      </c>
      <c r="Z15" s="32" t="n">
        <v>80000</v>
      </c>
      <c r="AA15" s="23" t="inlineStr">
        <is>
          <t>Yes</t>
        </is>
      </c>
      <c r="AB15" s="23" t="inlineStr">
        <is>
          <t>2026-06-05</t>
        </is>
      </c>
      <c r="AC15" s="23" t="inlineStr">
        <is>
          <t>Review</t>
        </is>
      </c>
      <c r="AD15" s="23" t="inlineStr">
        <is>
          <t>Delivery paired with same order and same vehicle unless transshipment enabled</t>
        </is>
      </c>
    </row>
    <row r="16" ht="18" customHeight="1" s="17">
      <c r="A16" s="21" t="inlineStr">
        <is>
          <t>S1</t>
        </is>
      </c>
      <c r="B16" s="21" t="inlineStr">
        <is>
          <t>S1-ORD-008</t>
        </is>
      </c>
      <c r="C16" s="21" t="inlineStr">
        <is>
          <t>S1-ORD-008-P</t>
        </is>
      </c>
      <c r="D16" s="21" t="inlineStr">
        <is>
          <t>Pickup</t>
        </is>
      </c>
      <c r="E16" s="21" t="inlineStr">
        <is>
          <t>S1-ORD-008-D</t>
        </is>
      </c>
      <c r="F16" s="21" t="inlineStr">
        <is>
          <t>S1-ORD-008</t>
        </is>
      </c>
      <c r="G16" s="21" t="inlineStr">
        <is>
          <t>PK_LINFOX_VSIP</t>
        </is>
      </c>
      <c r="H16" s="21" t="inlineStr">
        <is>
          <t>Kho Linfox KCN VSIP Bắc Ninh</t>
        </is>
      </c>
      <c r="I16" s="21" t="inlineStr">
        <is>
          <t>Bắc Ninh</t>
        </is>
      </c>
      <c r="J16" s="21" t="inlineStr">
        <is>
          <t>Từ Sơn</t>
        </is>
      </c>
      <c r="K16" s="36" t="n">
        <v>21.082707</v>
      </c>
      <c r="L16" s="36" t="n">
        <v>105.997949</v>
      </c>
      <c r="M16" s="37" t="n">
        <v>540</v>
      </c>
      <c r="N16" s="37" t="n">
        <v>630</v>
      </c>
      <c r="O16" s="21" t="inlineStr">
        <is>
          <t>09:00</t>
        </is>
      </c>
      <c r="P16" s="21" t="inlineStr">
        <is>
          <t>10:30</t>
        </is>
      </c>
      <c r="Q16" s="22" t="n">
        <v>40</v>
      </c>
      <c r="R16" s="28" t="n">
        <v>1371</v>
      </c>
      <c r="S16" s="29" t="n">
        <v>32.73</v>
      </c>
      <c r="T16" s="21" t="inlineStr">
        <is>
          <t>8T</t>
        </is>
      </c>
      <c r="U16" s="21" t="inlineStr">
        <is>
          <t>1.25T</t>
        </is>
      </c>
      <c r="V16" s="21" t="inlineStr">
        <is>
          <t>Nội thành Hà Nội</t>
        </is>
      </c>
      <c r="W16" s="21" t="inlineStr">
        <is>
          <t>CR-NỘIT-04</t>
        </is>
      </c>
      <c r="X16" s="21" t="inlineStr">
        <is>
          <t>C - Có thể thương lượng</t>
        </is>
      </c>
      <c r="Y16" s="31" t="n">
        <v>650000</v>
      </c>
      <c r="Z16" s="28" t="n">
        <v>80000</v>
      </c>
      <c r="AA16" s="21" t="inlineStr">
        <is>
          <t>Yes</t>
        </is>
      </c>
      <c r="AB16" s="21" t="inlineStr">
        <is>
          <t>2026-06-05</t>
        </is>
      </c>
      <c r="AC16" s="21" t="inlineStr">
        <is>
          <t>Review</t>
        </is>
      </c>
      <c r="AD16" s="21" t="inlineStr">
        <is>
          <t>Pickup must happen before paired delivery</t>
        </is>
      </c>
    </row>
    <row r="17" ht="18" customHeight="1" s="17">
      <c r="A17" s="23" t="inlineStr">
        <is>
          <t>S1</t>
        </is>
      </c>
      <c r="B17" s="23" t="inlineStr">
        <is>
          <t>S1-ORD-008</t>
        </is>
      </c>
      <c r="C17" s="23" t="inlineStr">
        <is>
          <t>S1-ORD-008-D</t>
        </is>
      </c>
      <c r="D17" s="23" t="inlineStr">
        <is>
          <t>Delivery</t>
        </is>
      </c>
      <c r="E17" s="23" t="inlineStr">
        <is>
          <t>S1-ORD-008-P</t>
        </is>
      </c>
      <c r="F17" s="23" t="inlineStr">
        <is>
          <t>S1-ORD-008</t>
        </is>
      </c>
      <c r="G17" s="23" t="inlineStr">
        <is>
          <t>DL_HN_VOTHISAU</t>
        </is>
      </c>
      <c r="H17" s="23" t="inlineStr">
        <is>
          <t>VINMART Võ Thị Sáu</t>
        </is>
      </c>
      <c r="I17" s="23" t="inlineStr">
        <is>
          <t>Hà Nội</t>
        </is>
      </c>
      <c r="J17" s="23" t="inlineStr">
        <is>
          <t>Hai Bà Trưng</t>
        </is>
      </c>
      <c r="K17" s="38" t="n">
        <v>21.00441</v>
      </c>
      <c r="L17" s="38" t="n">
        <v>105.855148</v>
      </c>
      <c r="M17" s="39" t="n">
        <v>744</v>
      </c>
      <c r="N17" s="39" t="n">
        <v>864</v>
      </c>
      <c r="O17" s="23" t="inlineStr">
        <is>
          <t>12:24</t>
        </is>
      </c>
      <c r="P17" s="23" t="inlineStr">
        <is>
          <t>14:24</t>
        </is>
      </c>
      <c r="Q17" s="24" t="n">
        <v>35</v>
      </c>
      <c r="R17" s="32" t="n">
        <v>-1371</v>
      </c>
      <c r="S17" s="33" t="n">
        <v>-32.73</v>
      </c>
      <c r="T17" s="23" t="inlineStr">
        <is>
          <t>8T</t>
        </is>
      </c>
      <c r="U17" s="23" t="inlineStr">
        <is>
          <t>1.25T</t>
        </is>
      </c>
      <c r="V17" s="23" t="inlineStr">
        <is>
          <t>Nội thành Hà Nội</t>
        </is>
      </c>
      <c r="W17" s="23" t="inlineStr">
        <is>
          <t>CR-NỘIT-04</t>
        </is>
      </c>
      <c r="X17" s="23" t="inlineStr">
        <is>
          <t>C - Có thể thương lượng</t>
        </is>
      </c>
      <c r="Y17" s="35" t="n">
        <v>0</v>
      </c>
      <c r="Z17" s="32" t="n">
        <v>80000</v>
      </c>
      <c r="AA17" s="23" t="inlineStr">
        <is>
          <t>Yes</t>
        </is>
      </c>
      <c r="AB17" s="23" t="inlineStr">
        <is>
          <t>2026-06-05</t>
        </is>
      </c>
      <c r="AC17" s="23" t="inlineStr">
        <is>
          <t>Review</t>
        </is>
      </c>
      <c r="AD17" s="23" t="inlineStr">
        <is>
          <t>Delivery paired with same order and same vehicle unless transshipment enabled</t>
        </is>
      </c>
    </row>
    <row r="18" ht="18" customHeight="1" s="17">
      <c r="A18" s="21" t="inlineStr">
        <is>
          <t>S1</t>
        </is>
      </c>
      <c r="B18" s="21" t="inlineStr">
        <is>
          <t>S1-ORD-009</t>
        </is>
      </c>
      <c r="C18" s="21" t="inlineStr">
        <is>
          <t>S1-ORD-009-P</t>
        </is>
      </c>
      <c r="D18" s="21" t="inlineStr">
        <is>
          <t>Pickup</t>
        </is>
      </c>
      <c r="E18" s="21" t="inlineStr">
        <is>
          <t>S1-ORD-009-D</t>
        </is>
      </c>
      <c r="F18" s="21" t="inlineStr">
        <is>
          <t>S1-ORD-009</t>
        </is>
      </c>
      <c r="G18" s="21" t="inlineStr">
        <is>
          <t>PK_HPL_LB</t>
        </is>
      </c>
      <c r="H18" s="21" t="inlineStr">
        <is>
          <t>HPL Depot Long Biên - 20 Thạch Bàn</t>
        </is>
      </c>
      <c r="I18" s="21" t="inlineStr">
        <is>
          <t>Hà Nội</t>
        </is>
      </c>
      <c r="J18" s="21" t="inlineStr">
        <is>
          <t>Long Biên</t>
        </is>
      </c>
      <c r="K18" s="36" t="n">
        <v>21.0261548385</v>
      </c>
      <c r="L18" s="36" t="n">
        <v>105.914182238</v>
      </c>
      <c r="M18" s="37" t="n">
        <v>480</v>
      </c>
      <c r="N18" s="37" t="n">
        <v>630</v>
      </c>
      <c r="O18" s="21" t="inlineStr">
        <is>
          <t>08:00</t>
        </is>
      </c>
      <c r="P18" s="21" t="inlineStr">
        <is>
          <t>10:30</t>
        </is>
      </c>
      <c r="Q18" s="22" t="n">
        <v>40</v>
      </c>
      <c r="R18" s="28" t="n">
        <v>4822</v>
      </c>
      <c r="S18" s="29" t="n">
        <v>12.04</v>
      </c>
      <c r="T18" s="21" t="inlineStr">
        <is>
          <t>5T</t>
        </is>
      </c>
      <c r="U18" s="21" t="inlineStr">
        <is>
          <t>5T</t>
        </is>
      </c>
      <c r="V18" s="21" t="inlineStr">
        <is>
          <t>Tây Bắc</t>
        </is>
      </c>
      <c r="W18" s="21" t="inlineStr">
        <is>
          <t>CR-TÂYB-05</t>
        </is>
      </c>
      <c r="X18" s="21" t="inlineStr">
        <is>
          <t>C - Có thể thương lượng</t>
        </is>
      </c>
      <c r="Y18" s="31" t="n">
        <v>1170000</v>
      </c>
      <c r="Z18" s="28" t="n">
        <v>80000</v>
      </c>
      <c r="AA18" s="21" t="inlineStr">
        <is>
          <t>Yes</t>
        </is>
      </c>
      <c r="AB18" s="21" t="inlineStr">
        <is>
          <t>2026-06-05</t>
        </is>
      </c>
      <c r="AC18" s="21" t="inlineStr">
        <is>
          <t>Ready</t>
        </is>
      </c>
      <c r="AD18" s="21" t="inlineStr">
        <is>
          <t>Pickup must happen before paired delivery</t>
        </is>
      </c>
    </row>
    <row r="19" ht="18" customHeight="1" s="17">
      <c r="A19" s="23" t="inlineStr">
        <is>
          <t>S1</t>
        </is>
      </c>
      <c r="B19" s="23" t="inlineStr">
        <is>
          <t>S1-ORD-009</t>
        </is>
      </c>
      <c r="C19" s="23" t="inlineStr">
        <is>
          <t>S1-ORD-009-D</t>
        </is>
      </c>
      <c r="D19" s="23" t="inlineStr">
        <is>
          <t>Delivery</t>
        </is>
      </c>
      <c r="E19" s="23" t="inlineStr">
        <is>
          <t>S1-ORD-009-P</t>
        </is>
      </c>
      <c r="F19" s="23" t="inlineStr">
        <is>
          <t>S1-ORD-009</t>
        </is>
      </c>
      <c r="G19" s="23" t="inlineStr">
        <is>
          <t>DL_HN_HOAIDUC</t>
        </is>
      </c>
      <c r="H19" s="23" t="inlineStr">
        <is>
          <t>VINMART Hoài Đức</t>
        </is>
      </c>
      <c r="I19" s="23" t="inlineStr">
        <is>
          <t>Hà Nội</t>
        </is>
      </c>
      <c r="J19" s="23" t="inlineStr">
        <is>
          <t>Hoài Đức</t>
        </is>
      </c>
      <c r="K19" s="38" t="n">
        <v>21.005046</v>
      </c>
      <c r="L19" s="38" t="n">
        <v>105.728286</v>
      </c>
      <c r="M19" s="39" t="n">
        <v>578</v>
      </c>
      <c r="N19" s="39" t="n">
        <v>758</v>
      </c>
      <c r="O19" s="23" t="inlineStr">
        <is>
          <t>09:38</t>
        </is>
      </c>
      <c r="P19" s="23" t="inlineStr">
        <is>
          <t>12:38</t>
        </is>
      </c>
      <c r="Q19" s="24" t="n">
        <v>35</v>
      </c>
      <c r="R19" s="32" t="n">
        <v>-4822</v>
      </c>
      <c r="S19" s="33" t="n">
        <v>-12.04</v>
      </c>
      <c r="T19" s="23" t="inlineStr">
        <is>
          <t>5T</t>
        </is>
      </c>
      <c r="U19" s="23" t="inlineStr">
        <is>
          <t>5T</t>
        </is>
      </c>
      <c r="V19" s="23" t="inlineStr">
        <is>
          <t>Tây Bắc</t>
        </is>
      </c>
      <c r="W19" s="23" t="inlineStr">
        <is>
          <t>CR-TÂYB-05</t>
        </is>
      </c>
      <c r="X19" s="23" t="inlineStr">
        <is>
          <t>C - Có thể thương lượng</t>
        </is>
      </c>
      <c r="Y19" s="35" t="n">
        <v>0</v>
      </c>
      <c r="Z19" s="32" t="n">
        <v>80000</v>
      </c>
      <c r="AA19" s="23" t="inlineStr">
        <is>
          <t>Yes</t>
        </is>
      </c>
      <c r="AB19" s="23" t="inlineStr">
        <is>
          <t>2026-06-05</t>
        </is>
      </c>
      <c r="AC19" s="23" t="inlineStr">
        <is>
          <t>Ready</t>
        </is>
      </c>
      <c r="AD19" s="23" t="inlineStr">
        <is>
          <t>Delivery paired with same order and same vehicle unless transshipment enabled</t>
        </is>
      </c>
    </row>
    <row r="20" ht="18" customHeight="1" s="17">
      <c r="A20" s="21" t="inlineStr">
        <is>
          <t>S1</t>
        </is>
      </c>
      <c r="B20" s="21" t="inlineStr">
        <is>
          <t>S1-ORD-010</t>
        </is>
      </c>
      <c r="C20" s="21" t="inlineStr">
        <is>
          <t>S1-ORD-010-P</t>
        </is>
      </c>
      <c r="D20" s="21" t="inlineStr">
        <is>
          <t>Pickup</t>
        </is>
      </c>
      <c r="E20" s="21" t="inlineStr">
        <is>
          <t>S1-ORD-010-D</t>
        </is>
      </c>
      <c r="F20" s="21" t="inlineStr">
        <is>
          <t>S1-ORD-010</t>
        </is>
      </c>
      <c r="G20" s="21" t="inlineStr">
        <is>
          <t>PK_LINFOX_VSIP</t>
        </is>
      </c>
      <c r="H20" s="21" t="inlineStr">
        <is>
          <t>Kho Linfox KCN VSIP Bắc Ninh</t>
        </is>
      </c>
      <c r="I20" s="21" t="inlineStr">
        <is>
          <t>Bắc Ninh</t>
        </is>
      </c>
      <c r="J20" s="21" t="inlineStr">
        <is>
          <t>Từ Sơn</t>
        </is>
      </c>
      <c r="K20" s="36" t="n">
        <v>21.082707</v>
      </c>
      <c r="L20" s="36" t="n">
        <v>105.997949</v>
      </c>
      <c r="M20" s="37" t="n">
        <v>420</v>
      </c>
      <c r="N20" s="37" t="n">
        <v>510</v>
      </c>
      <c r="O20" s="21" t="inlineStr">
        <is>
          <t>07:00</t>
        </is>
      </c>
      <c r="P20" s="21" t="inlineStr">
        <is>
          <t>08:30</t>
        </is>
      </c>
      <c r="Q20" s="22" t="n">
        <v>25</v>
      </c>
      <c r="R20" s="28" t="n">
        <v>909</v>
      </c>
      <c r="S20" s="29" t="n">
        <v>1.5</v>
      </c>
      <c r="T20" s="21" t="inlineStr">
        <is>
          <t>1.25T</t>
        </is>
      </c>
      <c r="U20" s="21" t="inlineStr">
        <is>
          <t>1.25T</t>
        </is>
      </c>
      <c r="V20" s="21" t="inlineStr">
        <is>
          <t>Nội thành Hà Nội</t>
        </is>
      </c>
      <c r="W20" s="21" t="inlineStr">
        <is>
          <t>CR-NỘIT-01</t>
        </is>
      </c>
      <c r="X20" s="21" t="inlineStr">
        <is>
          <t>C - Có thể thương lượng</t>
        </is>
      </c>
      <c r="Y20" s="31" t="n">
        <v>600000</v>
      </c>
      <c r="Z20" s="28" t="n">
        <v>80000</v>
      </c>
      <c r="AA20" s="21" t="inlineStr">
        <is>
          <t>Yes</t>
        </is>
      </c>
      <c r="AB20" s="21" t="inlineStr">
        <is>
          <t>2026-06-05</t>
        </is>
      </c>
      <c r="AC20" s="21" t="inlineStr">
        <is>
          <t>Ready</t>
        </is>
      </c>
      <c r="AD20" s="21" t="inlineStr">
        <is>
          <t>Pickup must happen before paired delivery</t>
        </is>
      </c>
    </row>
    <row r="21" ht="18" customHeight="1" s="17">
      <c r="A21" s="23" t="inlineStr">
        <is>
          <t>S1</t>
        </is>
      </c>
      <c r="B21" s="23" t="inlineStr">
        <is>
          <t>S1-ORD-010</t>
        </is>
      </c>
      <c r="C21" s="23" t="inlineStr">
        <is>
          <t>S1-ORD-010-D</t>
        </is>
      </c>
      <c r="D21" s="23" t="inlineStr">
        <is>
          <t>Delivery</t>
        </is>
      </c>
      <c r="E21" s="23" t="inlineStr">
        <is>
          <t>S1-ORD-010-P</t>
        </is>
      </c>
      <c r="F21" s="23" t="inlineStr">
        <is>
          <t>S1-ORD-010</t>
        </is>
      </c>
      <c r="G21" s="23" t="inlineStr">
        <is>
          <t>DL_HN_THAIDUONG</t>
        </is>
      </c>
      <c r="H21" s="23" t="inlineStr">
        <is>
          <t>Thái Dương</t>
        </is>
      </c>
      <c r="I21" s="23" t="inlineStr">
        <is>
          <t>Hà Nội</t>
        </is>
      </c>
      <c r="J21" s="23" t="inlineStr">
        <is>
          <t>Hà Nội</t>
        </is>
      </c>
      <c r="K21" s="38" t="n">
        <v>20.929215</v>
      </c>
      <c r="L21" s="38" t="n">
        <v>105.869998</v>
      </c>
      <c r="M21" s="39" t="n">
        <v>555</v>
      </c>
      <c r="N21" s="39" t="n">
        <v>645</v>
      </c>
      <c r="O21" s="23" t="inlineStr">
        <is>
          <t>09:15</t>
        </is>
      </c>
      <c r="P21" s="23" t="inlineStr">
        <is>
          <t>10:45</t>
        </is>
      </c>
      <c r="Q21" s="24" t="n">
        <v>20</v>
      </c>
      <c r="R21" s="32" t="n">
        <v>-909</v>
      </c>
      <c r="S21" s="33" t="n">
        <v>-1.5</v>
      </c>
      <c r="T21" s="23" t="inlineStr">
        <is>
          <t>1.25T</t>
        </is>
      </c>
      <c r="U21" s="23" t="inlineStr">
        <is>
          <t>1.25T</t>
        </is>
      </c>
      <c r="V21" s="23" t="inlineStr">
        <is>
          <t>Nội thành Hà Nội</t>
        </is>
      </c>
      <c r="W21" s="23" t="inlineStr">
        <is>
          <t>CR-NỘIT-01</t>
        </is>
      </c>
      <c r="X21" s="23" t="inlineStr">
        <is>
          <t>C - Có thể thương lượng</t>
        </is>
      </c>
      <c r="Y21" s="35" t="n">
        <v>0</v>
      </c>
      <c r="Z21" s="32" t="n">
        <v>80000</v>
      </c>
      <c r="AA21" s="23" t="inlineStr">
        <is>
          <t>Yes</t>
        </is>
      </c>
      <c r="AB21" s="23" t="inlineStr">
        <is>
          <t>2026-06-05</t>
        </is>
      </c>
      <c r="AC21" s="23" t="inlineStr">
        <is>
          <t>Ready</t>
        </is>
      </c>
      <c r="AD21" s="23" t="inlineStr">
        <is>
          <t>Delivery paired with same order and same vehicle unless transshipment enabled</t>
        </is>
      </c>
    </row>
    <row r="22" ht="18" customHeight="1" s="17">
      <c r="A22" s="21" t="inlineStr">
        <is>
          <t>S1</t>
        </is>
      </c>
      <c r="B22" s="21" t="inlineStr">
        <is>
          <t>S1-ORD-011</t>
        </is>
      </c>
      <c r="C22" s="21" t="inlineStr">
        <is>
          <t>S1-ORD-011-P</t>
        </is>
      </c>
      <c r="D22" s="21" t="inlineStr">
        <is>
          <t>Pickup</t>
        </is>
      </c>
      <c r="E22" s="21" t="inlineStr">
        <is>
          <t>S1-ORD-011-D</t>
        </is>
      </c>
      <c r="F22" s="21" t="inlineStr">
        <is>
          <t>S1-ORD-011</t>
        </is>
      </c>
      <c r="G22" s="21" t="inlineStr">
        <is>
          <t>PK_HPL_LB</t>
        </is>
      </c>
      <c r="H22" s="21" t="inlineStr">
        <is>
          <t>HPL Depot Long Biên - 20 Thạch Bàn</t>
        </is>
      </c>
      <c r="I22" s="21" t="inlineStr">
        <is>
          <t>Hà Nội</t>
        </is>
      </c>
      <c r="J22" s="21" t="inlineStr">
        <is>
          <t>Long Biên</t>
        </is>
      </c>
      <c r="K22" s="36" t="n">
        <v>21.0261548385</v>
      </c>
      <c r="L22" s="36" t="n">
        <v>105.914182238</v>
      </c>
      <c r="M22" s="37" t="n">
        <v>420</v>
      </c>
      <c r="N22" s="37" t="n">
        <v>540</v>
      </c>
      <c r="O22" s="21" t="inlineStr">
        <is>
          <t>07:00</t>
        </is>
      </c>
      <c r="P22" s="21" t="inlineStr">
        <is>
          <t>09:00</t>
        </is>
      </c>
      <c r="Q22" s="22" t="n">
        <v>25</v>
      </c>
      <c r="R22" s="28" t="n">
        <v>945</v>
      </c>
      <c r="S22" s="29" t="n">
        <v>2.06</v>
      </c>
      <c r="T22" s="21" t="inlineStr">
        <is>
          <t>1.25T</t>
        </is>
      </c>
      <c r="U22" s="21" t="inlineStr">
        <is>
          <t>1.25T</t>
        </is>
      </c>
      <c r="V22" s="21" t="inlineStr">
        <is>
          <t>Nội thành Hà Nội</t>
        </is>
      </c>
      <c r="W22" s="21" t="inlineStr">
        <is>
          <t>CR-NỘIT-02</t>
        </is>
      </c>
      <c r="X22" s="21" t="inlineStr">
        <is>
          <t>B - Thường</t>
        </is>
      </c>
      <c r="Y22" s="31" t="n">
        <v>910000</v>
      </c>
      <c r="Z22" s="28" t="n">
        <v>80000</v>
      </c>
      <c r="AA22" s="21" t="inlineStr">
        <is>
          <t>Yes</t>
        </is>
      </c>
      <c r="AB22" s="21" t="inlineStr">
        <is>
          <t>2026-06-05</t>
        </is>
      </c>
      <c r="AC22" s="21" t="inlineStr">
        <is>
          <t>Ready</t>
        </is>
      </c>
      <c r="AD22" s="21" t="inlineStr">
        <is>
          <t>Pickup must happen before paired delivery</t>
        </is>
      </c>
    </row>
    <row r="23" ht="18" customHeight="1" s="17">
      <c r="A23" s="23" t="inlineStr">
        <is>
          <t>S1</t>
        </is>
      </c>
      <c r="B23" s="23" t="inlineStr">
        <is>
          <t>S1-ORD-011</t>
        </is>
      </c>
      <c r="C23" s="23" t="inlineStr">
        <is>
          <t>S1-ORD-011-D</t>
        </is>
      </c>
      <c r="D23" s="23" t="inlineStr">
        <is>
          <t>Delivery</t>
        </is>
      </c>
      <c r="E23" s="23" t="inlineStr">
        <is>
          <t>S1-ORD-011-P</t>
        </is>
      </c>
      <c r="F23" s="23" t="inlineStr">
        <is>
          <t>S1-ORD-011</t>
        </is>
      </c>
      <c r="G23" s="23" t="inlineStr">
        <is>
          <t>DL_HN_BACTULIEM</t>
        </is>
      </c>
      <c r="H23" s="23" t="inlineStr">
        <is>
          <t>VINMART Bắc Từ Liêm</t>
        </is>
      </c>
      <c r="I23" s="23" t="inlineStr">
        <is>
          <t>Hà Nội</t>
        </is>
      </c>
      <c r="J23" s="23" t="inlineStr">
        <is>
          <t>Bắc Từ Liêm</t>
        </is>
      </c>
      <c r="K23" s="38" t="n">
        <v>21.052701</v>
      </c>
      <c r="L23" s="38" t="n">
        <v>105.780729</v>
      </c>
      <c r="M23" s="39" t="n">
        <v>569</v>
      </c>
      <c r="N23" s="39" t="n">
        <v>659</v>
      </c>
      <c r="O23" s="23" t="inlineStr">
        <is>
          <t>09:29</t>
        </is>
      </c>
      <c r="P23" s="23" t="inlineStr">
        <is>
          <t>10:59</t>
        </is>
      </c>
      <c r="Q23" s="24" t="n">
        <v>20</v>
      </c>
      <c r="R23" s="32" t="n">
        <v>-945</v>
      </c>
      <c r="S23" s="33" t="n">
        <v>-2.06</v>
      </c>
      <c r="T23" s="23" t="inlineStr">
        <is>
          <t>1.25T</t>
        </is>
      </c>
      <c r="U23" s="23" t="inlineStr">
        <is>
          <t>1.25T</t>
        </is>
      </c>
      <c r="V23" s="23" t="inlineStr">
        <is>
          <t>Nội thành Hà Nội</t>
        </is>
      </c>
      <c r="W23" s="23" t="inlineStr">
        <is>
          <t>CR-NỘIT-02</t>
        </is>
      </c>
      <c r="X23" s="23" t="inlineStr">
        <is>
          <t>B - Thường</t>
        </is>
      </c>
      <c r="Y23" s="35" t="n">
        <v>0</v>
      </c>
      <c r="Z23" s="32" t="n">
        <v>80000</v>
      </c>
      <c r="AA23" s="23" t="inlineStr">
        <is>
          <t>Yes</t>
        </is>
      </c>
      <c r="AB23" s="23" t="inlineStr">
        <is>
          <t>2026-06-05</t>
        </is>
      </c>
      <c r="AC23" s="23" t="inlineStr">
        <is>
          <t>Ready</t>
        </is>
      </c>
      <c r="AD23" s="23" t="inlineStr">
        <is>
          <t>Delivery paired with same order and same vehicle unless transshipment enabled</t>
        </is>
      </c>
    </row>
    <row r="24" ht="18" customHeight="1" s="17">
      <c r="A24" s="21" t="inlineStr">
        <is>
          <t>S1</t>
        </is>
      </c>
      <c r="B24" s="21" t="inlineStr">
        <is>
          <t>S1-ORD-012</t>
        </is>
      </c>
      <c r="C24" s="21" t="inlineStr">
        <is>
          <t>S1-ORD-012-P</t>
        </is>
      </c>
      <c r="D24" s="21" t="inlineStr">
        <is>
          <t>Pickup</t>
        </is>
      </c>
      <c r="E24" s="21" t="inlineStr">
        <is>
          <t>S1-ORD-012-D</t>
        </is>
      </c>
      <c r="F24" s="21" t="inlineStr">
        <is>
          <t>S1-ORD-012</t>
        </is>
      </c>
      <c r="G24" s="21" t="inlineStr">
        <is>
          <t>PK_LINFOX_VSIP</t>
        </is>
      </c>
      <c r="H24" s="21" t="inlineStr">
        <is>
          <t>Kho Linfox KCN VSIP Bắc Ninh</t>
        </is>
      </c>
      <c r="I24" s="21" t="inlineStr">
        <is>
          <t>Bắc Ninh</t>
        </is>
      </c>
      <c r="J24" s="21" t="inlineStr">
        <is>
          <t>Từ Sơn</t>
        </is>
      </c>
      <c r="K24" s="36" t="n">
        <v>21.082707</v>
      </c>
      <c r="L24" s="36" t="n">
        <v>105.997949</v>
      </c>
      <c r="M24" s="37" t="n">
        <v>480</v>
      </c>
      <c r="N24" s="37" t="n">
        <v>600</v>
      </c>
      <c r="O24" s="21" t="inlineStr">
        <is>
          <t>08:00</t>
        </is>
      </c>
      <c r="P24" s="21" t="inlineStr">
        <is>
          <t>10:00</t>
        </is>
      </c>
      <c r="Q24" s="22" t="n">
        <v>25</v>
      </c>
      <c r="R24" s="28" t="n">
        <v>349</v>
      </c>
      <c r="S24" s="29" t="n">
        <v>0.89</v>
      </c>
      <c r="T24" s="21" t="inlineStr">
        <is>
          <t>5 tạ</t>
        </is>
      </c>
      <c r="U24" s="21" t="inlineStr">
        <is>
          <t>1.25T</t>
        </is>
      </c>
      <c r="V24" s="21" t="inlineStr">
        <is>
          <t>Nội thành Hà Nội</t>
        </is>
      </c>
      <c r="W24" s="21" t="inlineStr">
        <is>
          <t>CR-NỘIT-03</t>
        </is>
      </c>
      <c r="X24" s="21" t="inlineStr">
        <is>
          <t>B - Thường</t>
        </is>
      </c>
      <c r="Y24" s="31" t="n">
        <v>510000</v>
      </c>
      <c r="Z24" s="28" t="n">
        <v>80000</v>
      </c>
      <c r="AA24" s="21" t="inlineStr">
        <is>
          <t>Yes</t>
        </is>
      </c>
      <c r="AB24" s="21" t="inlineStr">
        <is>
          <t>2026-06-05</t>
        </is>
      </c>
      <c r="AC24" s="21" t="inlineStr">
        <is>
          <t>Ready</t>
        </is>
      </c>
      <c r="AD24" s="21" t="inlineStr">
        <is>
          <t>Pickup must happen before paired delivery</t>
        </is>
      </c>
    </row>
    <row r="25" ht="18" customHeight="1" s="17">
      <c r="A25" s="23" t="inlineStr">
        <is>
          <t>S1</t>
        </is>
      </c>
      <c r="B25" s="23" t="inlineStr">
        <is>
          <t>S1-ORD-012</t>
        </is>
      </c>
      <c r="C25" s="23" t="inlineStr">
        <is>
          <t>S1-ORD-012-D</t>
        </is>
      </c>
      <c r="D25" s="23" t="inlineStr">
        <is>
          <t>Delivery</t>
        </is>
      </c>
      <c r="E25" s="23" t="inlineStr">
        <is>
          <t>S1-ORD-012-P</t>
        </is>
      </c>
      <c r="F25" s="23" t="inlineStr">
        <is>
          <t>S1-ORD-012</t>
        </is>
      </c>
      <c r="G25" s="23" t="inlineStr">
        <is>
          <t>DL_HN_GARDEN</t>
        </is>
      </c>
      <c r="H25" s="23" t="inlineStr">
        <is>
          <t>TOPS MARKET Garden Mall</t>
        </is>
      </c>
      <c r="I25" s="23" t="inlineStr">
        <is>
          <t>Hà Nội</t>
        </is>
      </c>
      <c r="J25" s="23" t="inlineStr">
        <is>
          <t>Nam Từ Liêm</t>
        </is>
      </c>
      <c r="K25" s="38" t="n">
        <v>21.015324</v>
      </c>
      <c r="L25" s="38" t="n">
        <v>105.777839</v>
      </c>
      <c r="M25" s="39" t="n">
        <v>623</v>
      </c>
      <c r="N25" s="39" t="n">
        <v>803</v>
      </c>
      <c r="O25" s="23" t="inlineStr">
        <is>
          <t>10:23</t>
        </is>
      </c>
      <c r="P25" s="23" t="inlineStr">
        <is>
          <t>13:23</t>
        </is>
      </c>
      <c r="Q25" s="24" t="n">
        <v>30</v>
      </c>
      <c r="R25" s="32" t="n">
        <v>-349</v>
      </c>
      <c r="S25" s="33" t="n">
        <v>-0.89</v>
      </c>
      <c r="T25" s="23" t="inlineStr">
        <is>
          <t>5 tạ</t>
        </is>
      </c>
      <c r="U25" s="23" t="inlineStr">
        <is>
          <t>1.25T</t>
        </is>
      </c>
      <c r="V25" s="23" t="inlineStr">
        <is>
          <t>Nội thành Hà Nội</t>
        </is>
      </c>
      <c r="W25" s="23" t="inlineStr">
        <is>
          <t>CR-NỘIT-03</t>
        </is>
      </c>
      <c r="X25" s="23" t="inlineStr">
        <is>
          <t>B - Thường</t>
        </is>
      </c>
      <c r="Y25" s="35" t="n">
        <v>0</v>
      </c>
      <c r="Z25" s="32" t="n">
        <v>80000</v>
      </c>
      <c r="AA25" s="23" t="inlineStr">
        <is>
          <t>Yes</t>
        </is>
      </c>
      <c r="AB25" s="23" t="inlineStr">
        <is>
          <t>2026-06-05</t>
        </is>
      </c>
      <c r="AC25" s="23" t="inlineStr">
        <is>
          <t>Ready</t>
        </is>
      </c>
      <c r="AD25" s="23" t="inlineStr">
        <is>
          <t>Delivery paired with same order and same vehicle unless transshipment enabled</t>
        </is>
      </c>
    </row>
    <row r="26" ht="18" customHeight="1" s="17">
      <c r="A26" s="21" t="inlineStr">
        <is>
          <t>S1</t>
        </is>
      </c>
      <c r="B26" s="21" t="inlineStr">
        <is>
          <t>S1-ORD-013</t>
        </is>
      </c>
      <c r="C26" s="21" t="inlineStr">
        <is>
          <t>S1-ORD-013-P</t>
        </is>
      </c>
      <c r="D26" s="21" t="inlineStr">
        <is>
          <t>Pickup</t>
        </is>
      </c>
      <c r="E26" s="21" t="inlineStr">
        <is>
          <t>S1-ORD-013-D</t>
        </is>
      </c>
      <c r="F26" s="21" t="inlineStr">
        <is>
          <t>S1-ORD-013</t>
        </is>
      </c>
      <c r="G26" s="21" t="inlineStr">
        <is>
          <t>PK_LINFOX_VSIP</t>
        </is>
      </c>
      <c r="H26" s="21" t="inlineStr">
        <is>
          <t>Kho Linfox KCN VSIP Bắc Ninh</t>
        </is>
      </c>
      <c r="I26" s="21" t="inlineStr">
        <is>
          <t>Bắc Ninh</t>
        </is>
      </c>
      <c r="J26" s="21" t="inlineStr">
        <is>
          <t>Từ Sơn</t>
        </is>
      </c>
      <c r="K26" s="36" t="n">
        <v>21.082707</v>
      </c>
      <c r="L26" s="36" t="n">
        <v>105.997949</v>
      </c>
      <c r="M26" s="37" t="n">
        <v>510</v>
      </c>
      <c r="N26" s="37" t="n">
        <v>630</v>
      </c>
      <c r="O26" s="21" t="inlineStr">
        <is>
          <t>08:30</t>
        </is>
      </c>
      <c r="P26" s="21" t="inlineStr">
        <is>
          <t>10:30</t>
        </is>
      </c>
      <c r="Q26" s="22" t="n">
        <v>40</v>
      </c>
      <c r="R26" s="28" t="n">
        <v>1820</v>
      </c>
      <c r="S26" s="29" t="n">
        <v>2.93</v>
      </c>
      <c r="T26" s="21" t="inlineStr">
        <is>
          <t>5T</t>
        </is>
      </c>
      <c r="U26" s="21" t="inlineStr">
        <is>
          <t>8T</t>
        </is>
      </c>
      <c r="V26" s="21" t="inlineStr">
        <is>
          <t>Đông Bắc</t>
        </is>
      </c>
      <c r="W26" s="21" t="inlineStr">
        <is>
          <t>CR-ĐÔNG-04</t>
        </is>
      </c>
      <c r="X26" s="21" t="inlineStr">
        <is>
          <t>C - Có thể thương lượng</t>
        </is>
      </c>
      <c r="Y26" s="31" t="n">
        <v>910000</v>
      </c>
      <c r="Z26" s="28" t="n">
        <v>80000</v>
      </c>
      <c r="AA26" s="21" t="inlineStr">
        <is>
          <t>Yes</t>
        </is>
      </c>
      <c r="AB26" s="21" t="inlineStr">
        <is>
          <t>2026-06-05</t>
        </is>
      </c>
      <c r="AC26" s="21" t="inlineStr">
        <is>
          <t>Ready</t>
        </is>
      </c>
      <c r="AD26" s="21" t="inlineStr">
        <is>
          <t>Pickup must happen before paired delivery</t>
        </is>
      </c>
    </row>
    <row r="27" ht="18" customHeight="1" s="17">
      <c r="A27" s="23" t="inlineStr">
        <is>
          <t>S1</t>
        </is>
      </c>
      <c r="B27" s="23" t="inlineStr">
        <is>
          <t>S1-ORD-013</t>
        </is>
      </c>
      <c r="C27" s="23" t="inlineStr">
        <is>
          <t>S1-ORD-013-D</t>
        </is>
      </c>
      <c r="D27" s="23" t="inlineStr">
        <is>
          <t>Delivery</t>
        </is>
      </c>
      <c r="E27" s="23" t="inlineStr">
        <is>
          <t>S1-ORD-013-P</t>
        </is>
      </c>
      <c r="F27" s="23" t="inlineStr">
        <is>
          <t>S1-ORD-013</t>
        </is>
      </c>
      <c r="G27" s="23" t="inlineStr">
        <is>
          <t>DL_HD_SIEUTHI</t>
        </is>
      </c>
      <c r="H27" s="23" t="inlineStr">
        <is>
          <t>Siêu thị Hải Dương</t>
        </is>
      </c>
      <c r="I27" s="23" t="inlineStr">
        <is>
          <t>Hải Phòng</t>
        </is>
      </c>
      <c r="J27" s="23" t="inlineStr">
        <is>
          <t>Hải Dương</t>
        </is>
      </c>
      <c r="K27" s="38" t="n">
        <v>20.937341</v>
      </c>
      <c r="L27" s="38" t="n">
        <v>106.314555</v>
      </c>
      <c r="M27" s="39" t="n">
        <v>725</v>
      </c>
      <c r="N27" s="39" t="n">
        <v>905</v>
      </c>
      <c r="O27" s="23" t="inlineStr">
        <is>
          <t>12:05</t>
        </is>
      </c>
      <c r="P27" s="23" t="inlineStr">
        <is>
          <t>15:05</t>
        </is>
      </c>
      <c r="Q27" s="24" t="n">
        <v>35</v>
      </c>
      <c r="R27" s="32" t="n">
        <v>-1820</v>
      </c>
      <c r="S27" s="33" t="n">
        <v>-2.93</v>
      </c>
      <c r="T27" s="23" t="inlineStr">
        <is>
          <t>5T</t>
        </is>
      </c>
      <c r="U27" s="23" t="inlineStr">
        <is>
          <t>8T</t>
        </is>
      </c>
      <c r="V27" s="23" t="inlineStr">
        <is>
          <t>Đông Bắc</t>
        </is>
      </c>
      <c r="W27" s="23" t="inlineStr">
        <is>
          <t>CR-ĐÔNG-04</t>
        </is>
      </c>
      <c r="X27" s="23" t="inlineStr">
        <is>
          <t>C - Có thể thương lượng</t>
        </is>
      </c>
      <c r="Y27" s="35" t="n">
        <v>0</v>
      </c>
      <c r="Z27" s="32" t="n">
        <v>80000</v>
      </c>
      <c r="AA27" s="23" t="inlineStr">
        <is>
          <t>Yes</t>
        </is>
      </c>
      <c r="AB27" s="23" t="inlineStr">
        <is>
          <t>2026-06-05</t>
        </is>
      </c>
      <c r="AC27" s="23" t="inlineStr">
        <is>
          <t>Ready</t>
        </is>
      </c>
      <c r="AD27" s="23" t="inlineStr">
        <is>
          <t>Delivery paired with same order and same vehicle unless transshipment enabled</t>
        </is>
      </c>
    </row>
    <row r="28" ht="18" customHeight="1" s="17">
      <c r="A28" s="21" t="inlineStr">
        <is>
          <t>S1</t>
        </is>
      </c>
      <c r="B28" s="21" t="inlineStr">
        <is>
          <t>S1-ORD-014</t>
        </is>
      </c>
      <c r="C28" s="21" t="inlineStr">
        <is>
          <t>S1-ORD-014-P</t>
        </is>
      </c>
      <c r="D28" s="21" t="inlineStr">
        <is>
          <t>Pickup</t>
        </is>
      </c>
      <c r="E28" s="21" t="inlineStr">
        <is>
          <t>S1-ORD-014-D</t>
        </is>
      </c>
      <c r="F28" s="21" t="inlineStr">
        <is>
          <t>S1-ORD-014</t>
        </is>
      </c>
      <c r="G28" s="21" t="inlineStr">
        <is>
          <t>PK_HY_MYHAO</t>
        </is>
      </c>
      <c r="H28" s="21" t="inlineStr">
        <is>
          <t>Kho/Nhà máy khách hàng Mỹ Hào</t>
        </is>
      </c>
      <c r="I28" s="21" t="inlineStr">
        <is>
          <t>Hưng Yên</t>
        </is>
      </c>
      <c r="J28" s="21" t="inlineStr">
        <is>
          <t>Mỹ Hào</t>
        </is>
      </c>
      <c r="K28" s="36" t="n">
        <v>20.9329</v>
      </c>
      <c r="L28" s="36" t="n">
        <v>106.065</v>
      </c>
      <c r="M28" s="37" t="n">
        <v>540</v>
      </c>
      <c r="N28" s="37" t="n">
        <v>690</v>
      </c>
      <c r="O28" s="21" t="inlineStr">
        <is>
          <t>09:00</t>
        </is>
      </c>
      <c r="P28" s="21" t="inlineStr">
        <is>
          <t>11:30</t>
        </is>
      </c>
      <c r="Q28" s="22" t="n">
        <v>40</v>
      </c>
      <c r="R28" s="28" t="n">
        <v>1392</v>
      </c>
      <c r="S28" s="29" t="n">
        <v>4.83</v>
      </c>
      <c r="T28" s="21" t="inlineStr">
        <is>
          <t>5T</t>
        </is>
      </c>
      <c r="U28" s="21" t="inlineStr">
        <is>
          <t>1.25T</t>
        </is>
      </c>
      <c r="V28" s="21" t="inlineStr">
        <is>
          <t>Nội thành Hà Nội</t>
        </is>
      </c>
      <c r="W28" s="21" t="inlineStr">
        <is>
          <t>CR-NỘIT-05</t>
        </is>
      </c>
      <c r="X28" s="21" t="inlineStr">
        <is>
          <t>C - Có thể thương lượng</t>
        </is>
      </c>
      <c r="Y28" s="31" t="n">
        <v>910000</v>
      </c>
      <c r="Z28" s="28" t="n">
        <v>80000</v>
      </c>
      <c r="AA28" s="21" t="inlineStr">
        <is>
          <t>Yes</t>
        </is>
      </c>
      <c r="AB28" s="21" t="inlineStr">
        <is>
          <t>2026-06-05</t>
        </is>
      </c>
      <c r="AC28" s="21" t="inlineStr">
        <is>
          <t>Review</t>
        </is>
      </c>
      <c r="AD28" s="21" t="inlineStr">
        <is>
          <t>Pickup must happen before paired delivery</t>
        </is>
      </c>
    </row>
    <row r="29" ht="18" customHeight="1" s="17">
      <c r="A29" s="23" t="inlineStr">
        <is>
          <t>S1</t>
        </is>
      </c>
      <c r="B29" s="23" t="inlineStr">
        <is>
          <t>S1-ORD-014</t>
        </is>
      </c>
      <c r="C29" s="23" t="inlineStr">
        <is>
          <t>S1-ORD-014-D</t>
        </is>
      </c>
      <c r="D29" s="23" t="inlineStr">
        <is>
          <t>Delivery</t>
        </is>
      </c>
      <c r="E29" s="23" t="inlineStr">
        <is>
          <t>S1-ORD-014-P</t>
        </is>
      </c>
      <c r="F29" s="23" t="inlineStr">
        <is>
          <t>S1-ORD-014</t>
        </is>
      </c>
      <c r="G29" s="23" t="inlineStr">
        <is>
          <t>DL_HN_LOTTE_BD</t>
        </is>
      </c>
      <c r="H29" s="23" t="inlineStr">
        <is>
          <t>LOTTE MART Ba Đình</t>
        </is>
      </c>
      <c r="I29" s="23" t="inlineStr">
        <is>
          <t>Hà Nội</t>
        </is>
      </c>
      <c r="J29" s="23" t="inlineStr">
        <is>
          <t>Ba Đình</t>
        </is>
      </c>
      <c r="K29" s="38" t="n">
        <v>21.032177</v>
      </c>
      <c r="L29" s="38" t="n">
        <v>105.812441</v>
      </c>
      <c r="M29" s="39" t="n">
        <v>681</v>
      </c>
      <c r="N29" s="39" t="n">
        <v>771</v>
      </c>
      <c r="O29" s="23" t="inlineStr">
        <is>
          <t>11:21</t>
        </is>
      </c>
      <c r="P29" s="23" t="inlineStr">
        <is>
          <t>12:51</t>
        </is>
      </c>
      <c r="Q29" s="24" t="n">
        <v>45</v>
      </c>
      <c r="R29" s="32" t="n">
        <v>-1392</v>
      </c>
      <c r="S29" s="33" t="n">
        <v>-4.83</v>
      </c>
      <c r="T29" s="23" t="inlineStr">
        <is>
          <t>5T</t>
        </is>
      </c>
      <c r="U29" s="23" t="inlineStr">
        <is>
          <t>1.25T</t>
        </is>
      </c>
      <c r="V29" s="23" t="inlineStr">
        <is>
          <t>Nội thành Hà Nội</t>
        </is>
      </c>
      <c r="W29" s="23" t="inlineStr">
        <is>
          <t>CR-NỘIT-05</t>
        </is>
      </c>
      <c r="X29" s="23" t="inlineStr">
        <is>
          <t>C - Có thể thương lượng</t>
        </is>
      </c>
      <c r="Y29" s="35" t="n">
        <v>0</v>
      </c>
      <c r="Z29" s="32" t="n">
        <v>80000</v>
      </c>
      <c r="AA29" s="23" t="inlineStr">
        <is>
          <t>Yes</t>
        </is>
      </c>
      <c r="AB29" s="23" t="inlineStr">
        <is>
          <t>2026-06-05</t>
        </is>
      </c>
      <c r="AC29" s="23" t="inlineStr">
        <is>
          <t>Review</t>
        </is>
      </c>
      <c r="AD29" s="23" t="inlineStr">
        <is>
          <t>Delivery paired with same order and same vehicle unless transshipment enabled</t>
        </is>
      </c>
    </row>
    <row r="30" ht="18" customHeight="1" s="17">
      <c r="A30" s="21" t="inlineStr">
        <is>
          <t>S1</t>
        </is>
      </c>
      <c r="B30" s="21" t="inlineStr">
        <is>
          <t>S1-ORD-015</t>
        </is>
      </c>
      <c r="C30" s="21" t="inlineStr">
        <is>
          <t>S1-ORD-015-P</t>
        </is>
      </c>
      <c r="D30" s="21" t="inlineStr">
        <is>
          <t>Pickup</t>
        </is>
      </c>
      <c r="E30" s="21" t="inlineStr">
        <is>
          <t>S1-ORD-015-D</t>
        </is>
      </c>
      <c r="F30" s="21" t="inlineStr">
        <is>
          <t>S1-ORD-015</t>
        </is>
      </c>
      <c r="G30" s="21" t="inlineStr">
        <is>
          <t>PK_HPL_LB</t>
        </is>
      </c>
      <c r="H30" s="21" t="inlineStr">
        <is>
          <t>HPL Depot Long Biên - 20 Thạch Bàn</t>
        </is>
      </c>
      <c r="I30" s="21" t="inlineStr">
        <is>
          <t>Hà Nội</t>
        </is>
      </c>
      <c r="J30" s="21" t="inlineStr">
        <is>
          <t>Long Biên</t>
        </is>
      </c>
      <c r="K30" s="36" t="n">
        <v>21.0261548385</v>
      </c>
      <c r="L30" s="36" t="n">
        <v>105.914182238</v>
      </c>
      <c r="M30" s="37" t="n">
        <v>540</v>
      </c>
      <c r="N30" s="37" t="n">
        <v>630</v>
      </c>
      <c r="O30" s="21" t="inlineStr">
        <is>
          <t>09:00</t>
        </is>
      </c>
      <c r="P30" s="21" t="inlineStr">
        <is>
          <t>10:30</t>
        </is>
      </c>
      <c r="Q30" s="22" t="n">
        <v>25</v>
      </c>
      <c r="R30" s="28" t="n">
        <v>914</v>
      </c>
      <c r="S30" s="29" t="n">
        <v>2</v>
      </c>
      <c r="T30" s="21" t="inlineStr">
        <is>
          <t>1.25T</t>
        </is>
      </c>
      <c r="U30" s="21" t="inlineStr">
        <is>
          <t>1.25T</t>
        </is>
      </c>
      <c r="V30" s="21" t="inlineStr">
        <is>
          <t>Nội thành Hà Nội</t>
        </is>
      </c>
      <c r="W30" s="21" t="inlineStr">
        <is>
          <t>CR-NỘIT-01</t>
        </is>
      </c>
      <c r="X30" s="21" t="inlineStr">
        <is>
          <t>C - Có thể thương lượng</t>
        </is>
      </c>
      <c r="Y30" s="31" t="n">
        <v>520000</v>
      </c>
      <c r="Z30" s="28" t="n">
        <v>80000</v>
      </c>
      <c r="AA30" s="21" t="inlineStr">
        <is>
          <t>Yes</t>
        </is>
      </c>
      <c r="AB30" s="21" t="inlineStr">
        <is>
          <t>2026-06-05</t>
        </is>
      </c>
      <c r="AC30" s="21" t="inlineStr">
        <is>
          <t>Ready</t>
        </is>
      </c>
      <c r="AD30" s="21" t="inlineStr">
        <is>
          <t>Pickup must happen before paired delivery</t>
        </is>
      </c>
    </row>
    <row r="31" ht="18" customHeight="1" s="17">
      <c r="A31" s="23" t="inlineStr">
        <is>
          <t>S1</t>
        </is>
      </c>
      <c r="B31" s="23" t="inlineStr">
        <is>
          <t>S1-ORD-015</t>
        </is>
      </c>
      <c r="C31" s="23" t="inlineStr">
        <is>
          <t>S1-ORD-015-D</t>
        </is>
      </c>
      <c r="D31" s="23" t="inlineStr">
        <is>
          <t>Delivery</t>
        </is>
      </c>
      <c r="E31" s="23" t="inlineStr">
        <is>
          <t>S1-ORD-015-P</t>
        </is>
      </c>
      <c r="F31" s="23" t="inlineStr">
        <is>
          <t>S1-ORD-015</t>
        </is>
      </c>
      <c r="G31" s="23" t="inlineStr">
        <is>
          <t>DL_HN_TRUONGDINH</t>
        </is>
      </c>
      <c r="H31" s="23" t="inlineStr">
        <is>
          <t>VINMART Trương Định</t>
        </is>
      </c>
      <c r="I31" s="23" t="inlineStr">
        <is>
          <t>Hà Nội</t>
        </is>
      </c>
      <c r="J31" s="23" t="inlineStr">
        <is>
          <t>Hoàng Mai</t>
        </is>
      </c>
      <c r="K31" s="38" t="n">
        <v>20.979293</v>
      </c>
      <c r="L31" s="38" t="n">
        <v>105.844708</v>
      </c>
      <c r="M31" s="39" t="n">
        <v>704</v>
      </c>
      <c r="N31" s="39" t="n">
        <v>794</v>
      </c>
      <c r="O31" s="23" t="inlineStr">
        <is>
          <t>11:44</t>
        </is>
      </c>
      <c r="P31" s="23" t="inlineStr">
        <is>
          <t>13:14</t>
        </is>
      </c>
      <c r="Q31" s="24" t="n">
        <v>20</v>
      </c>
      <c r="R31" s="32" t="n">
        <v>-914</v>
      </c>
      <c r="S31" s="33" t="n">
        <v>-2</v>
      </c>
      <c r="T31" s="23" t="inlineStr">
        <is>
          <t>1.25T</t>
        </is>
      </c>
      <c r="U31" s="23" t="inlineStr">
        <is>
          <t>1.25T</t>
        </is>
      </c>
      <c r="V31" s="23" t="inlineStr">
        <is>
          <t>Nội thành Hà Nội</t>
        </is>
      </c>
      <c r="W31" s="23" t="inlineStr">
        <is>
          <t>CR-NỘIT-01</t>
        </is>
      </c>
      <c r="X31" s="23" t="inlineStr">
        <is>
          <t>C - Có thể thương lượng</t>
        </is>
      </c>
      <c r="Y31" s="35" t="n">
        <v>0</v>
      </c>
      <c r="Z31" s="32" t="n">
        <v>80000</v>
      </c>
      <c r="AA31" s="23" t="inlineStr">
        <is>
          <t>Yes</t>
        </is>
      </c>
      <c r="AB31" s="23" t="inlineStr">
        <is>
          <t>2026-06-05</t>
        </is>
      </c>
      <c r="AC31" s="23" t="inlineStr">
        <is>
          <t>Ready</t>
        </is>
      </c>
      <c r="AD31" s="23" t="inlineStr">
        <is>
          <t>Delivery paired with same order and same vehicle unless transshipment enabled</t>
        </is>
      </c>
    </row>
    <row r="32" ht="18" customHeight="1" s="17">
      <c r="A32" s="21" t="inlineStr">
        <is>
          <t>S1</t>
        </is>
      </c>
      <c r="B32" s="21" t="inlineStr">
        <is>
          <t>S1-ORD-016</t>
        </is>
      </c>
      <c r="C32" s="21" t="inlineStr">
        <is>
          <t>S1-ORD-016-P</t>
        </is>
      </c>
      <c r="D32" s="21" t="inlineStr">
        <is>
          <t>Pickup</t>
        </is>
      </c>
      <c r="E32" s="21" t="inlineStr">
        <is>
          <t>S1-ORD-016-D</t>
        </is>
      </c>
      <c r="F32" s="21" t="inlineStr">
        <is>
          <t>S1-ORD-016</t>
        </is>
      </c>
      <c r="G32" s="21" t="inlineStr">
        <is>
          <t>PK_LINFOX_VSIP</t>
        </is>
      </c>
      <c r="H32" s="21" t="inlineStr">
        <is>
          <t>Kho Linfox KCN VSIP Bắc Ninh</t>
        </is>
      </c>
      <c r="I32" s="21" t="inlineStr">
        <is>
          <t>Bắc Ninh</t>
        </is>
      </c>
      <c r="J32" s="21" t="inlineStr">
        <is>
          <t>Từ Sơn</t>
        </is>
      </c>
      <c r="K32" s="36" t="n">
        <v>21.082707</v>
      </c>
      <c r="L32" s="36" t="n">
        <v>105.997949</v>
      </c>
      <c r="M32" s="37" t="n">
        <v>510</v>
      </c>
      <c r="N32" s="37" t="n">
        <v>660</v>
      </c>
      <c r="O32" s="21" t="inlineStr">
        <is>
          <t>08:30</t>
        </is>
      </c>
      <c r="P32" s="21" t="inlineStr">
        <is>
          <t>11:00</t>
        </is>
      </c>
      <c r="Q32" s="22" t="n">
        <v>120</v>
      </c>
      <c r="R32" s="28" t="n">
        <v>7741</v>
      </c>
      <c r="S32" s="29" t="n">
        <v>70.3</v>
      </c>
      <c r="T32" s="21" t="inlineStr">
        <is>
          <t>4 chân</t>
        </is>
      </c>
      <c r="U32" s="21" t="inlineStr">
        <is>
          <t>5T</t>
        </is>
      </c>
      <c r="V32" s="21" t="inlineStr">
        <is>
          <t>Tây Bắc</t>
        </is>
      </c>
      <c r="W32" s="21" t="inlineStr">
        <is>
          <t>CR-TÂYB-02</t>
        </is>
      </c>
      <c r="X32" s="21" t="inlineStr">
        <is>
          <t>B - Thường</t>
        </is>
      </c>
      <c r="Y32" s="31" t="n">
        <v>2200000</v>
      </c>
      <c r="Z32" s="28" t="n">
        <v>80000</v>
      </c>
      <c r="AA32" s="21" t="inlineStr">
        <is>
          <t>Yes</t>
        </is>
      </c>
      <c r="AB32" s="21" t="inlineStr">
        <is>
          <t>2026-06-05</t>
        </is>
      </c>
      <c r="AC32" s="21" t="inlineStr">
        <is>
          <t>Review</t>
        </is>
      </c>
      <c r="AD32" s="21" t="inlineStr">
        <is>
          <t>Pickup must happen before paired delivery</t>
        </is>
      </c>
    </row>
    <row r="33" ht="18" customHeight="1" s="17">
      <c r="A33" s="23" t="inlineStr">
        <is>
          <t>S1</t>
        </is>
      </c>
      <c r="B33" s="23" t="inlineStr">
        <is>
          <t>S1-ORD-016</t>
        </is>
      </c>
      <c r="C33" s="23" t="inlineStr">
        <is>
          <t>S1-ORD-016-D</t>
        </is>
      </c>
      <c r="D33" s="23" t="inlineStr">
        <is>
          <t>Delivery</t>
        </is>
      </c>
      <c r="E33" s="23" t="inlineStr">
        <is>
          <t>S1-ORD-016-P</t>
        </is>
      </c>
      <c r="F33" s="23" t="inlineStr">
        <is>
          <t>S1-ORD-016</t>
        </is>
      </c>
      <c r="G33" s="23" t="inlineStr">
        <is>
          <t>DL_HN_HOAIDUC</t>
        </is>
      </c>
      <c r="H33" s="23" t="inlineStr">
        <is>
          <t>VINMART Hoài Đức</t>
        </is>
      </c>
      <c r="I33" s="23" t="inlineStr">
        <is>
          <t>Hà Nội</t>
        </is>
      </c>
      <c r="J33" s="23" t="inlineStr">
        <is>
          <t>Hoài Đức</t>
        </is>
      </c>
      <c r="K33" s="38" t="n">
        <v>21.005046</v>
      </c>
      <c r="L33" s="38" t="n">
        <v>105.728286</v>
      </c>
      <c r="M33" s="39" t="n">
        <v>798</v>
      </c>
      <c r="N33" s="39" t="n">
        <v>948</v>
      </c>
      <c r="O33" s="23" t="inlineStr">
        <is>
          <t>13:18</t>
        </is>
      </c>
      <c r="P33" s="23" t="inlineStr">
        <is>
          <t>15:48</t>
        </is>
      </c>
      <c r="Q33" s="24" t="n">
        <v>90</v>
      </c>
      <c r="R33" s="32" t="n">
        <v>-7741</v>
      </c>
      <c r="S33" s="33" t="n">
        <v>-70.3</v>
      </c>
      <c r="T33" s="23" t="inlineStr">
        <is>
          <t>4 chân</t>
        </is>
      </c>
      <c r="U33" s="23" t="inlineStr">
        <is>
          <t>5T</t>
        </is>
      </c>
      <c r="V33" s="23" t="inlineStr">
        <is>
          <t>Tây Bắc</t>
        </is>
      </c>
      <c r="W33" s="23" t="inlineStr">
        <is>
          <t>CR-TÂYB-02</t>
        </is>
      </c>
      <c r="X33" s="23" t="inlineStr">
        <is>
          <t>B - Thường</t>
        </is>
      </c>
      <c r="Y33" s="35" t="n">
        <v>0</v>
      </c>
      <c r="Z33" s="32" t="n">
        <v>80000</v>
      </c>
      <c r="AA33" s="23" t="inlineStr">
        <is>
          <t>Yes</t>
        </is>
      </c>
      <c r="AB33" s="23" t="inlineStr">
        <is>
          <t>2026-06-05</t>
        </is>
      </c>
      <c r="AC33" s="23" t="inlineStr">
        <is>
          <t>Review</t>
        </is>
      </c>
      <c r="AD33" s="23" t="inlineStr">
        <is>
          <t>Delivery paired with same order and same vehicle unless transshipment enabled</t>
        </is>
      </c>
    </row>
    <row r="34" ht="18" customHeight="1" s="17">
      <c r="A34" s="21" t="inlineStr">
        <is>
          <t>S1</t>
        </is>
      </c>
      <c r="B34" s="21" t="inlineStr">
        <is>
          <t>S1-ORD-017</t>
        </is>
      </c>
      <c r="C34" s="21" t="inlineStr">
        <is>
          <t>S1-ORD-017-P</t>
        </is>
      </c>
      <c r="D34" s="21" t="inlineStr">
        <is>
          <t>Pickup</t>
        </is>
      </c>
      <c r="E34" s="21" t="inlineStr">
        <is>
          <t>S1-ORD-017-D</t>
        </is>
      </c>
      <c r="F34" s="21" t="inlineStr">
        <is>
          <t>S1-ORD-017</t>
        </is>
      </c>
      <c r="G34" s="21" t="inlineStr">
        <is>
          <t>PK_HPL_LB</t>
        </is>
      </c>
      <c r="H34" s="21" t="inlineStr">
        <is>
          <t>HPL Depot Long Biên - 20 Thạch Bàn</t>
        </is>
      </c>
      <c r="I34" s="21" t="inlineStr">
        <is>
          <t>Hà Nội</t>
        </is>
      </c>
      <c r="J34" s="21" t="inlineStr">
        <is>
          <t>Long Biên</t>
        </is>
      </c>
      <c r="K34" s="36" t="n">
        <v>21.0261548385</v>
      </c>
      <c r="L34" s="36" t="n">
        <v>105.914182238</v>
      </c>
      <c r="M34" s="37" t="n">
        <v>450</v>
      </c>
      <c r="N34" s="37" t="n">
        <v>570</v>
      </c>
      <c r="O34" s="21" t="inlineStr">
        <is>
          <t>07:30</t>
        </is>
      </c>
      <c r="P34" s="21" t="inlineStr">
        <is>
          <t>09:30</t>
        </is>
      </c>
      <c r="Q34" s="22" t="n">
        <v>25</v>
      </c>
      <c r="R34" s="28" t="n">
        <v>1076</v>
      </c>
      <c r="S34" s="29" t="n">
        <v>2.93</v>
      </c>
      <c r="T34" s="21" t="inlineStr">
        <is>
          <t>1.25T</t>
        </is>
      </c>
      <c r="U34" s="21" t="inlineStr">
        <is>
          <t>1.25T</t>
        </is>
      </c>
      <c r="V34" s="21" t="inlineStr">
        <is>
          <t>Nội thành Hà Nội</t>
        </is>
      </c>
      <c r="W34" s="21" t="inlineStr">
        <is>
          <t>CR-NỘIT-03</t>
        </is>
      </c>
      <c r="X34" s="21" t="inlineStr">
        <is>
          <t>B - Thường</t>
        </is>
      </c>
      <c r="Y34" s="31" t="n">
        <v>890000</v>
      </c>
      <c r="Z34" s="28" t="n">
        <v>80000</v>
      </c>
      <c r="AA34" s="21" t="inlineStr">
        <is>
          <t>Yes</t>
        </is>
      </c>
      <c r="AB34" s="21" t="inlineStr">
        <is>
          <t>2026-06-05</t>
        </is>
      </c>
      <c r="AC34" s="21" t="inlineStr">
        <is>
          <t>Ready</t>
        </is>
      </c>
      <c r="AD34" s="21" t="inlineStr">
        <is>
          <t>Pickup must happen before paired delivery</t>
        </is>
      </c>
    </row>
    <row r="35" ht="18" customHeight="1" s="17">
      <c r="A35" s="23" t="inlineStr">
        <is>
          <t>S1</t>
        </is>
      </c>
      <c r="B35" s="23" t="inlineStr">
        <is>
          <t>S1-ORD-017</t>
        </is>
      </c>
      <c r="C35" s="23" t="inlineStr">
        <is>
          <t>S1-ORD-017-D</t>
        </is>
      </c>
      <c r="D35" s="23" t="inlineStr">
        <is>
          <t>Delivery</t>
        </is>
      </c>
      <c r="E35" s="23" t="inlineStr">
        <is>
          <t>S1-ORD-017-P</t>
        </is>
      </c>
      <c r="F35" s="23" t="inlineStr">
        <is>
          <t>S1-ORD-017</t>
        </is>
      </c>
      <c r="G35" s="23" t="inlineStr">
        <is>
          <t>DL_HN_NAMDUONG</t>
        </is>
      </c>
      <c r="H35" s="23" t="inlineStr">
        <is>
          <t>Nam Dương</t>
        </is>
      </c>
      <c r="I35" s="23" t="inlineStr">
        <is>
          <t>Hà Nội</t>
        </is>
      </c>
      <c r="J35" s="23" t="inlineStr">
        <is>
          <t>Hà Nội</t>
        </is>
      </c>
      <c r="K35" s="38" t="n">
        <v>21.062911</v>
      </c>
      <c r="L35" s="38" t="n">
        <v>105.832351</v>
      </c>
      <c r="M35" s="39" t="n">
        <v>616</v>
      </c>
      <c r="N35" s="39" t="n">
        <v>736</v>
      </c>
      <c r="O35" s="23" t="inlineStr">
        <is>
          <t>10:16</t>
        </is>
      </c>
      <c r="P35" s="23" t="inlineStr">
        <is>
          <t>12:16</t>
        </is>
      </c>
      <c r="Q35" s="24" t="n">
        <v>20</v>
      </c>
      <c r="R35" s="32" t="n">
        <v>-1076</v>
      </c>
      <c r="S35" s="33" t="n">
        <v>-2.93</v>
      </c>
      <c r="T35" s="23" t="inlineStr">
        <is>
          <t>1.25T</t>
        </is>
      </c>
      <c r="U35" s="23" t="inlineStr">
        <is>
          <t>1.25T</t>
        </is>
      </c>
      <c r="V35" s="23" t="inlineStr">
        <is>
          <t>Nội thành Hà Nội</t>
        </is>
      </c>
      <c r="W35" s="23" t="inlineStr">
        <is>
          <t>CR-NỘIT-03</t>
        </is>
      </c>
      <c r="X35" s="23" t="inlineStr">
        <is>
          <t>B - Thường</t>
        </is>
      </c>
      <c r="Y35" s="35" t="n">
        <v>0</v>
      </c>
      <c r="Z35" s="32" t="n">
        <v>80000</v>
      </c>
      <c r="AA35" s="23" t="inlineStr">
        <is>
          <t>Yes</t>
        </is>
      </c>
      <c r="AB35" s="23" t="inlineStr">
        <is>
          <t>2026-06-05</t>
        </is>
      </c>
      <c r="AC35" s="23" t="inlineStr">
        <is>
          <t>Ready</t>
        </is>
      </c>
      <c r="AD35" s="23" t="inlineStr">
        <is>
          <t>Delivery paired with same order and same vehicle unless transshipment enabled</t>
        </is>
      </c>
    </row>
    <row r="36" ht="18" customHeight="1" s="17">
      <c r="A36" s="21" t="inlineStr">
        <is>
          <t>S1</t>
        </is>
      </c>
      <c r="B36" s="21" t="inlineStr">
        <is>
          <t>S1-ORD-018</t>
        </is>
      </c>
      <c r="C36" s="21" t="inlineStr">
        <is>
          <t>S1-ORD-018-P</t>
        </is>
      </c>
      <c r="D36" s="21" t="inlineStr">
        <is>
          <t>Pickup</t>
        </is>
      </c>
      <c r="E36" s="21" t="inlineStr">
        <is>
          <t>S1-ORD-018-D</t>
        </is>
      </c>
      <c r="F36" s="21" t="inlineStr">
        <is>
          <t>S1-ORD-018</t>
        </is>
      </c>
      <c r="G36" s="21" t="inlineStr">
        <is>
          <t>PK_HY_MYHAO</t>
        </is>
      </c>
      <c r="H36" s="21" t="inlineStr">
        <is>
          <t>Kho/Nhà máy khách hàng Mỹ Hào</t>
        </is>
      </c>
      <c r="I36" s="21" t="inlineStr">
        <is>
          <t>Hưng Yên</t>
        </is>
      </c>
      <c r="J36" s="21" t="inlineStr">
        <is>
          <t>Mỹ Hào</t>
        </is>
      </c>
      <c r="K36" s="36" t="n">
        <v>20.9329</v>
      </c>
      <c r="L36" s="36" t="n">
        <v>106.065</v>
      </c>
      <c r="M36" s="37" t="n">
        <v>450</v>
      </c>
      <c r="N36" s="37" t="n">
        <v>540</v>
      </c>
      <c r="O36" s="21" t="inlineStr">
        <is>
          <t>07:30</t>
        </is>
      </c>
      <c r="P36" s="21" t="inlineStr">
        <is>
          <t>09:00</t>
        </is>
      </c>
      <c r="Q36" s="22" t="n">
        <v>25</v>
      </c>
      <c r="R36" s="28" t="n">
        <v>670</v>
      </c>
      <c r="S36" s="29" t="n">
        <v>1.57</v>
      </c>
      <c r="T36" s="21" t="inlineStr">
        <is>
          <t>1.25T</t>
        </is>
      </c>
      <c r="U36" s="21" t="inlineStr">
        <is>
          <t>1.25T</t>
        </is>
      </c>
      <c r="V36" s="21" t="inlineStr">
        <is>
          <t>Nội thành Hà Nội</t>
        </is>
      </c>
      <c r="W36" s="21" t="inlineStr">
        <is>
          <t>CR-NỘIT-04</t>
        </is>
      </c>
      <c r="X36" s="21" t="inlineStr">
        <is>
          <t>B - Thường</t>
        </is>
      </c>
      <c r="Y36" s="31" t="n">
        <v>750000</v>
      </c>
      <c r="Z36" s="28" t="n">
        <v>80000</v>
      </c>
      <c r="AA36" s="21" t="inlineStr">
        <is>
          <t>Yes</t>
        </is>
      </c>
      <c r="AB36" s="21" t="inlineStr">
        <is>
          <t>2026-06-05</t>
        </is>
      </c>
      <c r="AC36" s="21" t="inlineStr">
        <is>
          <t>Ready</t>
        </is>
      </c>
      <c r="AD36" s="21" t="inlineStr">
        <is>
          <t>Pickup must happen before paired delivery</t>
        </is>
      </c>
    </row>
    <row r="37" ht="18" customHeight="1" s="17">
      <c r="A37" s="23" t="inlineStr">
        <is>
          <t>S1</t>
        </is>
      </c>
      <c r="B37" s="23" t="inlineStr">
        <is>
          <t>S1-ORD-018</t>
        </is>
      </c>
      <c r="C37" s="23" t="inlineStr">
        <is>
          <t>S1-ORD-018-D</t>
        </is>
      </c>
      <c r="D37" s="23" t="inlineStr">
        <is>
          <t>Delivery</t>
        </is>
      </c>
      <c r="E37" s="23" t="inlineStr">
        <is>
          <t>S1-ORD-018-P</t>
        </is>
      </c>
      <c r="F37" s="23" t="inlineStr">
        <is>
          <t>S1-ORD-018</t>
        </is>
      </c>
      <c r="G37" s="23" t="inlineStr">
        <is>
          <t>DL_HN_LOTTE_BD</t>
        </is>
      </c>
      <c r="H37" s="23" t="inlineStr">
        <is>
          <t>LOTTE MART Ba Đình</t>
        </is>
      </c>
      <c r="I37" s="23" t="inlineStr">
        <is>
          <t>Hà Nội</t>
        </is>
      </c>
      <c r="J37" s="23" t="inlineStr">
        <is>
          <t>Ba Đình</t>
        </is>
      </c>
      <c r="K37" s="38" t="n">
        <v>21.032177</v>
      </c>
      <c r="L37" s="38" t="n">
        <v>105.812441</v>
      </c>
      <c r="M37" s="39" t="n">
        <v>578</v>
      </c>
      <c r="N37" s="39" t="n">
        <v>728</v>
      </c>
      <c r="O37" s="23" t="inlineStr">
        <is>
          <t>09:38</t>
        </is>
      </c>
      <c r="P37" s="23" t="inlineStr">
        <is>
          <t>12:08</t>
        </is>
      </c>
      <c r="Q37" s="24" t="n">
        <v>30</v>
      </c>
      <c r="R37" s="32" t="n">
        <v>-670</v>
      </c>
      <c r="S37" s="33" t="n">
        <v>-1.57</v>
      </c>
      <c r="T37" s="23" t="inlineStr">
        <is>
          <t>1.25T</t>
        </is>
      </c>
      <c r="U37" s="23" t="inlineStr">
        <is>
          <t>1.25T</t>
        </is>
      </c>
      <c r="V37" s="23" t="inlineStr">
        <is>
          <t>Nội thành Hà Nội</t>
        </is>
      </c>
      <c r="W37" s="23" t="inlineStr">
        <is>
          <t>CR-NỘIT-04</t>
        </is>
      </c>
      <c r="X37" s="23" t="inlineStr">
        <is>
          <t>B - Thường</t>
        </is>
      </c>
      <c r="Y37" s="35" t="n">
        <v>0</v>
      </c>
      <c r="Z37" s="32" t="n">
        <v>80000</v>
      </c>
      <c r="AA37" s="23" t="inlineStr">
        <is>
          <t>Yes</t>
        </is>
      </c>
      <c r="AB37" s="23" t="inlineStr">
        <is>
          <t>2026-06-05</t>
        </is>
      </c>
      <c r="AC37" s="23" t="inlineStr">
        <is>
          <t>Ready</t>
        </is>
      </c>
      <c r="AD37" s="23" t="inlineStr">
        <is>
          <t>Delivery paired with same order and same vehicle unless transshipment enabled</t>
        </is>
      </c>
    </row>
    <row r="38" ht="18" customHeight="1" s="17">
      <c r="A38" s="21" t="inlineStr">
        <is>
          <t>S1</t>
        </is>
      </c>
      <c r="B38" s="21" t="inlineStr">
        <is>
          <t>S1-ORD-019</t>
        </is>
      </c>
      <c r="C38" s="21" t="inlineStr">
        <is>
          <t>S1-ORD-019-P</t>
        </is>
      </c>
      <c r="D38" s="21" t="inlineStr">
        <is>
          <t>Pickup</t>
        </is>
      </c>
      <c r="E38" s="21" t="inlineStr">
        <is>
          <t>S1-ORD-019-D</t>
        </is>
      </c>
      <c r="F38" s="21" t="inlineStr">
        <is>
          <t>S1-ORD-019</t>
        </is>
      </c>
      <c r="G38" s="21" t="inlineStr">
        <is>
          <t>PK_HPL_LB</t>
        </is>
      </c>
      <c r="H38" s="21" t="inlineStr">
        <is>
          <t>HPL Depot Long Biên - 20 Thạch Bàn</t>
        </is>
      </c>
      <c r="I38" s="21" t="inlineStr">
        <is>
          <t>Hà Nội</t>
        </is>
      </c>
      <c r="J38" s="21" t="inlineStr">
        <is>
          <t>Long Biên</t>
        </is>
      </c>
      <c r="K38" s="36" t="n">
        <v>21.0261548385</v>
      </c>
      <c r="L38" s="36" t="n">
        <v>105.914182238</v>
      </c>
      <c r="M38" s="37" t="n">
        <v>510</v>
      </c>
      <c r="N38" s="37" t="n">
        <v>630</v>
      </c>
      <c r="O38" s="21" t="inlineStr">
        <is>
          <t>08:30</t>
        </is>
      </c>
      <c r="P38" s="21" t="inlineStr">
        <is>
          <t>10:30</t>
        </is>
      </c>
      <c r="Q38" s="22" t="n">
        <v>25</v>
      </c>
      <c r="R38" s="28" t="n">
        <v>1179</v>
      </c>
      <c r="S38" s="29" t="n">
        <v>2.33</v>
      </c>
      <c r="T38" s="21" t="inlineStr">
        <is>
          <t>1.25T</t>
        </is>
      </c>
      <c r="U38" s="21" t="inlineStr">
        <is>
          <t>1.25T</t>
        </is>
      </c>
      <c r="V38" s="21" t="inlineStr">
        <is>
          <t>Nội thành Hà Nội</t>
        </is>
      </c>
      <c r="W38" s="21" t="inlineStr">
        <is>
          <t>CR-NỘIT-05</t>
        </is>
      </c>
      <c r="X38" s="21" t="inlineStr">
        <is>
          <t>A - SLA chặt</t>
        </is>
      </c>
      <c r="Y38" s="31" t="n">
        <v>720000</v>
      </c>
      <c r="Z38" s="28" t="n">
        <v>150000</v>
      </c>
      <c r="AA38" s="21" t="inlineStr">
        <is>
          <t>Yes</t>
        </is>
      </c>
      <c r="AB38" s="21" t="inlineStr">
        <is>
          <t>2026-06-05</t>
        </is>
      </c>
      <c r="AC38" s="21" t="inlineStr">
        <is>
          <t>Ready</t>
        </is>
      </c>
      <c r="AD38" s="21" t="inlineStr">
        <is>
          <t>Pickup must happen before paired delivery</t>
        </is>
      </c>
    </row>
    <row r="39" ht="18" customHeight="1" s="17">
      <c r="A39" s="23" t="inlineStr">
        <is>
          <t>S1</t>
        </is>
      </c>
      <c r="B39" s="23" t="inlineStr">
        <is>
          <t>S1-ORD-019</t>
        </is>
      </c>
      <c r="C39" s="23" t="inlineStr">
        <is>
          <t>S1-ORD-019-D</t>
        </is>
      </c>
      <c r="D39" s="23" t="inlineStr">
        <is>
          <t>Delivery</t>
        </is>
      </c>
      <c r="E39" s="23" t="inlineStr">
        <is>
          <t>S1-ORD-019-P</t>
        </is>
      </c>
      <c r="F39" s="23" t="inlineStr">
        <is>
          <t>S1-ORD-019</t>
        </is>
      </c>
      <c r="G39" s="23" t="inlineStr">
        <is>
          <t>DL_HN_ROYAL</t>
        </is>
      </c>
      <c r="H39" s="23" t="inlineStr">
        <is>
          <t>VINMART Royal City</t>
        </is>
      </c>
      <c r="I39" s="23" t="inlineStr">
        <is>
          <t>Hà Nội</t>
        </is>
      </c>
      <c r="J39" s="23" t="inlineStr">
        <is>
          <t>Thanh Xuân</t>
        </is>
      </c>
      <c r="K39" s="38" t="n">
        <v>21.003388</v>
      </c>
      <c r="L39" s="38" t="n">
        <v>105.816212</v>
      </c>
      <c r="M39" s="39" t="n">
        <v>592</v>
      </c>
      <c r="N39" s="39" t="n">
        <v>712</v>
      </c>
      <c r="O39" s="23" t="inlineStr">
        <is>
          <t>09:52</t>
        </is>
      </c>
      <c r="P39" s="23" t="inlineStr">
        <is>
          <t>11:52</t>
        </is>
      </c>
      <c r="Q39" s="24" t="n">
        <v>30</v>
      </c>
      <c r="R39" s="32" t="n">
        <v>-1179</v>
      </c>
      <c r="S39" s="33" t="n">
        <v>-2.33</v>
      </c>
      <c r="T39" s="23" t="inlineStr">
        <is>
          <t>1.25T</t>
        </is>
      </c>
      <c r="U39" s="23" t="inlineStr">
        <is>
          <t>1.25T</t>
        </is>
      </c>
      <c r="V39" s="23" t="inlineStr">
        <is>
          <t>Nội thành Hà Nội</t>
        </is>
      </c>
      <c r="W39" s="23" t="inlineStr">
        <is>
          <t>CR-NỘIT-05</t>
        </is>
      </c>
      <c r="X39" s="23" t="inlineStr">
        <is>
          <t>A - SLA chặt</t>
        </is>
      </c>
      <c r="Y39" s="35" t="n">
        <v>0</v>
      </c>
      <c r="Z39" s="32" t="n">
        <v>150000</v>
      </c>
      <c r="AA39" s="23" t="inlineStr">
        <is>
          <t>Yes</t>
        </is>
      </c>
      <c r="AB39" s="23" t="inlineStr">
        <is>
          <t>2026-06-05</t>
        </is>
      </c>
      <c r="AC39" s="23" t="inlineStr">
        <is>
          <t>Ready</t>
        </is>
      </c>
      <c r="AD39" s="23" t="inlineStr">
        <is>
          <t>Delivery paired with same order and same vehicle unless transshipment enabled</t>
        </is>
      </c>
    </row>
    <row r="40" ht="18" customHeight="1" s="17">
      <c r="A40" s="21" t="inlineStr">
        <is>
          <t>S1</t>
        </is>
      </c>
      <c r="B40" s="21" t="inlineStr">
        <is>
          <t>S1-ORD-020</t>
        </is>
      </c>
      <c r="C40" s="21" t="inlineStr">
        <is>
          <t>S1-ORD-020-P</t>
        </is>
      </c>
      <c r="D40" s="21" t="inlineStr">
        <is>
          <t>Pickup</t>
        </is>
      </c>
      <c r="E40" s="21" t="inlineStr">
        <is>
          <t>S1-ORD-020-D</t>
        </is>
      </c>
      <c r="F40" s="21" t="inlineStr">
        <is>
          <t>S1-ORD-020</t>
        </is>
      </c>
      <c r="G40" s="21" t="inlineStr">
        <is>
          <t>PK_LINFOX_VSIP</t>
        </is>
      </c>
      <c r="H40" s="21" t="inlineStr">
        <is>
          <t>Kho Linfox KCN VSIP Bắc Ninh</t>
        </is>
      </c>
      <c r="I40" s="21" t="inlineStr">
        <is>
          <t>Bắc Ninh</t>
        </is>
      </c>
      <c r="J40" s="21" t="inlineStr">
        <is>
          <t>Từ Sơn</t>
        </is>
      </c>
      <c r="K40" s="36" t="n">
        <v>21.082707</v>
      </c>
      <c r="L40" s="36" t="n">
        <v>105.997949</v>
      </c>
      <c r="M40" s="37" t="n">
        <v>510</v>
      </c>
      <c r="N40" s="37" t="n">
        <v>630</v>
      </c>
      <c r="O40" s="21" t="inlineStr">
        <is>
          <t>08:30</t>
        </is>
      </c>
      <c r="P40" s="21" t="inlineStr">
        <is>
          <t>10:30</t>
        </is>
      </c>
      <c r="Q40" s="22" t="n">
        <v>40</v>
      </c>
      <c r="R40" s="28" t="n">
        <v>6453</v>
      </c>
      <c r="S40" s="29" t="n">
        <v>16.2</v>
      </c>
      <c r="T40" s="21" t="inlineStr">
        <is>
          <t>8T</t>
        </is>
      </c>
      <c r="U40" s="21" t="inlineStr">
        <is>
          <t>8T</t>
        </is>
      </c>
      <c r="V40" s="21" t="inlineStr">
        <is>
          <t>Đông Bắc</t>
        </is>
      </c>
      <c r="W40" s="21" t="inlineStr">
        <is>
          <t>CR-ĐÔNG-01</t>
        </is>
      </c>
      <c r="X40" s="21" t="inlineStr">
        <is>
          <t>A - SLA chặt</t>
        </is>
      </c>
      <c r="Y40" s="31" t="n">
        <v>2510000</v>
      </c>
      <c r="Z40" s="28" t="n">
        <v>150000</v>
      </c>
      <c r="AA40" s="21" t="inlineStr">
        <is>
          <t>Yes</t>
        </is>
      </c>
      <c r="AB40" s="21" t="inlineStr">
        <is>
          <t>2026-06-05</t>
        </is>
      </c>
      <c r="AC40" s="21" t="inlineStr">
        <is>
          <t>Ready</t>
        </is>
      </c>
      <c r="AD40" s="21" t="inlineStr">
        <is>
          <t>Pickup must happen before paired delivery</t>
        </is>
      </c>
    </row>
    <row r="41" ht="18" customHeight="1" s="17">
      <c r="A41" s="23" t="inlineStr">
        <is>
          <t>S1</t>
        </is>
      </c>
      <c r="B41" s="23" t="inlineStr">
        <is>
          <t>S1-ORD-020</t>
        </is>
      </c>
      <c r="C41" s="23" t="inlineStr">
        <is>
          <t>S1-ORD-020-D</t>
        </is>
      </c>
      <c r="D41" s="23" t="inlineStr">
        <is>
          <t>Delivery</t>
        </is>
      </c>
      <c r="E41" s="23" t="inlineStr">
        <is>
          <t>S1-ORD-020-P</t>
        </is>
      </c>
      <c r="F41" s="23" t="inlineStr">
        <is>
          <t>S1-ORD-020</t>
        </is>
      </c>
      <c r="G41" s="23" t="inlineStr">
        <is>
          <t>DL_HD_SIEUTHI</t>
        </is>
      </c>
      <c r="H41" s="23" t="inlineStr">
        <is>
          <t>Siêu thị Hải Dương</t>
        </is>
      </c>
      <c r="I41" s="23" t="inlineStr">
        <is>
          <t>Hải Phòng</t>
        </is>
      </c>
      <c r="J41" s="23" t="inlineStr">
        <is>
          <t>Hải Dương</t>
        </is>
      </c>
      <c r="K41" s="38" t="n">
        <v>20.937341</v>
      </c>
      <c r="L41" s="38" t="n">
        <v>106.314555</v>
      </c>
      <c r="M41" s="39" t="n">
        <v>668</v>
      </c>
      <c r="N41" s="39" t="n">
        <v>788</v>
      </c>
      <c r="O41" s="23" t="inlineStr">
        <is>
          <t>11:08</t>
        </is>
      </c>
      <c r="P41" s="23" t="inlineStr">
        <is>
          <t>13:08</t>
        </is>
      </c>
      <c r="Q41" s="24" t="n">
        <v>35</v>
      </c>
      <c r="R41" s="32" t="n">
        <v>-6453</v>
      </c>
      <c r="S41" s="33" t="n">
        <v>-16.2</v>
      </c>
      <c r="T41" s="23" t="inlineStr">
        <is>
          <t>8T</t>
        </is>
      </c>
      <c r="U41" s="23" t="inlineStr">
        <is>
          <t>8T</t>
        </is>
      </c>
      <c r="V41" s="23" t="inlineStr">
        <is>
          <t>Đông Bắc</t>
        </is>
      </c>
      <c r="W41" s="23" t="inlineStr">
        <is>
          <t>CR-ĐÔNG-01</t>
        </is>
      </c>
      <c r="X41" s="23" t="inlineStr">
        <is>
          <t>A - SLA chặt</t>
        </is>
      </c>
      <c r="Y41" s="35" t="n">
        <v>0</v>
      </c>
      <c r="Z41" s="32" t="n">
        <v>150000</v>
      </c>
      <c r="AA41" s="23" t="inlineStr">
        <is>
          <t>Yes</t>
        </is>
      </c>
      <c r="AB41" s="23" t="inlineStr">
        <is>
          <t>2026-06-05</t>
        </is>
      </c>
      <c r="AC41" s="23" t="inlineStr">
        <is>
          <t>Ready</t>
        </is>
      </c>
      <c r="AD41" s="23" t="inlineStr">
        <is>
          <t>Delivery paired with same order and same vehicle unless transshipment enabled</t>
        </is>
      </c>
    </row>
    <row r="42" ht="18" customHeight="1" s="17">
      <c r="A42" s="21" t="inlineStr">
        <is>
          <t>S1</t>
        </is>
      </c>
      <c r="B42" s="21" t="inlineStr">
        <is>
          <t>S1-ORD-021</t>
        </is>
      </c>
      <c r="C42" s="21" t="inlineStr">
        <is>
          <t>S1-ORD-021-P</t>
        </is>
      </c>
      <c r="D42" s="21" t="inlineStr">
        <is>
          <t>Pickup</t>
        </is>
      </c>
      <c r="E42" s="21" t="inlineStr">
        <is>
          <t>S1-ORD-021-D</t>
        </is>
      </c>
      <c r="F42" s="21" t="inlineStr">
        <is>
          <t>S1-ORD-021</t>
        </is>
      </c>
      <c r="G42" s="21" t="inlineStr">
        <is>
          <t>PK_LINFOX_VSIP</t>
        </is>
      </c>
      <c r="H42" s="21" t="inlineStr">
        <is>
          <t>Kho Linfox KCN VSIP Bắc Ninh</t>
        </is>
      </c>
      <c r="I42" s="21" t="inlineStr">
        <is>
          <t>Bắc Ninh</t>
        </is>
      </c>
      <c r="J42" s="21" t="inlineStr">
        <is>
          <t>Từ Sơn</t>
        </is>
      </c>
      <c r="K42" s="36" t="n">
        <v>21.082707</v>
      </c>
      <c r="L42" s="36" t="n">
        <v>105.997949</v>
      </c>
      <c r="M42" s="37" t="n">
        <v>510</v>
      </c>
      <c r="N42" s="37" t="n">
        <v>630</v>
      </c>
      <c r="O42" s="21" t="inlineStr">
        <is>
          <t>08:30</t>
        </is>
      </c>
      <c r="P42" s="21" t="inlineStr">
        <is>
          <t>10:30</t>
        </is>
      </c>
      <c r="Q42" s="22" t="n">
        <v>40</v>
      </c>
      <c r="R42" s="28" t="n">
        <v>1872</v>
      </c>
      <c r="S42" s="29" t="n">
        <v>3.67</v>
      </c>
      <c r="T42" s="21" t="inlineStr">
        <is>
          <t>5T</t>
        </is>
      </c>
      <c r="U42" s="21" t="inlineStr">
        <is>
          <t>8T</t>
        </is>
      </c>
      <c r="V42" s="21" t="inlineStr">
        <is>
          <t>Đông Bắc</t>
        </is>
      </c>
      <c r="W42" s="21" t="inlineStr">
        <is>
          <t>CR-ĐÔNG-02</t>
        </is>
      </c>
      <c r="X42" s="21" t="inlineStr">
        <is>
          <t>C - Có thể thương lượng</t>
        </is>
      </c>
      <c r="Y42" s="31" t="n">
        <v>1820000</v>
      </c>
      <c r="Z42" s="28" t="n">
        <v>80000</v>
      </c>
      <c r="AA42" s="21" t="inlineStr">
        <is>
          <t>Yes</t>
        </is>
      </c>
      <c r="AB42" s="21" t="inlineStr">
        <is>
          <t>2026-06-05</t>
        </is>
      </c>
      <c r="AC42" s="21" t="inlineStr">
        <is>
          <t>Ready</t>
        </is>
      </c>
      <c r="AD42" s="21" t="inlineStr">
        <is>
          <t>Pickup must happen before paired delivery</t>
        </is>
      </c>
    </row>
    <row r="43" ht="18" customHeight="1" s="17">
      <c r="A43" s="23" t="inlineStr">
        <is>
          <t>S1</t>
        </is>
      </c>
      <c r="B43" s="23" t="inlineStr">
        <is>
          <t>S1-ORD-021</t>
        </is>
      </c>
      <c r="C43" s="23" t="inlineStr">
        <is>
          <t>S1-ORD-021-D</t>
        </is>
      </c>
      <c r="D43" s="23" t="inlineStr">
        <is>
          <t>Delivery</t>
        </is>
      </c>
      <c r="E43" s="23" t="inlineStr">
        <is>
          <t>S1-ORD-021-P</t>
        </is>
      </c>
      <c r="F43" s="23" t="inlineStr">
        <is>
          <t>S1-ORD-021</t>
        </is>
      </c>
      <c r="G43" s="23" t="inlineStr">
        <is>
          <t>DL_QN_UONGBI</t>
        </is>
      </c>
      <c r="H43" s="23" t="inlineStr">
        <is>
          <t>VINMART Uông Bí</t>
        </is>
      </c>
      <c r="I43" s="23" t="inlineStr">
        <is>
          <t>Quảng Ninh</t>
        </is>
      </c>
      <c r="J43" s="23" t="inlineStr">
        <is>
          <t>Uông Bí</t>
        </is>
      </c>
      <c r="K43" s="38" t="n">
        <v>21.031495</v>
      </c>
      <c r="L43" s="38" t="n">
        <v>106.76688</v>
      </c>
      <c r="M43" s="39" t="n">
        <v>800</v>
      </c>
      <c r="N43" s="39" t="n">
        <v>890</v>
      </c>
      <c r="O43" s="23" t="inlineStr">
        <is>
          <t>13:20</t>
        </is>
      </c>
      <c r="P43" s="23" t="inlineStr">
        <is>
          <t>14:50</t>
        </is>
      </c>
      <c r="Q43" s="24" t="n">
        <v>35</v>
      </c>
      <c r="R43" s="32" t="n">
        <v>-1872</v>
      </c>
      <c r="S43" s="33" t="n">
        <v>-3.67</v>
      </c>
      <c r="T43" s="23" t="inlineStr">
        <is>
          <t>5T</t>
        </is>
      </c>
      <c r="U43" s="23" t="inlineStr">
        <is>
          <t>8T</t>
        </is>
      </c>
      <c r="V43" s="23" t="inlineStr">
        <is>
          <t>Đông Bắc</t>
        </is>
      </c>
      <c r="W43" s="23" t="inlineStr">
        <is>
          <t>CR-ĐÔNG-02</t>
        </is>
      </c>
      <c r="X43" s="23" t="inlineStr">
        <is>
          <t>C - Có thể thương lượng</t>
        </is>
      </c>
      <c r="Y43" s="35" t="n">
        <v>0</v>
      </c>
      <c r="Z43" s="32" t="n">
        <v>80000</v>
      </c>
      <c r="AA43" s="23" t="inlineStr">
        <is>
          <t>Yes</t>
        </is>
      </c>
      <c r="AB43" s="23" t="inlineStr">
        <is>
          <t>2026-06-05</t>
        </is>
      </c>
      <c r="AC43" s="23" t="inlineStr">
        <is>
          <t>Ready</t>
        </is>
      </c>
      <c r="AD43" s="23" t="inlineStr">
        <is>
          <t>Delivery paired with same order and same vehicle unless transshipment enabled</t>
        </is>
      </c>
    </row>
    <row r="44" ht="18" customHeight="1" s="17">
      <c r="A44" s="21" t="inlineStr">
        <is>
          <t>S1</t>
        </is>
      </c>
      <c r="B44" s="21" t="inlineStr">
        <is>
          <t>S1-ORD-022</t>
        </is>
      </c>
      <c r="C44" s="21" t="inlineStr">
        <is>
          <t>S1-ORD-022-P</t>
        </is>
      </c>
      <c r="D44" s="21" t="inlineStr">
        <is>
          <t>Pickup</t>
        </is>
      </c>
      <c r="E44" s="21" t="inlineStr">
        <is>
          <t>S1-ORD-022-D</t>
        </is>
      </c>
      <c r="F44" s="21" t="inlineStr">
        <is>
          <t>S1-ORD-022</t>
        </is>
      </c>
      <c r="G44" s="21" t="inlineStr">
        <is>
          <t>PK_LINFOX_VSIP</t>
        </is>
      </c>
      <c r="H44" s="21" t="inlineStr">
        <is>
          <t>Kho Linfox KCN VSIP Bắc Ninh</t>
        </is>
      </c>
      <c r="I44" s="21" t="inlineStr">
        <is>
          <t>Bắc Ninh</t>
        </is>
      </c>
      <c r="J44" s="21" t="inlineStr">
        <is>
          <t>Từ Sơn</t>
        </is>
      </c>
      <c r="K44" s="36" t="n">
        <v>21.082707</v>
      </c>
      <c r="L44" s="36" t="n">
        <v>105.997949</v>
      </c>
      <c r="M44" s="37" t="n">
        <v>540</v>
      </c>
      <c r="N44" s="37" t="n">
        <v>630</v>
      </c>
      <c r="O44" s="21" t="inlineStr">
        <is>
          <t>09:00</t>
        </is>
      </c>
      <c r="P44" s="21" t="inlineStr">
        <is>
          <t>10:30</t>
        </is>
      </c>
      <c r="Q44" s="22" t="n">
        <v>40</v>
      </c>
      <c r="R44" s="28" t="n">
        <v>1345</v>
      </c>
      <c r="S44" s="29" t="n">
        <v>3.52</v>
      </c>
      <c r="T44" s="21" t="inlineStr">
        <is>
          <t>5T</t>
        </is>
      </c>
      <c r="U44" s="21" t="inlineStr">
        <is>
          <t>1.25T</t>
        </is>
      </c>
      <c r="V44" s="21" t="inlineStr">
        <is>
          <t>Nội thành Hà Nội</t>
        </is>
      </c>
      <c r="W44" s="21" t="inlineStr">
        <is>
          <t>CR-NỘIT-03</t>
        </is>
      </c>
      <c r="X44" s="21" t="inlineStr">
        <is>
          <t>C - Có thể thương lượng</t>
        </is>
      </c>
      <c r="Y44" s="31" t="n">
        <v>690000</v>
      </c>
      <c r="Z44" s="28" t="n">
        <v>80000</v>
      </c>
      <c r="AA44" s="21" t="inlineStr">
        <is>
          <t>Yes</t>
        </is>
      </c>
      <c r="AB44" s="21" t="inlineStr">
        <is>
          <t>2026-06-05</t>
        </is>
      </c>
      <c r="AC44" s="21" t="inlineStr">
        <is>
          <t>Review</t>
        </is>
      </c>
      <c r="AD44" s="21" t="inlineStr">
        <is>
          <t>Pickup must happen before paired delivery</t>
        </is>
      </c>
    </row>
    <row r="45" ht="18" customHeight="1" s="17">
      <c r="A45" s="23" t="inlineStr">
        <is>
          <t>S1</t>
        </is>
      </c>
      <c r="B45" s="23" t="inlineStr">
        <is>
          <t>S1-ORD-022</t>
        </is>
      </c>
      <c r="C45" s="23" t="inlineStr">
        <is>
          <t>S1-ORD-022-D</t>
        </is>
      </c>
      <c r="D45" s="23" t="inlineStr">
        <is>
          <t>Delivery</t>
        </is>
      </c>
      <c r="E45" s="23" t="inlineStr">
        <is>
          <t>S1-ORD-022-P</t>
        </is>
      </c>
      <c r="F45" s="23" t="inlineStr">
        <is>
          <t>S1-ORD-022</t>
        </is>
      </c>
      <c r="G45" s="23" t="inlineStr">
        <is>
          <t>DL_HN_GARDEN</t>
        </is>
      </c>
      <c r="H45" s="23" t="inlineStr">
        <is>
          <t>TOPS MARKET Garden Mall</t>
        </is>
      </c>
      <c r="I45" s="23" t="inlineStr">
        <is>
          <t>Hà Nội</t>
        </is>
      </c>
      <c r="J45" s="23" t="inlineStr">
        <is>
          <t>Nam Từ Liêm</t>
        </is>
      </c>
      <c r="K45" s="38" t="n">
        <v>21.015324</v>
      </c>
      <c r="L45" s="38" t="n">
        <v>105.777839</v>
      </c>
      <c r="M45" s="39" t="n">
        <v>725</v>
      </c>
      <c r="N45" s="39" t="n">
        <v>845</v>
      </c>
      <c r="O45" s="23" t="inlineStr">
        <is>
          <t>12:05</t>
        </is>
      </c>
      <c r="P45" s="23" t="inlineStr">
        <is>
          <t>14:05</t>
        </is>
      </c>
      <c r="Q45" s="24" t="n">
        <v>45</v>
      </c>
      <c r="R45" s="32" t="n">
        <v>-1345</v>
      </c>
      <c r="S45" s="33" t="n">
        <v>-3.52</v>
      </c>
      <c r="T45" s="23" t="inlineStr">
        <is>
          <t>5T</t>
        </is>
      </c>
      <c r="U45" s="23" t="inlineStr">
        <is>
          <t>1.25T</t>
        </is>
      </c>
      <c r="V45" s="23" t="inlineStr">
        <is>
          <t>Nội thành Hà Nội</t>
        </is>
      </c>
      <c r="W45" s="23" t="inlineStr">
        <is>
          <t>CR-NỘIT-03</t>
        </is>
      </c>
      <c r="X45" s="23" t="inlineStr">
        <is>
          <t>C - Có thể thương lượng</t>
        </is>
      </c>
      <c r="Y45" s="35" t="n">
        <v>0</v>
      </c>
      <c r="Z45" s="32" t="n">
        <v>80000</v>
      </c>
      <c r="AA45" s="23" t="inlineStr">
        <is>
          <t>Yes</t>
        </is>
      </c>
      <c r="AB45" s="23" t="inlineStr">
        <is>
          <t>2026-06-05</t>
        </is>
      </c>
      <c r="AC45" s="23" t="inlineStr">
        <is>
          <t>Review</t>
        </is>
      </c>
      <c r="AD45" s="23" t="inlineStr">
        <is>
          <t>Delivery paired with same order and same vehicle unless transshipment enabled</t>
        </is>
      </c>
    </row>
    <row r="46" ht="18" customHeight="1" s="17">
      <c r="A46" s="21" t="inlineStr">
        <is>
          <t>S1</t>
        </is>
      </c>
      <c r="B46" s="21" t="inlineStr">
        <is>
          <t>S1-ORD-023</t>
        </is>
      </c>
      <c r="C46" s="21" t="inlineStr">
        <is>
          <t>S1-ORD-023-P</t>
        </is>
      </c>
      <c r="D46" s="21" t="inlineStr">
        <is>
          <t>Pickup</t>
        </is>
      </c>
      <c r="E46" s="21" t="inlineStr">
        <is>
          <t>S1-ORD-023-D</t>
        </is>
      </c>
      <c r="F46" s="21" t="inlineStr">
        <is>
          <t>S1-ORD-023</t>
        </is>
      </c>
      <c r="G46" s="21" t="inlineStr">
        <is>
          <t>PK_HP_DINHVU</t>
        </is>
      </c>
      <c r="H46" s="21" t="inlineStr">
        <is>
          <t>Kho Hải Phòng - Đình Vũ</t>
        </is>
      </c>
      <c r="I46" s="21" t="inlineStr">
        <is>
          <t>Hải Phòng</t>
        </is>
      </c>
      <c r="J46" s="21" t="inlineStr">
        <is>
          <t>Hải An</t>
        </is>
      </c>
      <c r="K46" s="36" t="n">
        <v>20.8425</v>
      </c>
      <c r="L46" s="36" t="n">
        <v>106.77</v>
      </c>
      <c r="M46" s="37" t="n">
        <v>480</v>
      </c>
      <c r="N46" s="37" t="n">
        <v>630</v>
      </c>
      <c r="O46" s="21" t="inlineStr">
        <is>
          <t>08:00</t>
        </is>
      </c>
      <c r="P46" s="21" t="inlineStr">
        <is>
          <t>10:30</t>
        </is>
      </c>
      <c r="Q46" s="22" t="n">
        <v>25</v>
      </c>
      <c r="R46" s="28" t="n">
        <v>1219</v>
      </c>
      <c r="S46" s="29" t="n">
        <v>2.74</v>
      </c>
      <c r="T46" s="21" t="inlineStr">
        <is>
          <t>1.25T</t>
        </is>
      </c>
      <c r="U46" s="21" t="inlineStr">
        <is>
          <t>5T</t>
        </is>
      </c>
      <c r="V46" s="21" t="inlineStr">
        <is>
          <t>Đông Bắc</t>
        </is>
      </c>
      <c r="W46" s="21" t="inlineStr">
        <is>
          <t>CR-ĐÔNG-04</t>
        </is>
      </c>
      <c r="X46" s="21" t="inlineStr">
        <is>
          <t>A - SLA chặt</t>
        </is>
      </c>
      <c r="Y46" s="31" t="n">
        <v>530000</v>
      </c>
      <c r="Z46" s="28" t="n">
        <v>150000</v>
      </c>
      <c r="AA46" s="21" t="inlineStr">
        <is>
          <t>Yes</t>
        </is>
      </c>
      <c r="AB46" s="21" t="inlineStr">
        <is>
          <t>2026-06-05</t>
        </is>
      </c>
      <c r="AC46" s="21" t="inlineStr">
        <is>
          <t>Ready</t>
        </is>
      </c>
      <c r="AD46" s="21" t="inlineStr">
        <is>
          <t>Pickup must happen before paired delivery</t>
        </is>
      </c>
    </row>
    <row r="47" ht="18" customHeight="1" s="17">
      <c r="A47" s="23" t="inlineStr">
        <is>
          <t>S1</t>
        </is>
      </c>
      <c r="B47" s="23" t="inlineStr">
        <is>
          <t>S1-ORD-023</t>
        </is>
      </c>
      <c r="C47" s="23" t="inlineStr">
        <is>
          <t>S1-ORD-023-D</t>
        </is>
      </c>
      <c r="D47" s="23" t="inlineStr">
        <is>
          <t>Delivery</t>
        </is>
      </c>
      <c r="E47" s="23" t="inlineStr">
        <is>
          <t>S1-ORD-023-P</t>
        </is>
      </c>
      <c r="F47" s="23" t="inlineStr">
        <is>
          <t>S1-ORD-023</t>
        </is>
      </c>
      <c r="G47" s="23" t="inlineStr">
        <is>
          <t>DL_HP_SIEUTHI</t>
        </is>
      </c>
      <c r="H47" s="23" t="inlineStr">
        <is>
          <t>Siêu thị Hải Phòng</t>
        </is>
      </c>
      <c r="I47" s="23" t="inlineStr">
        <is>
          <t>Hải Phòng</t>
        </is>
      </c>
      <c r="J47" s="23" t="inlineStr">
        <is>
          <t>Gia Viên</t>
        </is>
      </c>
      <c r="K47" s="38" t="n">
        <v>20.84442</v>
      </c>
      <c r="L47" s="38" t="n">
        <v>106.7011</v>
      </c>
      <c r="M47" s="39" t="n">
        <v>572</v>
      </c>
      <c r="N47" s="39" t="n">
        <v>722</v>
      </c>
      <c r="O47" s="23" t="inlineStr">
        <is>
          <t>09:32</t>
        </is>
      </c>
      <c r="P47" s="23" t="inlineStr">
        <is>
          <t>12:02</t>
        </is>
      </c>
      <c r="Q47" s="24" t="n">
        <v>30</v>
      </c>
      <c r="R47" s="32" t="n">
        <v>-1219</v>
      </c>
      <c r="S47" s="33" t="n">
        <v>-2.74</v>
      </c>
      <c r="T47" s="23" t="inlineStr">
        <is>
          <t>1.25T</t>
        </is>
      </c>
      <c r="U47" s="23" t="inlineStr">
        <is>
          <t>5T</t>
        </is>
      </c>
      <c r="V47" s="23" t="inlineStr">
        <is>
          <t>Đông Bắc</t>
        </is>
      </c>
      <c r="W47" s="23" t="inlineStr">
        <is>
          <t>CR-ĐÔNG-04</t>
        </is>
      </c>
      <c r="X47" s="23" t="inlineStr">
        <is>
          <t>A - SLA chặt</t>
        </is>
      </c>
      <c r="Y47" s="35" t="n">
        <v>0</v>
      </c>
      <c r="Z47" s="32" t="n">
        <v>150000</v>
      </c>
      <c r="AA47" s="23" t="inlineStr">
        <is>
          <t>Yes</t>
        </is>
      </c>
      <c r="AB47" s="23" t="inlineStr">
        <is>
          <t>2026-06-05</t>
        </is>
      </c>
      <c r="AC47" s="23" t="inlineStr">
        <is>
          <t>Ready</t>
        </is>
      </c>
      <c r="AD47" s="23" t="inlineStr">
        <is>
          <t>Delivery paired with same order and same vehicle unless transshipment enabled</t>
        </is>
      </c>
    </row>
    <row r="48" ht="18" customHeight="1" s="17">
      <c r="A48" s="21" t="inlineStr">
        <is>
          <t>S1</t>
        </is>
      </c>
      <c r="B48" s="21" t="inlineStr">
        <is>
          <t>S1-ORD-024</t>
        </is>
      </c>
      <c r="C48" s="21" t="inlineStr">
        <is>
          <t>S1-ORD-024-P</t>
        </is>
      </c>
      <c r="D48" s="21" t="inlineStr">
        <is>
          <t>Pickup</t>
        </is>
      </c>
      <c r="E48" s="21" t="inlineStr">
        <is>
          <t>S1-ORD-024-D</t>
        </is>
      </c>
      <c r="F48" s="21" t="inlineStr">
        <is>
          <t>S1-ORD-024</t>
        </is>
      </c>
      <c r="G48" s="21" t="inlineStr">
        <is>
          <t>PK_HY_MYHAO</t>
        </is>
      </c>
      <c r="H48" s="21" t="inlineStr">
        <is>
          <t>Kho/Nhà máy khách hàng Mỹ Hào</t>
        </is>
      </c>
      <c r="I48" s="21" t="inlineStr">
        <is>
          <t>Hưng Yên</t>
        </is>
      </c>
      <c r="J48" s="21" t="inlineStr">
        <is>
          <t>Mỹ Hào</t>
        </is>
      </c>
      <c r="K48" s="36" t="n">
        <v>20.9329</v>
      </c>
      <c r="L48" s="36" t="n">
        <v>106.065</v>
      </c>
      <c r="M48" s="37" t="n">
        <v>420</v>
      </c>
      <c r="N48" s="37" t="n">
        <v>510</v>
      </c>
      <c r="O48" s="21" t="inlineStr">
        <is>
          <t>07:00</t>
        </is>
      </c>
      <c r="P48" s="21" t="inlineStr">
        <is>
          <t>08:30</t>
        </is>
      </c>
      <c r="Q48" s="22" t="n">
        <v>40</v>
      </c>
      <c r="R48" s="28" t="n">
        <v>1402</v>
      </c>
      <c r="S48" s="29" t="n">
        <v>8.84</v>
      </c>
      <c r="T48" s="21" t="inlineStr">
        <is>
          <t>5T</t>
        </is>
      </c>
      <c r="U48" s="21" t="inlineStr">
        <is>
          <t>1.25T</t>
        </is>
      </c>
      <c r="V48" s="21" t="inlineStr">
        <is>
          <t>Nội thành Hà Nội</t>
        </is>
      </c>
      <c r="W48" s="21" t="inlineStr">
        <is>
          <t>CR-NỘIT-05</t>
        </is>
      </c>
      <c r="X48" s="21" t="inlineStr">
        <is>
          <t>A - SLA chặt</t>
        </is>
      </c>
      <c r="Y48" s="31" t="n">
        <v>1090000</v>
      </c>
      <c r="Z48" s="28" t="n">
        <v>150000</v>
      </c>
      <c r="AA48" s="21" t="inlineStr">
        <is>
          <t>Yes</t>
        </is>
      </c>
      <c r="AB48" s="21" t="inlineStr">
        <is>
          <t>2026-06-05</t>
        </is>
      </c>
      <c r="AC48" s="21" t="inlineStr">
        <is>
          <t>Review</t>
        </is>
      </c>
      <c r="AD48" s="21" t="inlineStr">
        <is>
          <t>Pickup must happen before paired delivery</t>
        </is>
      </c>
    </row>
    <row r="49" ht="18" customHeight="1" s="17">
      <c r="A49" s="23" t="inlineStr">
        <is>
          <t>S1</t>
        </is>
      </c>
      <c r="B49" s="23" t="inlineStr">
        <is>
          <t>S1-ORD-024</t>
        </is>
      </c>
      <c r="C49" s="23" t="inlineStr">
        <is>
          <t>S1-ORD-024-D</t>
        </is>
      </c>
      <c r="D49" s="23" t="inlineStr">
        <is>
          <t>Delivery</t>
        </is>
      </c>
      <c r="E49" s="23" t="inlineStr">
        <is>
          <t>S1-ORD-024-P</t>
        </is>
      </c>
      <c r="F49" s="23" t="inlineStr">
        <is>
          <t>S1-ORD-024</t>
        </is>
      </c>
      <c r="G49" s="23" t="inlineStr">
        <is>
          <t>DL_HN_LOTTE_DD</t>
        </is>
      </c>
      <c r="H49" s="23" t="inlineStr">
        <is>
          <t>LOTTE MART Đống Đa</t>
        </is>
      </c>
      <c r="I49" s="23" t="inlineStr">
        <is>
          <t>Hà Nội</t>
        </is>
      </c>
      <c r="J49" s="23" t="inlineStr">
        <is>
          <t>Đống Đa</t>
        </is>
      </c>
      <c r="K49" s="38" t="n">
        <v>21.005536</v>
      </c>
      <c r="L49" s="38" t="n">
        <v>105.823942</v>
      </c>
      <c r="M49" s="39" t="n">
        <v>615</v>
      </c>
      <c r="N49" s="39" t="n">
        <v>795</v>
      </c>
      <c r="O49" s="23" t="inlineStr">
        <is>
          <t>10:15</t>
        </is>
      </c>
      <c r="P49" s="23" t="inlineStr">
        <is>
          <t>13:15</t>
        </is>
      </c>
      <c r="Q49" s="24" t="n">
        <v>45</v>
      </c>
      <c r="R49" s="32" t="n">
        <v>-1402</v>
      </c>
      <c r="S49" s="33" t="n">
        <v>-8.84</v>
      </c>
      <c r="T49" s="23" t="inlineStr">
        <is>
          <t>5T</t>
        </is>
      </c>
      <c r="U49" s="23" t="inlineStr">
        <is>
          <t>1.25T</t>
        </is>
      </c>
      <c r="V49" s="23" t="inlineStr">
        <is>
          <t>Nội thành Hà Nội</t>
        </is>
      </c>
      <c r="W49" s="23" t="inlineStr">
        <is>
          <t>CR-NỘIT-05</t>
        </is>
      </c>
      <c r="X49" s="23" t="inlineStr">
        <is>
          <t>A - SLA chặt</t>
        </is>
      </c>
      <c r="Y49" s="35" t="n">
        <v>0</v>
      </c>
      <c r="Z49" s="32" t="n">
        <v>150000</v>
      </c>
      <c r="AA49" s="23" t="inlineStr">
        <is>
          <t>Yes</t>
        </is>
      </c>
      <c r="AB49" s="23" t="inlineStr">
        <is>
          <t>2026-06-05</t>
        </is>
      </c>
      <c r="AC49" s="23" t="inlineStr">
        <is>
          <t>Review</t>
        </is>
      </c>
      <c r="AD49" s="23" t="inlineStr">
        <is>
          <t>Delivery paired with same order and same vehicle unless transshipment enabled</t>
        </is>
      </c>
    </row>
    <row r="50" ht="18" customHeight="1" s="17">
      <c r="A50" s="21" t="inlineStr">
        <is>
          <t>S1</t>
        </is>
      </c>
      <c r="B50" s="21" t="inlineStr">
        <is>
          <t>S1-ORD-025</t>
        </is>
      </c>
      <c r="C50" s="21" t="inlineStr">
        <is>
          <t>S1-ORD-025-P</t>
        </is>
      </c>
      <c r="D50" s="21" t="inlineStr">
        <is>
          <t>Pickup</t>
        </is>
      </c>
      <c r="E50" s="21" t="inlineStr">
        <is>
          <t>S1-ORD-025-D</t>
        </is>
      </c>
      <c r="F50" s="21" t="inlineStr">
        <is>
          <t>S1-ORD-025</t>
        </is>
      </c>
      <c r="G50" s="21" t="inlineStr">
        <is>
          <t>PK_LINFOX_VSIP</t>
        </is>
      </c>
      <c r="H50" s="21" t="inlineStr">
        <is>
          <t>Kho Linfox KCN VSIP Bắc Ninh</t>
        </is>
      </c>
      <c r="I50" s="21" t="inlineStr">
        <is>
          <t>Bắc Ninh</t>
        </is>
      </c>
      <c r="J50" s="21" t="inlineStr">
        <is>
          <t>Từ Sơn</t>
        </is>
      </c>
      <c r="K50" s="36" t="n">
        <v>21.082707</v>
      </c>
      <c r="L50" s="36" t="n">
        <v>105.997949</v>
      </c>
      <c r="M50" s="37" t="n">
        <v>540</v>
      </c>
      <c r="N50" s="37" t="n">
        <v>690</v>
      </c>
      <c r="O50" s="21" t="inlineStr">
        <is>
          <t>09:00</t>
        </is>
      </c>
      <c r="P50" s="21" t="inlineStr">
        <is>
          <t>11:30</t>
        </is>
      </c>
      <c r="Q50" s="22" t="n">
        <v>25</v>
      </c>
      <c r="R50" s="28" t="n">
        <v>988</v>
      </c>
      <c r="S50" s="29" t="n">
        <v>1.61</v>
      </c>
      <c r="T50" s="21" t="inlineStr">
        <is>
          <t>1.25T</t>
        </is>
      </c>
      <c r="U50" s="21" t="inlineStr">
        <is>
          <t>1.25T</t>
        </is>
      </c>
      <c r="V50" s="21" t="inlineStr">
        <is>
          <t>Nội thành Hà Nội</t>
        </is>
      </c>
      <c r="W50" s="21" t="inlineStr">
        <is>
          <t>CR-NỘIT-01</t>
        </is>
      </c>
      <c r="X50" s="21" t="inlineStr">
        <is>
          <t>B - Thường</t>
        </is>
      </c>
      <c r="Y50" s="31" t="n">
        <v>780000</v>
      </c>
      <c r="Z50" s="28" t="n">
        <v>80000</v>
      </c>
      <c r="AA50" s="21" t="inlineStr">
        <is>
          <t>Yes</t>
        </is>
      </c>
      <c r="AB50" s="21" t="inlineStr">
        <is>
          <t>2026-06-05</t>
        </is>
      </c>
      <c r="AC50" s="21" t="inlineStr">
        <is>
          <t>Ready</t>
        </is>
      </c>
      <c r="AD50" s="21" t="inlineStr">
        <is>
          <t>Pickup must happen before paired delivery</t>
        </is>
      </c>
    </row>
    <row r="51" ht="18" customHeight="1" s="17">
      <c r="A51" s="23" t="inlineStr">
        <is>
          <t>S1</t>
        </is>
      </c>
      <c r="B51" s="23" t="inlineStr">
        <is>
          <t>S1-ORD-025</t>
        </is>
      </c>
      <c r="C51" s="23" t="inlineStr">
        <is>
          <t>S1-ORD-025-D</t>
        </is>
      </c>
      <c r="D51" s="23" t="inlineStr">
        <is>
          <t>Delivery</t>
        </is>
      </c>
      <c r="E51" s="23" t="inlineStr">
        <is>
          <t>S1-ORD-025-P</t>
        </is>
      </c>
      <c r="F51" s="23" t="inlineStr">
        <is>
          <t>S1-ORD-025</t>
        </is>
      </c>
      <c r="G51" s="23" t="inlineStr">
        <is>
          <t>DL_HN_BACTULIEM</t>
        </is>
      </c>
      <c r="H51" s="23" t="inlineStr">
        <is>
          <t>VINMART Bắc Từ Liêm</t>
        </is>
      </c>
      <c r="I51" s="23" t="inlineStr">
        <is>
          <t>Hà Nội</t>
        </is>
      </c>
      <c r="J51" s="23" t="inlineStr">
        <is>
          <t>Bắc Từ Liêm</t>
        </is>
      </c>
      <c r="K51" s="38" t="n">
        <v>21.052701</v>
      </c>
      <c r="L51" s="38" t="n">
        <v>105.780729</v>
      </c>
      <c r="M51" s="39" t="n">
        <v>744</v>
      </c>
      <c r="N51" s="39" t="n">
        <v>924</v>
      </c>
      <c r="O51" s="23" t="inlineStr">
        <is>
          <t>12:24</t>
        </is>
      </c>
      <c r="P51" s="23" t="inlineStr">
        <is>
          <t>15:24</t>
        </is>
      </c>
      <c r="Q51" s="24" t="n">
        <v>20</v>
      </c>
      <c r="R51" s="32" t="n">
        <v>-988</v>
      </c>
      <c r="S51" s="33" t="n">
        <v>-1.61</v>
      </c>
      <c r="T51" s="23" t="inlineStr">
        <is>
          <t>1.25T</t>
        </is>
      </c>
      <c r="U51" s="23" t="inlineStr">
        <is>
          <t>1.25T</t>
        </is>
      </c>
      <c r="V51" s="23" t="inlineStr">
        <is>
          <t>Nội thành Hà Nội</t>
        </is>
      </c>
      <c r="W51" s="23" t="inlineStr">
        <is>
          <t>CR-NỘIT-01</t>
        </is>
      </c>
      <c r="X51" s="23" t="inlineStr">
        <is>
          <t>B - Thường</t>
        </is>
      </c>
      <c r="Y51" s="35" t="n">
        <v>0</v>
      </c>
      <c r="Z51" s="32" t="n">
        <v>80000</v>
      </c>
      <c r="AA51" s="23" t="inlineStr">
        <is>
          <t>Yes</t>
        </is>
      </c>
      <c r="AB51" s="23" t="inlineStr">
        <is>
          <t>2026-06-05</t>
        </is>
      </c>
      <c r="AC51" s="23" t="inlineStr">
        <is>
          <t>Ready</t>
        </is>
      </c>
      <c r="AD51" s="23" t="inlineStr">
        <is>
          <t>Delivery paired with same order and same vehicle unless transshipment enabled</t>
        </is>
      </c>
    </row>
    <row r="52" ht="18" customHeight="1" s="17">
      <c r="A52" s="21" t="inlineStr">
        <is>
          <t>S1</t>
        </is>
      </c>
      <c r="B52" s="21" t="inlineStr">
        <is>
          <t>S1-ORD-026</t>
        </is>
      </c>
      <c r="C52" s="21" t="inlineStr">
        <is>
          <t>S1-ORD-026-P</t>
        </is>
      </c>
      <c r="D52" s="21" t="inlineStr">
        <is>
          <t>Pickup</t>
        </is>
      </c>
      <c r="E52" s="21" t="inlineStr">
        <is>
          <t>S1-ORD-026-D</t>
        </is>
      </c>
      <c r="F52" s="21" t="inlineStr">
        <is>
          <t>S1-ORD-026</t>
        </is>
      </c>
      <c r="G52" s="21" t="inlineStr">
        <is>
          <t>PK_HPL_LB</t>
        </is>
      </c>
      <c r="H52" s="21" t="inlineStr">
        <is>
          <t>HPL Depot Long Biên - 20 Thạch Bàn</t>
        </is>
      </c>
      <c r="I52" s="21" t="inlineStr">
        <is>
          <t>Hà Nội</t>
        </is>
      </c>
      <c r="J52" s="21" t="inlineStr">
        <is>
          <t>Long Biên</t>
        </is>
      </c>
      <c r="K52" s="36" t="n">
        <v>21.0261548385</v>
      </c>
      <c r="L52" s="36" t="n">
        <v>105.914182238</v>
      </c>
      <c r="M52" s="37" t="n">
        <v>540</v>
      </c>
      <c r="N52" s="37" t="n">
        <v>630</v>
      </c>
      <c r="O52" s="21" t="inlineStr">
        <is>
          <t>09:00</t>
        </is>
      </c>
      <c r="P52" s="21" t="inlineStr">
        <is>
          <t>10:30</t>
        </is>
      </c>
      <c r="Q52" s="22" t="n">
        <v>40</v>
      </c>
      <c r="R52" s="28" t="n">
        <v>1043</v>
      </c>
      <c r="S52" s="29" t="n">
        <v>22.83</v>
      </c>
      <c r="T52" s="21" t="inlineStr">
        <is>
          <t>5T</t>
        </is>
      </c>
      <c r="U52" s="21" t="inlineStr">
        <is>
          <t>1.25T</t>
        </is>
      </c>
      <c r="V52" s="21" t="inlineStr">
        <is>
          <t>Nội thành Hà Nội</t>
        </is>
      </c>
      <c r="W52" s="21" t="inlineStr">
        <is>
          <t>CR-NỘIT-02</t>
        </is>
      </c>
      <c r="X52" s="21" t="inlineStr">
        <is>
          <t>C - Có thể thương lượng</t>
        </is>
      </c>
      <c r="Y52" s="31" t="n">
        <v>710000</v>
      </c>
      <c r="Z52" s="28" t="n">
        <v>80000</v>
      </c>
      <c r="AA52" s="21" t="inlineStr">
        <is>
          <t>Yes</t>
        </is>
      </c>
      <c r="AB52" s="21" t="inlineStr">
        <is>
          <t>2026-06-05</t>
        </is>
      </c>
      <c r="AC52" s="21" t="inlineStr">
        <is>
          <t>Review</t>
        </is>
      </c>
      <c r="AD52" s="21" t="inlineStr">
        <is>
          <t>Pickup must happen before paired delivery</t>
        </is>
      </c>
    </row>
    <row r="53" ht="18" customHeight="1" s="17">
      <c r="A53" s="23" t="inlineStr">
        <is>
          <t>S1</t>
        </is>
      </c>
      <c r="B53" s="23" t="inlineStr">
        <is>
          <t>S1-ORD-026</t>
        </is>
      </c>
      <c r="C53" s="23" t="inlineStr">
        <is>
          <t>S1-ORD-026-D</t>
        </is>
      </c>
      <c r="D53" s="23" t="inlineStr">
        <is>
          <t>Delivery</t>
        </is>
      </c>
      <c r="E53" s="23" t="inlineStr">
        <is>
          <t>S1-ORD-026-P</t>
        </is>
      </c>
      <c r="F53" s="23" t="inlineStr">
        <is>
          <t>S1-ORD-026</t>
        </is>
      </c>
      <c r="G53" s="23" t="inlineStr">
        <is>
          <t>DL_HN_GARDEN</t>
        </is>
      </c>
      <c r="H53" s="23" t="inlineStr">
        <is>
          <t>TOPS MARKET Garden Mall</t>
        </is>
      </c>
      <c r="I53" s="23" t="inlineStr">
        <is>
          <t>Hà Nội</t>
        </is>
      </c>
      <c r="J53" s="23" t="inlineStr">
        <is>
          <t>Nam Từ Liêm</t>
        </is>
      </c>
      <c r="K53" s="38" t="n">
        <v>21.015324</v>
      </c>
      <c r="L53" s="38" t="n">
        <v>105.777839</v>
      </c>
      <c r="M53" s="39" t="n">
        <v>638</v>
      </c>
      <c r="N53" s="39" t="n">
        <v>788</v>
      </c>
      <c r="O53" s="23" t="inlineStr">
        <is>
          <t>10:38</t>
        </is>
      </c>
      <c r="P53" s="23" t="inlineStr">
        <is>
          <t>13:08</t>
        </is>
      </c>
      <c r="Q53" s="24" t="n">
        <v>45</v>
      </c>
      <c r="R53" s="32" t="n">
        <v>-1043</v>
      </c>
      <c r="S53" s="33" t="n">
        <v>-22.83</v>
      </c>
      <c r="T53" s="23" t="inlineStr">
        <is>
          <t>5T</t>
        </is>
      </c>
      <c r="U53" s="23" t="inlineStr">
        <is>
          <t>1.25T</t>
        </is>
      </c>
      <c r="V53" s="23" t="inlineStr">
        <is>
          <t>Nội thành Hà Nội</t>
        </is>
      </c>
      <c r="W53" s="23" t="inlineStr">
        <is>
          <t>CR-NỘIT-02</t>
        </is>
      </c>
      <c r="X53" s="23" t="inlineStr">
        <is>
          <t>C - Có thể thương lượng</t>
        </is>
      </c>
      <c r="Y53" s="35" t="n">
        <v>0</v>
      </c>
      <c r="Z53" s="32" t="n">
        <v>80000</v>
      </c>
      <c r="AA53" s="23" t="inlineStr">
        <is>
          <t>Yes</t>
        </is>
      </c>
      <c r="AB53" s="23" t="inlineStr">
        <is>
          <t>2026-06-05</t>
        </is>
      </c>
      <c r="AC53" s="23" t="inlineStr">
        <is>
          <t>Review</t>
        </is>
      </c>
      <c r="AD53" s="23" t="inlineStr">
        <is>
          <t>Delivery paired with same order and same vehicle unless transshipment enabled</t>
        </is>
      </c>
    </row>
    <row r="54" ht="18" customHeight="1" s="17">
      <c r="A54" s="21" t="inlineStr">
        <is>
          <t>S1</t>
        </is>
      </c>
      <c r="B54" s="21" t="inlineStr">
        <is>
          <t>S1-ORD-027</t>
        </is>
      </c>
      <c r="C54" s="21" t="inlineStr">
        <is>
          <t>S1-ORD-027-P</t>
        </is>
      </c>
      <c r="D54" s="21" t="inlineStr">
        <is>
          <t>Pickup</t>
        </is>
      </c>
      <c r="E54" s="21" t="inlineStr">
        <is>
          <t>S1-ORD-027-D</t>
        </is>
      </c>
      <c r="F54" s="21" t="inlineStr">
        <is>
          <t>S1-ORD-027</t>
        </is>
      </c>
      <c r="G54" s="21" t="inlineStr">
        <is>
          <t>PK_HP_DINHVU</t>
        </is>
      </c>
      <c r="H54" s="21" t="inlineStr">
        <is>
          <t>Kho Hải Phòng - Đình Vũ</t>
        </is>
      </c>
      <c r="I54" s="21" t="inlineStr">
        <is>
          <t>Hải Phòng</t>
        </is>
      </c>
      <c r="J54" s="21" t="inlineStr">
        <is>
          <t>Hải An</t>
        </is>
      </c>
      <c r="K54" s="36" t="n">
        <v>20.8425</v>
      </c>
      <c r="L54" s="36" t="n">
        <v>106.77</v>
      </c>
      <c r="M54" s="37" t="n">
        <v>480</v>
      </c>
      <c r="N54" s="37" t="n">
        <v>630</v>
      </c>
      <c r="O54" s="21" t="inlineStr">
        <is>
          <t>08:00</t>
        </is>
      </c>
      <c r="P54" s="21" t="inlineStr">
        <is>
          <t>10:30</t>
        </is>
      </c>
      <c r="Q54" s="22" t="n">
        <v>40</v>
      </c>
      <c r="R54" s="28" t="n">
        <v>1775</v>
      </c>
      <c r="S54" s="29" t="n">
        <v>9.34</v>
      </c>
      <c r="T54" s="21" t="inlineStr">
        <is>
          <t>5T</t>
        </is>
      </c>
      <c r="U54" s="21" t="inlineStr">
        <is>
          <t>5T</t>
        </is>
      </c>
      <c r="V54" s="21" t="inlineStr">
        <is>
          <t>Đông Bắc</t>
        </is>
      </c>
      <c r="W54" s="21" t="inlineStr">
        <is>
          <t>CR-ĐÔNG-03</t>
        </is>
      </c>
      <c r="X54" s="21" t="inlineStr">
        <is>
          <t>B - Thường</t>
        </is>
      </c>
      <c r="Y54" s="31" t="n">
        <v>720000</v>
      </c>
      <c r="Z54" s="28" t="n">
        <v>80000</v>
      </c>
      <c r="AA54" s="21" t="inlineStr">
        <is>
          <t>Yes</t>
        </is>
      </c>
      <c r="AB54" s="21" t="inlineStr">
        <is>
          <t>2026-06-05</t>
        </is>
      </c>
      <c r="AC54" s="21" t="inlineStr">
        <is>
          <t>Ready</t>
        </is>
      </c>
      <c r="AD54" s="21" t="inlineStr">
        <is>
          <t>Pickup must happen before paired delivery</t>
        </is>
      </c>
    </row>
    <row r="55" ht="18" customHeight="1" s="17">
      <c r="A55" s="23" t="inlineStr">
        <is>
          <t>S1</t>
        </is>
      </c>
      <c r="B55" s="23" t="inlineStr">
        <is>
          <t>S1-ORD-027</t>
        </is>
      </c>
      <c r="C55" s="23" t="inlineStr">
        <is>
          <t>S1-ORD-027-D</t>
        </is>
      </c>
      <c r="D55" s="23" t="inlineStr">
        <is>
          <t>Delivery</t>
        </is>
      </c>
      <c r="E55" s="23" t="inlineStr">
        <is>
          <t>S1-ORD-027-P</t>
        </is>
      </c>
      <c r="F55" s="23" t="inlineStr">
        <is>
          <t>S1-ORD-027</t>
        </is>
      </c>
      <c r="G55" s="23" t="inlineStr">
        <is>
          <t>DL_HP_SIEUTHI</t>
        </is>
      </c>
      <c r="H55" s="23" t="inlineStr">
        <is>
          <t>Siêu thị Hải Phòng</t>
        </is>
      </c>
      <c r="I55" s="23" t="inlineStr">
        <is>
          <t>Hải Phòng</t>
        </is>
      </c>
      <c r="J55" s="23" t="inlineStr">
        <is>
          <t>Gia Viên</t>
        </is>
      </c>
      <c r="K55" s="38" t="n">
        <v>20.84442</v>
      </c>
      <c r="L55" s="38" t="n">
        <v>106.7011</v>
      </c>
      <c r="M55" s="39" t="n">
        <v>617</v>
      </c>
      <c r="N55" s="39" t="n">
        <v>767</v>
      </c>
      <c r="O55" s="23" t="inlineStr">
        <is>
          <t>10:17</t>
        </is>
      </c>
      <c r="P55" s="23" t="inlineStr">
        <is>
          <t>12:47</t>
        </is>
      </c>
      <c r="Q55" s="24" t="n">
        <v>45</v>
      </c>
      <c r="R55" s="32" t="n">
        <v>-1775</v>
      </c>
      <c r="S55" s="33" t="n">
        <v>-9.34</v>
      </c>
      <c r="T55" s="23" t="inlineStr">
        <is>
          <t>5T</t>
        </is>
      </c>
      <c r="U55" s="23" t="inlineStr">
        <is>
          <t>5T</t>
        </is>
      </c>
      <c r="V55" s="23" t="inlineStr">
        <is>
          <t>Đông Bắc</t>
        </is>
      </c>
      <c r="W55" s="23" t="inlineStr">
        <is>
          <t>CR-ĐÔNG-03</t>
        </is>
      </c>
      <c r="X55" s="23" t="inlineStr">
        <is>
          <t>B - Thường</t>
        </is>
      </c>
      <c r="Y55" s="35" t="n">
        <v>0</v>
      </c>
      <c r="Z55" s="32" t="n">
        <v>80000</v>
      </c>
      <c r="AA55" s="23" t="inlineStr">
        <is>
          <t>Yes</t>
        </is>
      </c>
      <c r="AB55" s="23" t="inlineStr">
        <is>
          <t>2026-06-05</t>
        </is>
      </c>
      <c r="AC55" s="23" t="inlineStr">
        <is>
          <t>Ready</t>
        </is>
      </c>
      <c r="AD55" s="23" t="inlineStr">
        <is>
          <t>Delivery paired with same order and same vehicle unless transshipment enabled</t>
        </is>
      </c>
    </row>
    <row r="56" ht="18" customHeight="1" s="17">
      <c r="A56" s="21" t="inlineStr">
        <is>
          <t>S1</t>
        </is>
      </c>
      <c r="B56" s="21" t="inlineStr">
        <is>
          <t>S1-ORD-028</t>
        </is>
      </c>
      <c r="C56" s="21" t="inlineStr">
        <is>
          <t>S1-ORD-028-P</t>
        </is>
      </c>
      <c r="D56" s="21" t="inlineStr">
        <is>
          <t>Pickup</t>
        </is>
      </c>
      <c r="E56" s="21" t="inlineStr">
        <is>
          <t>S1-ORD-028-D</t>
        </is>
      </c>
      <c r="F56" s="21" t="inlineStr">
        <is>
          <t>S1-ORD-028</t>
        </is>
      </c>
      <c r="G56" s="21" t="inlineStr">
        <is>
          <t>PK_HPL_LB</t>
        </is>
      </c>
      <c r="H56" s="21" t="inlineStr">
        <is>
          <t>HPL Depot Long Biên - 20 Thạch Bàn</t>
        </is>
      </c>
      <c r="I56" s="21" t="inlineStr">
        <is>
          <t>Hà Nội</t>
        </is>
      </c>
      <c r="J56" s="21" t="inlineStr">
        <is>
          <t>Long Biên</t>
        </is>
      </c>
      <c r="K56" s="36" t="n">
        <v>21.0261548385</v>
      </c>
      <c r="L56" s="36" t="n">
        <v>105.914182238</v>
      </c>
      <c r="M56" s="37" t="n">
        <v>510</v>
      </c>
      <c r="N56" s="37" t="n">
        <v>660</v>
      </c>
      <c r="O56" s="21" t="inlineStr">
        <is>
          <t>08:30</t>
        </is>
      </c>
      <c r="P56" s="21" t="inlineStr">
        <is>
          <t>11:00</t>
        </is>
      </c>
      <c r="Q56" s="22" t="n">
        <v>40</v>
      </c>
      <c r="R56" s="28" t="n">
        <v>1438</v>
      </c>
      <c r="S56" s="29" t="n">
        <v>37.08</v>
      </c>
      <c r="T56" s="21" t="inlineStr">
        <is>
          <t>8T</t>
        </is>
      </c>
      <c r="U56" s="21" t="inlineStr">
        <is>
          <t>1.25T</t>
        </is>
      </c>
      <c r="V56" s="21" t="inlineStr">
        <is>
          <t>Nội thành Hà Nội</t>
        </is>
      </c>
      <c r="W56" s="21" t="inlineStr">
        <is>
          <t>CR-NỘIT-04</t>
        </is>
      </c>
      <c r="X56" s="21" t="inlineStr">
        <is>
          <t>C - Có thể thương lượng</t>
        </is>
      </c>
      <c r="Y56" s="31" t="n">
        <v>700000</v>
      </c>
      <c r="Z56" s="28" t="n">
        <v>80000</v>
      </c>
      <c r="AA56" s="21" t="inlineStr">
        <is>
          <t>Yes</t>
        </is>
      </c>
      <c r="AB56" s="21" t="inlineStr">
        <is>
          <t>2026-06-05</t>
        </is>
      </c>
      <c r="AC56" s="21" t="inlineStr">
        <is>
          <t>Review</t>
        </is>
      </c>
      <c r="AD56" s="21" t="inlineStr">
        <is>
          <t>Pickup must happen before paired delivery</t>
        </is>
      </c>
    </row>
    <row r="57" ht="18" customHeight="1" s="17">
      <c r="A57" s="23" t="inlineStr">
        <is>
          <t>S1</t>
        </is>
      </c>
      <c r="B57" s="23" t="inlineStr">
        <is>
          <t>S1-ORD-028</t>
        </is>
      </c>
      <c r="C57" s="23" t="inlineStr">
        <is>
          <t>S1-ORD-028-D</t>
        </is>
      </c>
      <c r="D57" s="23" t="inlineStr">
        <is>
          <t>Delivery</t>
        </is>
      </c>
      <c r="E57" s="23" t="inlineStr">
        <is>
          <t>S1-ORD-028-P</t>
        </is>
      </c>
      <c r="F57" s="23" t="inlineStr">
        <is>
          <t>S1-ORD-028</t>
        </is>
      </c>
      <c r="G57" s="23" t="inlineStr">
        <is>
          <t>DL_HN_LOTTE_DD</t>
        </is>
      </c>
      <c r="H57" s="23" t="inlineStr">
        <is>
          <t>LOTTE MART Đống Đa</t>
        </is>
      </c>
      <c r="I57" s="23" t="inlineStr">
        <is>
          <t>Hà Nội</t>
        </is>
      </c>
      <c r="J57" s="23" t="inlineStr">
        <is>
          <t>Đống Đa</t>
        </is>
      </c>
      <c r="K57" s="38" t="n">
        <v>21.005536</v>
      </c>
      <c r="L57" s="38" t="n">
        <v>105.823942</v>
      </c>
      <c r="M57" s="39" t="n">
        <v>597</v>
      </c>
      <c r="N57" s="39" t="n">
        <v>747</v>
      </c>
      <c r="O57" s="23" t="inlineStr">
        <is>
          <t>09:57</t>
        </is>
      </c>
      <c r="P57" s="23" t="inlineStr">
        <is>
          <t>12:27</t>
        </is>
      </c>
      <c r="Q57" s="24" t="n">
        <v>45</v>
      </c>
      <c r="R57" s="32" t="n">
        <v>-1438</v>
      </c>
      <c r="S57" s="33" t="n">
        <v>-37.08</v>
      </c>
      <c r="T57" s="23" t="inlineStr">
        <is>
          <t>8T</t>
        </is>
      </c>
      <c r="U57" s="23" t="inlineStr">
        <is>
          <t>1.25T</t>
        </is>
      </c>
      <c r="V57" s="23" t="inlineStr">
        <is>
          <t>Nội thành Hà Nội</t>
        </is>
      </c>
      <c r="W57" s="23" t="inlineStr">
        <is>
          <t>CR-NỘIT-04</t>
        </is>
      </c>
      <c r="X57" s="23" t="inlineStr">
        <is>
          <t>C - Có thể thương lượng</t>
        </is>
      </c>
      <c r="Y57" s="35" t="n">
        <v>0</v>
      </c>
      <c r="Z57" s="32" t="n">
        <v>80000</v>
      </c>
      <c r="AA57" s="23" t="inlineStr">
        <is>
          <t>Yes</t>
        </is>
      </c>
      <c r="AB57" s="23" t="inlineStr">
        <is>
          <t>2026-06-05</t>
        </is>
      </c>
      <c r="AC57" s="23" t="inlineStr">
        <is>
          <t>Review</t>
        </is>
      </c>
      <c r="AD57" s="23" t="inlineStr">
        <is>
          <t>Delivery paired with same order and same vehicle unless transshipment enabled</t>
        </is>
      </c>
    </row>
    <row r="58" ht="18" customHeight="1" s="17">
      <c r="A58" s="21" t="inlineStr">
        <is>
          <t>S1</t>
        </is>
      </c>
      <c r="B58" s="21" t="inlineStr">
        <is>
          <t>S1-ORD-029</t>
        </is>
      </c>
      <c r="C58" s="21" t="inlineStr">
        <is>
          <t>S1-ORD-029-P</t>
        </is>
      </c>
      <c r="D58" s="21" t="inlineStr">
        <is>
          <t>Pickup</t>
        </is>
      </c>
      <c r="E58" s="21" t="inlineStr">
        <is>
          <t>S1-ORD-029-D</t>
        </is>
      </c>
      <c r="F58" s="21" t="inlineStr">
        <is>
          <t>S1-ORD-029</t>
        </is>
      </c>
      <c r="G58" s="21" t="inlineStr">
        <is>
          <t>PK_HPL_LB</t>
        </is>
      </c>
      <c r="H58" s="21" t="inlineStr">
        <is>
          <t>HPL Depot Long Biên - 20 Thạch Bàn</t>
        </is>
      </c>
      <c r="I58" s="21" t="inlineStr">
        <is>
          <t>Hà Nội</t>
        </is>
      </c>
      <c r="J58" s="21" t="inlineStr">
        <is>
          <t>Long Biên</t>
        </is>
      </c>
      <c r="K58" s="36" t="n">
        <v>21.0261548385</v>
      </c>
      <c r="L58" s="36" t="n">
        <v>105.914182238</v>
      </c>
      <c r="M58" s="37" t="n">
        <v>420</v>
      </c>
      <c r="N58" s="37" t="n">
        <v>570</v>
      </c>
      <c r="O58" s="21" t="inlineStr">
        <is>
          <t>07:00</t>
        </is>
      </c>
      <c r="P58" s="21" t="inlineStr">
        <is>
          <t>09:30</t>
        </is>
      </c>
      <c r="Q58" s="22" t="n">
        <v>25</v>
      </c>
      <c r="R58" s="28" t="n">
        <v>223</v>
      </c>
      <c r="S58" s="29" t="n">
        <v>0.6</v>
      </c>
      <c r="T58" s="21" t="inlineStr">
        <is>
          <t>5 tạ</t>
        </is>
      </c>
      <c r="U58" s="21" t="inlineStr">
        <is>
          <t>1.25T</t>
        </is>
      </c>
      <c r="V58" s="21" t="inlineStr">
        <is>
          <t>Nội thành Hà Nội</t>
        </is>
      </c>
      <c r="W58" s="21" t="inlineStr">
        <is>
          <t>CR-NỘIT-05</t>
        </is>
      </c>
      <c r="X58" s="21" t="inlineStr">
        <is>
          <t>B - Thường</t>
        </is>
      </c>
      <c r="Y58" s="31" t="n">
        <v>610000</v>
      </c>
      <c r="Z58" s="28" t="n">
        <v>80000</v>
      </c>
      <c r="AA58" s="21" t="inlineStr">
        <is>
          <t>Yes</t>
        </is>
      </c>
      <c r="AB58" s="21" t="inlineStr">
        <is>
          <t>2026-06-05</t>
        </is>
      </c>
      <c r="AC58" s="21" t="inlineStr">
        <is>
          <t>Ready</t>
        </is>
      </c>
      <c r="AD58" s="21" t="inlineStr">
        <is>
          <t>Pickup must happen before paired delivery</t>
        </is>
      </c>
    </row>
    <row r="59" ht="18" customHeight="1" s="17">
      <c r="A59" s="23" t="inlineStr">
        <is>
          <t>S1</t>
        </is>
      </c>
      <c r="B59" s="23" t="inlineStr">
        <is>
          <t>S1-ORD-029</t>
        </is>
      </c>
      <c r="C59" s="23" t="inlineStr">
        <is>
          <t>S1-ORD-029-D</t>
        </is>
      </c>
      <c r="D59" s="23" t="inlineStr">
        <is>
          <t>Delivery</t>
        </is>
      </c>
      <c r="E59" s="23" t="inlineStr">
        <is>
          <t>S1-ORD-029-P</t>
        </is>
      </c>
      <c r="F59" s="23" t="inlineStr">
        <is>
          <t>S1-ORD-029</t>
        </is>
      </c>
      <c r="G59" s="23" t="inlineStr">
        <is>
          <t>DL_HN_TIMESCITY</t>
        </is>
      </c>
      <c r="H59" s="23" t="inlineStr">
        <is>
          <t>VINMART Times City</t>
        </is>
      </c>
      <c r="I59" s="23" t="inlineStr">
        <is>
          <t>Hà Nội</t>
        </is>
      </c>
      <c r="J59" s="23" t="inlineStr">
        <is>
          <t>Hai Bà Trưng</t>
        </is>
      </c>
      <c r="K59" s="38" t="n">
        <v>20.994022</v>
      </c>
      <c r="L59" s="38" t="n">
        <v>105.869639</v>
      </c>
      <c r="M59" s="39" t="n">
        <v>489</v>
      </c>
      <c r="N59" s="39" t="n">
        <v>639</v>
      </c>
      <c r="O59" s="23" t="inlineStr">
        <is>
          <t>08:09</t>
        </is>
      </c>
      <c r="P59" s="23" t="inlineStr">
        <is>
          <t>10:39</t>
        </is>
      </c>
      <c r="Q59" s="24" t="n">
        <v>30</v>
      </c>
      <c r="R59" s="32" t="n">
        <v>-223</v>
      </c>
      <c r="S59" s="33" t="n">
        <v>-0.6</v>
      </c>
      <c r="T59" s="23" t="inlineStr">
        <is>
          <t>5 tạ</t>
        </is>
      </c>
      <c r="U59" s="23" t="inlineStr">
        <is>
          <t>1.25T</t>
        </is>
      </c>
      <c r="V59" s="23" t="inlineStr">
        <is>
          <t>Nội thành Hà Nội</t>
        </is>
      </c>
      <c r="W59" s="23" t="inlineStr">
        <is>
          <t>CR-NỘIT-05</t>
        </is>
      </c>
      <c r="X59" s="23" t="inlineStr">
        <is>
          <t>B - Thường</t>
        </is>
      </c>
      <c r="Y59" s="35" t="n">
        <v>0</v>
      </c>
      <c r="Z59" s="32" t="n">
        <v>80000</v>
      </c>
      <c r="AA59" s="23" t="inlineStr">
        <is>
          <t>Yes</t>
        </is>
      </c>
      <c r="AB59" s="23" t="inlineStr">
        <is>
          <t>2026-06-05</t>
        </is>
      </c>
      <c r="AC59" s="23" t="inlineStr">
        <is>
          <t>Ready</t>
        </is>
      </c>
      <c r="AD59" s="23" t="inlineStr">
        <is>
          <t>Delivery paired with same order and same vehicle unless transshipment enabled</t>
        </is>
      </c>
    </row>
    <row r="60" ht="18" customHeight="1" s="17">
      <c r="A60" s="21" t="inlineStr">
        <is>
          <t>S1</t>
        </is>
      </c>
      <c r="B60" s="21" t="inlineStr">
        <is>
          <t>S1-ORD-030</t>
        </is>
      </c>
      <c r="C60" s="21" t="inlineStr">
        <is>
          <t>S1-ORD-030-P</t>
        </is>
      </c>
      <c r="D60" s="21" t="inlineStr">
        <is>
          <t>Pickup</t>
        </is>
      </c>
      <c r="E60" s="21" t="inlineStr">
        <is>
          <t>S1-ORD-030-D</t>
        </is>
      </c>
      <c r="F60" s="21" t="inlineStr">
        <is>
          <t>S1-ORD-030</t>
        </is>
      </c>
      <c r="G60" s="21" t="inlineStr">
        <is>
          <t>PK_LINFOX_VSIP</t>
        </is>
      </c>
      <c r="H60" s="21" t="inlineStr">
        <is>
          <t>Kho Linfox KCN VSIP Bắc Ninh</t>
        </is>
      </c>
      <c r="I60" s="21" t="inlineStr">
        <is>
          <t>Bắc Ninh</t>
        </is>
      </c>
      <c r="J60" s="21" t="inlineStr">
        <is>
          <t>Từ Sơn</t>
        </is>
      </c>
      <c r="K60" s="36" t="n">
        <v>21.082707</v>
      </c>
      <c r="L60" s="36" t="n">
        <v>105.997949</v>
      </c>
      <c r="M60" s="37" t="n">
        <v>480</v>
      </c>
      <c r="N60" s="37" t="n">
        <v>630</v>
      </c>
      <c r="O60" s="21" t="inlineStr">
        <is>
          <t>08:00</t>
        </is>
      </c>
      <c r="P60" s="21" t="inlineStr">
        <is>
          <t>10:30</t>
        </is>
      </c>
      <c r="Q60" s="22" t="n">
        <v>40</v>
      </c>
      <c r="R60" s="28" t="n">
        <v>4789</v>
      </c>
      <c r="S60" s="29" t="n">
        <v>12.42</v>
      </c>
      <c r="T60" s="21" t="inlineStr">
        <is>
          <t>5T</t>
        </is>
      </c>
      <c r="U60" s="21" t="inlineStr">
        <is>
          <t>5T</t>
        </is>
      </c>
      <c r="V60" s="21" t="inlineStr">
        <is>
          <t>Đông Bắc</t>
        </is>
      </c>
      <c r="W60" s="21" t="inlineStr">
        <is>
          <t>CR-ĐÔNG-01</t>
        </is>
      </c>
      <c r="X60" s="21" t="inlineStr">
        <is>
          <t>A - SLA chặt</t>
        </is>
      </c>
      <c r="Y60" s="31" t="n">
        <v>3350000</v>
      </c>
      <c r="Z60" s="28" t="n">
        <v>150000</v>
      </c>
      <c r="AA60" s="21" t="inlineStr">
        <is>
          <t>Yes</t>
        </is>
      </c>
      <c r="AB60" s="21" t="inlineStr">
        <is>
          <t>2026-06-05</t>
        </is>
      </c>
      <c r="AC60" s="21" t="inlineStr">
        <is>
          <t>Ready</t>
        </is>
      </c>
      <c r="AD60" s="21" t="inlineStr">
        <is>
          <t>Pickup must happen before paired delivery</t>
        </is>
      </c>
    </row>
    <row r="61" ht="18" customHeight="1" s="17">
      <c r="A61" s="23" t="inlineStr">
        <is>
          <t>S1</t>
        </is>
      </c>
      <c r="B61" s="23" t="inlineStr">
        <is>
          <t>S1-ORD-030</t>
        </is>
      </c>
      <c r="C61" s="23" t="inlineStr">
        <is>
          <t>S1-ORD-030-D</t>
        </is>
      </c>
      <c r="D61" s="23" t="inlineStr">
        <is>
          <t>Delivery</t>
        </is>
      </c>
      <c r="E61" s="23" t="inlineStr">
        <is>
          <t>S1-ORD-030-P</t>
        </is>
      </c>
      <c r="F61" s="23" t="inlineStr">
        <is>
          <t>S1-ORD-030</t>
        </is>
      </c>
      <c r="G61" s="23" t="inlineStr">
        <is>
          <t>DL_HP_SIEUTHI</t>
        </is>
      </c>
      <c r="H61" s="23" t="inlineStr">
        <is>
          <t>Siêu thị Hải Phòng</t>
        </is>
      </c>
      <c r="I61" s="23" t="inlineStr">
        <is>
          <t>Hải Phòng</t>
        </is>
      </c>
      <c r="J61" s="23" t="inlineStr">
        <is>
          <t>Gia Viên</t>
        </is>
      </c>
      <c r="K61" s="38" t="n">
        <v>20.84442</v>
      </c>
      <c r="L61" s="38" t="n">
        <v>106.7011</v>
      </c>
      <c r="M61" s="39" t="n">
        <v>676</v>
      </c>
      <c r="N61" s="39" t="n">
        <v>826</v>
      </c>
      <c r="O61" s="23" t="inlineStr">
        <is>
          <t>11:16</t>
        </is>
      </c>
      <c r="P61" s="23" t="inlineStr">
        <is>
          <t>13:46</t>
        </is>
      </c>
      <c r="Q61" s="24" t="n">
        <v>45</v>
      </c>
      <c r="R61" s="32" t="n">
        <v>-4789</v>
      </c>
      <c r="S61" s="33" t="n">
        <v>-12.42</v>
      </c>
      <c r="T61" s="23" t="inlineStr">
        <is>
          <t>5T</t>
        </is>
      </c>
      <c r="U61" s="23" t="inlineStr">
        <is>
          <t>5T</t>
        </is>
      </c>
      <c r="V61" s="23" t="inlineStr">
        <is>
          <t>Đông Bắc</t>
        </is>
      </c>
      <c r="W61" s="23" t="inlineStr">
        <is>
          <t>CR-ĐÔNG-01</t>
        </is>
      </c>
      <c r="X61" s="23" t="inlineStr">
        <is>
          <t>A - SLA chặt</t>
        </is>
      </c>
      <c r="Y61" s="35" t="n">
        <v>0</v>
      </c>
      <c r="Z61" s="32" t="n">
        <v>150000</v>
      </c>
      <c r="AA61" s="23" t="inlineStr">
        <is>
          <t>Yes</t>
        </is>
      </c>
      <c r="AB61" s="23" t="inlineStr">
        <is>
          <t>2026-06-05</t>
        </is>
      </c>
      <c r="AC61" s="23" t="inlineStr">
        <is>
          <t>Ready</t>
        </is>
      </c>
      <c r="AD61" s="23" t="inlineStr">
        <is>
          <t>Delivery paired with same order and same vehicle unless transshipment enabled</t>
        </is>
      </c>
    </row>
    <row r="62" ht="18" customHeight="1" s="17">
      <c r="A62" s="21" t="inlineStr">
        <is>
          <t>S2</t>
        </is>
      </c>
      <c r="B62" s="21" t="inlineStr">
        <is>
          <t>S2-ORD-001</t>
        </is>
      </c>
      <c r="C62" s="21" t="inlineStr">
        <is>
          <t>S2-ORD-001-P</t>
        </is>
      </c>
      <c r="D62" s="21" t="inlineStr">
        <is>
          <t>Pickup</t>
        </is>
      </c>
      <c r="E62" s="21" t="inlineStr">
        <is>
          <t>S2-ORD-001-D</t>
        </is>
      </c>
      <c r="F62" s="21" t="inlineStr">
        <is>
          <t>S2-ORD-001</t>
        </is>
      </c>
      <c r="G62" s="21" t="inlineStr">
        <is>
          <t>PK_LINFOX_VSIP</t>
        </is>
      </c>
      <c r="H62" s="21" t="inlineStr">
        <is>
          <t>Kho Linfox KCN VSIP Bắc Ninh</t>
        </is>
      </c>
      <c r="I62" s="21" t="inlineStr">
        <is>
          <t>Bắc Ninh</t>
        </is>
      </c>
      <c r="J62" s="21" t="inlineStr">
        <is>
          <t>Từ Sơn</t>
        </is>
      </c>
      <c r="K62" s="36" t="n">
        <v>21.082707</v>
      </c>
      <c r="L62" s="36" t="n">
        <v>105.997949</v>
      </c>
      <c r="M62" s="37" t="n">
        <v>480</v>
      </c>
      <c r="N62" s="37" t="n">
        <v>570</v>
      </c>
      <c r="O62" s="21" t="inlineStr">
        <is>
          <t>08:00</t>
        </is>
      </c>
      <c r="P62" s="21" t="inlineStr">
        <is>
          <t>09:30</t>
        </is>
      </c>
      <c r="Q62" s="22" t="n">
        <v>25</v>
      </c>
      <c r="R62" s="28" t="n">
        <v>371</v>
      </c>
      <c r="S62" s="29" t="n">
        <v>0.67</v>
      </c>
      <c r="T62" s="21" t="inlineStr">
        <is>
          <t>5 tạ</t>
        </is>
      </c>
      <c r="U62" s="21" t="inlineStr">
        <is>
          <t>1.25T</t>
        </is>
      </c>
      <c r="V62" s="21" t="inlineStr">
        <is>
          <t>Nội thành Hà Nội</t>
        </is>
      </c>
      <c r="W62" s="21" t="inlineStr">
        <is>
          <t>CR-NỘIT-02</t>
        </is>
      </c>
      <c r="X62" s="21" t="inlineStr">
        <is>
          <t>A - SLA chặt</t>
        </is>
      </c>
      <c r="Y62" s="31" t="n">
        <v>480000</v>
      </c>
      <c r="Z62" s="28" t="n">
        <v>150000</v>
      </c>
      <c r="AA62" s="21" t="inlineStr">
        <is>
          <t>Yes</t>
        </is>
      </c>
      <c r="AB62" s="21" t="inlineStr">
        <is>
          <t>2026-06-05</t>
        </is>
      </c>
      <c r="AC62" s="21" t="inlineStr">
        <is>
          <t>Ready</t>
        </is>
      </c>
      <c r="AD62" s="21" t="inlineStr">
        <is>
          <t>Pickup must happen before paired delivery</t>
        </is>
      </c>
    </row>
    <row r="63" ht="18" customHeight="1" s="17">
      <c r="A63" s="23" t="inlineStr">
        <is>
          <t>S2</t>
        </is>
      </c>
      <c r="B63" s="23" t="inlineStr">
        <is>
          <t>S2-ORD-001</t>
        </is>
      </c>
      <c r="C63" s="23" t="inlineStr">
        <is>
          <t>S2-ORD-001-D</t>
        </is>
      </c>
      <c r="D63" s="23" t="inlineStr">
        <is>
          <t>Delivery</t>
        </is>
      </c>
      <c r="E63" s="23" t="inlineStr">
        <is>
          <t>S2-ORD-001-P</t>
        </is>
      </c>
      <c r="F63" s="23" t="inlineStr">
        <is>
          <t>S2-ORD-001</t>
        </is>
      </c>
      <c r="G63" s="23" t="inlineStr">
        <is>
          <t>DL_HN_AKJUKY</t>
        </is>
      </c>
      <c r="H63" s="23" t="inlineStr">
        <is>
          <t>AKJUKY</t>
        </is>
      </c>
      <c r="I63" s="23" t="inlineStr">
        <is>
          <t>Hà Nội</t>
        </is>
      </c>
      <c r="J63" s="23" t="inlineStr">
        <is>
          <t>Long Biên</t>
        </is>
      </c>
      <c r="K63" s="38" t="n">
        <v>21.063695</v>
      </c>
      <c r="L63" s="38" t="n">
        <v>105.889986</v>
      </c>
      <c r="M63" s="39" t="n">
        <v>588</v>
      </c>
      <c r="N63" s="39" t="n">
        <v>768</v>
      </c>
      <c r="O63" s="23" t="inlineStr">
        <is>
          <t>09:48</t>
        </is>
      </c>
      <c r="P63" s="23" t="inlineStr">
        <is>
          <t>12:48</t>
        </is>
      </c>
      <c r="Q63" s="24" t="n">
        <v>20</v>
      </c>
      <c r="R63" s="32" t="n">
        <v>-371</v>
      </c>
      <c r="S63" s="33" t="n">
        <v>-0.67</v>
      </c>
      <c r="T63" s="23" t="inlineStr">
        <is>
          <t>5 tạ</t>
        </is>
      </c>
      <c r="U63" s="23" t="inlineStr">
        <is>
          <t>1.25T</t>
        </is>
      </c>
      <c r="V63" s="23" t="inlineStr">
        <is>
          <t>Nội thành Hà Nội</t>
        </is>
      </c>
      <c r="W63" s="23" t="inlineStr">
        <is>
          <t>CR-NỘIT-02</t>
        </is>
      </c>
      <c r="X63" s="23" t="inlineStr">
        <is>
          <t>A - SLA chặt</t>
        </is>
      </c>
      <c r="Y63" s="35" t="n">
        <v>0</v>
      </c>
      <c r="Z63" s="32" t="n">
        <v>150000</v>
      </c>
      <c r="AA63" s="23" t="inlineStr">
        <is>
          <t>Yes</t>
        </is>
      </c>
      <c r="AB63" s="23" t="inlineStr">
        <is>
          <t>2026-06-05</t>
        </is>
      </c>
      <c r="AC63" s="23" t="inlineStr">
        <is>
          <t>Ready</t>
        </is>
      </c>
      <c r="AD63" s="23" t="inlineStr">
        <is>
          <t>Delivery paired with same order and same vehicle unless transshipment enabled</t>
        </is>
      </c>
    </row>
    <row r="64" ht="18" customHeight="1" s="17">
      <c r="A64" s="21" t="inlineStr">
        <is>
          <t>S2</t>
        </is>
      </c>
      <c r="B64" s="21" t="inlineStr">
        <is>
          <t>S2-ORD-002</t>
        </is>
      </c>
      <c r="C64" s="21" t="inlineStr">
        <is>
          <t>S2-ORD-002-P</t>
        </is>
      </c>
      <c r="D64" s="21" t="inlineStr">
        <is>
          <t>Pickup</t>
        </is>
      </c>
      <c r="E64" s="21" t="inlineStr">
        <is>
          <t>S2-ORD-002-D</t>
        </is>
      </c>
      <c r="F64" s="21" t="inlineStr">
        <is>
          <t>S2-ORD-002</t>
        </is>
      </c>
      <c r="G64" s="21" t="inlineStr">
        <is>
          <t>PK_HPL_LB</t>
        </is>
      </c>
      <c r="H64" s="21" t="inlineStr">
        <is>
          <t>HPL Depot Long Biên - 20 Thạch Bàn</t>
        </is>
      </c>
      <c r="I64" s="21" t="inlineStr">
        <is>
          <t>Hà Nội</t>
        </is>
      </c>
      <c r="J64" s="21" t="inlineStr">
        <is>
          <t>Long Biên</t>
        </is>
      </c>
      <c r="K64" s="36" t="n">
        <v>21.0261548385</v>
      </c>
      <c r="L64" s="36" t="n">
        <v>105.914182238</v>
      </c>
      <c r="M64" s="37" t="n">
        <v>480</v>
      </c>
      <c r="N64" s="37" t="n">
        <v>630</v>
      </c>
      <c r="O64" s="21" t="inlineStr">
        <is>
          <t>08:00</t>
        </is>
      </c>
      <c r="P64" s="21" t="inlineStr">
        <is>
          <t>10:30</t>
        </is>
      </c>
      <c r="Q64" s="22" t="n">
        <v>25</v>
      </c>
      <c r="R64" s="28" t="n">
        <v>386</v>
      </c>
      <c r="S64" s="29" t="n">
        <v>1.11</v>
      </c>
      <c r="T64" s="21" t="inlineStr">
        <is>
          <t>5 tạ</t>
        </is>
      </c>
      <c r="U64" s="21" t="inlineStr">
        <is>
          <t>1.25T</t>
        </is>
      </c>
      <c r="V64" s="21" t="inlineStr">
        <is>
          <t>Nội thành Hà Nội</t>
        </is>
      </c>
      <c r="W64" s="21" t="inlineStr">
        <is>
          <t>CR-NỘIT-03</t>
        </is>
      </c>
      <c r="X64" s="21" t="inlineStr">
        <is>
          <t>A - SLA chặt</t>
        </is>
      </c>
      <c r="Y64" s="31" t="n">
        <v>830000</v>
      </c>
      <c r="Z64" s="28" t="n">
        <v>150000</v>
      </c>
      <c r="AA64" s="21" t="inlineStr">
        <is>
          <t>Yes</t>
        </is>
      </c>
      <c r="AB64" s="21" t="inlineStr">
        <is>
          <t>2026-06-05</t>
        </is>
      </c>
      <c r="AC64" s="21" t="inlineStr">
        <is>
          <t>Ready</t>
        </is>
      </c>
      <c r="AD64" s="21" t="inlineStr">
        <is>
          <t>Pickup must happen before paired delivery</t>
        </is>
      </c>
    </row>
    <row r="65" ht="18" customHeight="1" s="17">
      <c r="A65" s="23" t="inlineStr">
        <is>
          <t>S2</t>
        </is>
      </c>
      <c r="B65" s="23" t="inlineStr">
        <is>
          <t>S2-ORD-002</t>
        </is>
      </c>
      <c r="C65" s="23" t="inlineStr">
        <is>
          <t>S2-ORD-002-D</t>
        </is>
      </c>
      <c r="D65" s="23" t="inlineStr">
        <is>
          <t>Delivery</t>
        </is>
      </c>
      <c r="E65" s="23" t="inlineStr">
        <is>
          <t>S2-ORD-002-P</t>
        </is>
      </c>
      <c r="F65" s="23" t="inlineStr">
        <is>
          <t>S2-ORD-002</t>
        </is>
      </c>
      <c r="G65" s="23" t="inlineStr">
        <is>
          <t>DL_HN_ROYAL</t>
        </is>
      </c>
      <c r="H65" s="23" t="inlineStr">
        <is>
          <t>VINMART Royal City</t>
        </is>
      </c>
      <c r="I65" s="23" t="inlineStr">
        <is>
          <t>Hà Nội</t>
        </is>
      </c>
      <c r="J65" s="23" t="inlineStr">
        <is>
          <t>Thanh Xuân</t>
        </is>
      </c>
      <c r="K65" s="38" t="n">
        <v>21.003388</v>
      </c>
      <c r="L65" s="38" t="n">
        <v>105.816212</v>
      </c>
      <c r="M65" s="39" t="n">
        <v>587</v>
      </c>
      <c r="N65" s="39" t="n">
        <v>737</v>
      </c>
      <c r="O65" s="23" t="inlineStr">
        <is>
          <t>09:47</t>
        </is>
      </c>
      <c r="P65" s="23" t="inlineStr">
        <is>
          <t>12:17</t>
        </is>
      </c>
      <c r="Q65" s="24" t="n">
        <v>30</v>
      </c>
      <c r="R65" s="32" t="n">
        <v>-386</v>
      </c>
      <c r="S65" s="33" t="n">
        <v>-1.11</v>
      </c>
      <c r="T65" s="23" t="inlineStr">
        <is>
          <t>5 tạ</t>
        </is>
      </c>
      <c r="U65" s="23" t="inlineStr">
        <is>
          <t>1.25T</t>
        </is>
      </c>
      <c r="V65" s="23" t="inlineStr">
        <is>
          <t>Nội thành Hà Nội</t>
        </is>
      </c>
      <c r="W65" s="23" t="inlineStr">
        <is>
          <t>CR-NỘIT-03</t>
        </is>
      </c>
      <c r="X65" s="23" t="inlineStr">
        <is>
          <t>A - SLA chặt</t>
        </is>
      </c>
      <c r="Y65" s="35" t="n">
        <v>0</v>
      </c>
      <c r="Z65" s="32" t="n">
        <v>150000</v>
      </c>
      <c r="AA65" s="23" t="inlineStr">
        <is>
          <t>Yes</t>
        </is>
      </c>
      <c r="AB65" s="23" t="inlineStr">
        <is>
          <t>2026-06-05</t>
        </is>
      </c>
      <c r="AC65" s="23" t="inlineStr">
        <is>
          <t>Ready</t>
        </is>
      </c>
      <c r="AD65" s="23" t="inlineStr">
        <is>
          <t>Delivery paired with same order and same vehicle unless transshipment enabled</t>
        </is>
      </c>
    </row>
    <row r="66" ht="18" customHeight="1" s="17">
      <c r="A66" s="21" t="inlineStr">
        <is>
          <t>S2</t>
        </is>
      </c>
      <c r="B66" s="21" t="inlineStr">
        <is>
          <t>S2-ORD-003</t>
        </is>
      </c>
      <c r="C66" s="21" t="inlineStr">
        <is>
          <t>S2-ORD-003-P</t>
        </is>
      </c>
      <c r="D66" s="21" t="inlineStr">
        <is>
          <t>Pickup</t>
        </is>
      </c>
      <c r="E66" s="21" t="inlineStr">
        <is>
          <t>S2-ORD-003-D</t>
        </is>
      </c>
      <c r="F66" s="21" t="inlineStr">
        <is>
          <t>S2-ORD-003</t>
        </is>
      </c>
      <c r="G66" s="21" t="inlineStr">
        <is>
          <t>PK_HPL_LB</t>
        </is>
      </c>
      <c r="H66" s="21" t="inlineStr">
        <is>
          <t>HPL Depot Long Biên - 20 Thạch Bàn</t>
        </is>
      </c>
      <c r="I66" s="21" t="inlineStr">
        <is>
          <t>Hà Nội</t>
        </is>
      </c>
      <c r="J66" s="21" t="inlineStr">
        <is>
          <t>Long Biên</t>
        </is>
      </c>
      <c r="K66" s="36" t="n">
        <v>21.0261548385</v>
      </c>
      <c r="L66" s="36" t="n">
        <v>105.914182238</v>
      </c>
      <c r="M66" s="37" t="n">
        <v>480</v>
      </c>
      <c r="N66" s="37" t="n">
        <v>630</v>
      </c>
      <c r="O66" s="21" t="inlineStr">
        <is>
          <t>08:00</t>
        </is>
      </c>
      <c r="P66" s="21" t="inlineStr">
        <is>
          <t>10:30</t>
        </is>
      </c>
      <c r="Q66" s="22" t="n">
        <v>40</v>
      </c>
      <c r="R66" s="28" t="n">
        <v>1914</v>
      </c>
      <c r="S66" s="29" t="n">
        <v>5.15</v>
      </c>
      <c r="T66" s="21" t="inlineStr">
        <is>
          <t>5T</t>
        </is>
      </c>
      <c r="U66" s="21" t="inlineStr">
        <is>
          <t>8T</t>
        </is>
      </c>
      <c r="V66" s="21" t="inlineStr">
        <is>
          <t>Đông Bắc</t>
        </is>
      </c>
      <c r="W66" s="21" t="inlineStr">
        <is>
          <t>CR-ĐÔNG-04</t>
        </is>
      </c>
      <c r="X66" s="21" t="inlineStr">
        <is>
          <t>A - SLA chặt</t>
        </is>
      </c>
      <c r="Y66" s="31" t="n">
        <v>1050000</v>
      </c>
      <c r="Z66" s="28" t="n">
        <v>150000</v>
      </c>
      <c r="AA66" s="21" t="inlineStr">
        <is>
          <t>Yes</t>
        </is>
      </c>
      <c r="AB66" s="21" t="inlineStr">
        <is>
          <t>2026-06-05</t>
        </is>
      </c>
      <c r="AC66" s="21" t="inlineStr">
        <is>
          <t>Ready</t>
        </is>
      </c>
      <c r="AD66" s="21" t="inlineStr">
        <is>
          <t>Pickup must happen before paired delivery</t>
        </is>
      </c>
    </row>
    <row r="67" ht="18" customHeight="1" s="17">
      <c r="A67" s="23" t="inlineStr">
        <is>
          <t>S2</t>
        </is>
      </c>
      <c r="B67" s="23" t="inlineStr">
        <is>
          <t>S2-ORD-003</t>
        </is>
      </c>
      <c r="C67" s="23" t="inlineStr">
        <is>
          <t>S2-ORD-003-D</t>
        </is>
      </c>
      <c r="D67" s="23" t="inlineStr">
        <is>
          <t>Delivery</t>
        </is>
      </c>
      <c r="E67" s="23" t="inlineStr">
        <is>
          <t>S2-ORD-003-P</t>
        </is>
      </c>
      <c r="F67" s="23" t="inlineStr">
        <is>
          <t>S2-ORD-003</t>
        </is>
      </c>
      <c r="G67" s="23" t="inlineStr">
        <is>
          <t>DL_HD_SIEUTHI</t>
        </is>
      </c>
      <c r="H67" s="23" t="inlineStr">
        <is>
          <t>Siêu thị Hải Dương</t>
        </is>
      </c>
      <c r="I67" s="23" t="inlineStr">
        <is>
          <t>Hải Phòng</t>
        </is>
      </c>
      <c r="J67" s="23" t="inlineStr">
        <is>
          <t>Hải Dương</t>
        </is>
      </c>
      <c r="K67" s="38" t="n">
        <v>20.937341</v>
      </c>
      <c r="L67" s="38" t="n">
        <v>106.314555</v>
      </c>
      <c r="M67" s="39" t="n">
        <v>651</v>
      </c>
      <c r="N67" s="39" t="n">
        <v>831</v>
      </c>
      <c r="O67" s="23" t="inlineStr">
        <is>
          <t>10:51</t>
        </is>
      </c>
      <c r="P67" s="23" t="inlineStr">
        <is>
          <t>13:51</t>
        </is>
      </c>
      <c r="Q67" s="24" t="n">
        <v>35</v>
      </c>
      <c r="R67" s="32" t="n">
        <v>-1914</v>
      </c>
      <c r="S67" s="33" t="n">
        <v>-5.15</v>
      </c>
      <c r="T67" s="23" t="inlineStr">
        <is>
          <t>5T</t>
        </is>
      </c>
      <c r="U67" s="23" t="inlineStr">
        <is>
          <t>8T</t>
        </is>
      </c>
      <c r="V67" s="23" t="inlineStr">
        <is>
          <t>Đông Bắc</t>
        </is>
      </c>
      <c r="W67" s="23" t="inlineStr">
        <is>
          <t>CR-ĐÔNG-04</t>
        </is>
      </c>
      <c r="X67" s="23" t="inlineStr">
        <is>
          <t>A - SLA chặt</t>
        </is>
      </c>
      <c r="Y67" s="35" t="n">
        <v>0</v>
      </c>
      <c r="Z67" s="32" t="n">
        <v>150000</v>
      </c>
      <c r="AA67" s="23" t="inlineStr">
        <is>
          <t>Yes</t>
        </is>
      </c>
      <c r="AB67" s="23" t="inlineStr">
        <is>
          <t>2026-06-05</t>
        </is>
      </c>
      <c r="AC67" s="23" t="inlineStr">
        <is>
          <t>Ready</t>
        </is>
      </c>
      <c r="AD67" s="23" t="inlineStr">
        <is>
          <t>Delivery paired with same order and same vehicle unless transshipment enabled</t>
        </is>
      </c>
    </row>
    <row r="68" ht="18" customHeight="1" s="17">
      <c r="A68" s="21" t="inlineStr">
        <is>
          <t>S2</t>
        </is>
      </c>
      <c r="B68" s="21" t="inlineStr">
        <is>
          <t>S2-ORD-004</t>
        </is>
      </c>
      <c r="C68" s="21" t="inlineStr">
        <is>
          <t>S2-ORD-004-P</t>
        </is>
      </c>
      <c r="D68" s="21" t="inlineStr">
        <is>
          <t>Pickup</t>
        </is>
      </c>
      <c r="E68" s="21" t="inlineStr">
        <is>
          <t>S2-ORD-004-D</t>
        </is>
      </c>
      <c r="F68" s="21" t="inlineStr">
        <is>
          <t>S2-ORD-004</t>
        </is>
      </c>
      <c r="G68" s="21" t="inlineStr">
        <is>
          <t>PK_LINFOX_VSIP</t>
        </is>
      </c>
      <c r="H68" s="21" t="inlineStr">
        <is>
          <t>Kho Linfox KCN VSIP Bắc Ninh</t>
        </is>
      </c>
      <c r="I68" s="21" t="inlineStr">
        <is>
          <t>Bắc Ninh</t>
        </is>
      </c>
      <c r="J68" s="21" t="inlineStr">
        <is>
          <t>Từ Sơn</t>
        </is>
      </c>
      <c r="K68" s="36" t="n">
        <v>21.082707</v>
      </c>
      <c r="L68" s="36" t="n">
        <v>105.997949</v>
      </c>
      <c r="M68" s="37" t="n">
        <v>480</v>
      </c>
      <c r="N68" s="37" t="n">
        <v>570</v>
      </c>
      <c r="O68" s="21" t="inlineStr">
        <is>
          <t>08:00</t>
        </is>
      </c>
      <c r="P68" s="21" t="inlineStr">
        <is>
          <t>09:30</t>
        </is>
      </c>
      <c r="Q68" s="22" t="n">
        <v>40</v>
      </c>
      <c r="R68" s="28" t="n">
        <v>1286</v>
      </c>
      <c r="S68" s="29" t="n">
        <v>2.73</v>
      </c>
      <c r="T68" s="21" t="inlineStr">
        <is>
          <t>5T</t>
        </is>
      </c>
      <c r="U68" s="21" t="inlineStr">
        <is>
          <t>1.25T</t>
        </is>
      </c>
      <c r="V68" s="21" t="inlineStr">
        <is>
          <t>Nội thành Hà Nội</t>
        </is>
      </c>
      <c r="W68" s="21" t="inlineStr">
        <is>
          <t>CR-NỘIT-05</t>
        </is>
      </c>
      <c r="X68" s="21" t="inlineStr">
        <is>
          <t>A - SLA chặt</t>
        </is>
      </c>
      <c r="Y68" s="31" t="n">
        <v>800000</v>
      </c>
      <c r="Z68" s="28" t="n">
        <v>150000</v>
      </c>
      <c r="AA68" s="21" t="inlineStr">
        <is>
          <t>Yes</t>
        </is>
      </c>
      <c r="AB68" s="21" t="inlineStr">
        <is>
          <t>2026-06-05</t>
        </is>
      </c>
      <c r="AC68" s="21" t="inlineStr">
        <is>
          <t>Review</t>
        </is>
      </c>
      <c r="AD68" s="21" t="inlineStr">
        <is>
          <t>Pickup must happen before paired delivery</t>
        </is>
      </c>
    </row>
    <row r="69" ht="18" customHeight="1" s="17">
      <c r="A69" s="23" t="inlineStr">
        <is>
          <t>S2</t>
        </is>
      </c>
      <c r="B69" s="23" t="inlineStr">
        <is>
          <t>S2-ORD-004</t>
        </is>
      </c>
      <c r="C69" s="23" t="inlineStr">
        <is>
          <t>S2-ORD-004-D</t>
        </is>
      </c>
      <c r="D69" s="23" t="inlineStr">
        <is>
          <t>Delivery</t>
        </is>
      </c>
      <c r="E69" s="23" t="inlineStr">
        <is>
          <t>S2-ORD-004-P</t>
        </is>
      </c>
      <c r="F69" s="23" t="inlineStr">
        <is>
          <t>S2-ORD-004</t>
        </is>
      </c>
      <c r="G69" s="23" t="inlineStr">
        <is>
          <t>DL_HN_THAIDUONG</t>
        </is>
      </c>
      <c r="H69" s="23" t="inlineStr">
        <is>
          <t>Thái Dương</t>
        </is>
      </c>
      <c r="I69" s="23" t="inlineStr">
        <is>
          <t>Hà Nội</t>
        </is>
      </c>
      <c r="J69" s="23" t="inlineStr">
        <is>
          <t>Hà Nội</t>
        </is>
      </c>
      <c r="K69" s="38" t="n">
        <v>20.929215</v>
      </c>
      <c r="L69" s="38" t="n">
        <v>105.869998</v>
      </c>
      <c r="M69" s="39" t="n">
        <v>657</v>
      </c>
      <c r="N69" s="39" t="n">
        <v>747</v>
      </c>
      <c r="O69" s="23" t="inlineStr">
        <is>
          <t>10:57</t>
        </is>
      </c>
      <c r="P69" s="23" t="inlineStr">
        <is>
          <t>12:27</t>
        </is>
      </c>
      <c r="Q69" s="24" t="n">
        <v>35</v>
      </c>
      <c r="R69" s="32" t="n">
        <v>-1286</v>
      </c>
      <c r="S69" s="33" t="n">
        <v>-2.73</v>
      </c>
      <c r="T69" s="23" t="inlineStr">
        <is>
          <t>5T</t>
        </is>
      </c>
      <c r="U69" s="23" t="inlineStr">
        <is>
          <t>1.25T</t>
        </is>
      </c>
      <c r="V69" s="23" t="inlineStr">
        <is>
          <t>Nội thành Hà Nội</t>
        </is>
      </c>
      <c r="W69" s="23" t="inlineStr">
        <is>
          <t>CR-NỘIT-05</t>
        </is>
      </c>
      <c r="X69" s="23" t="inlineStr">
        <is>
          <t>A - SLA chặt</t>
        </is>
      </c>
      <c r="Y69" s="35" t="n">
        <v>0</v>
      </c>
      <c r="Z69" s="32" t="n">
        <v>150000</v>
      </c>
      <c r="AA69" s="23" t="inlineStr">
        <is>
          <t>Yes</t>
        </is>
      </c>
      <c r="AB69" s="23" t="inlineStr">
        <is>
          <t>2026-06-05</t>
        </is>
      </c>
      <c r="AC69" s="23" t="inlineStr">
        <is>
          <t>Review</t>
        </is>
      </c>
      <c r="AD69" s="23" t="inlineStr">
        <is>
          <t>Delivery paired with same order and same vehicle unless transshipment enabled</t>
        </is>
      </c>
    </row>
    <row r="70" ht="18" customHeight="1" s="17">
      <c r="A70" s="21" t="inlineStr">
        <is>
          <t>S2</t>
        </is>
      </c>
      <c r="B70" s="21" t="inlineStr">
        <is>
          <t>S2-ORD-005</t>
        </is>
      </c>
      <c r="C70" s="21" t="inlineStr">
        <is>
          <t>S2-ORD-005-P</t>
        </is>
      </c>
      <c r="D70" s="21" t="inlineStr">
        <is>
          <t>Pickup</t>
        </is>
      </c>
      <c r="E70" s="21" t="inlineStr">
        <is>
          <t>S2-ORD-005-D</t>
        </is>
      </c>
      <c r="F70" s="21" t="inlineStr">
        <is>
          <t>S2-ORD-005</t>
        </is>
      </c>
      <c r="G70" s="21" t="inlineStr">
        <is>
          <t>PK_LINFOX_VSIP</t>
        </is>
      </c>
      <c r="H70" s="21" t="inlineStr">
        <is>
          <t>Kho Linfox KCN VSIP Bắc Ninh</t>
        </is>
      </c>
      <c r="I70" s="21" t="inlineStr">
        <is>
          <t>Bắc Ninh</t>
        </is>
      </c>
      <c r="J70" s="21" t="inlineStr">
        <is>
          <t>Từ Sơn</t>
        </is>
      </c>
      <c r="K70" s="36" t="n">
        <v>21.082707</v>
      </c>
      <c r="L70" s="36" t="n">
        <v>105.997949</v>
      </c>
      <c r="M70" s="37" t="n">
        <v>450</v>
      </c>
      <c r="N70" s="37" t="n">
        <v>570</v>
      </c>
      <c r="O70" s="21" t="inlineStr">
        <is>
          <t>07:30</t>
        </is>
      </c>
      <c r="P70" s="21" t="inlineStr">
        <is>
          <t>09:30</t>
        </is>
      </c>
      <c r="Q70" s="22" t="n">
        <v>25</v>
      </c>
      <c r="R70" s="28" t="n">
        <v>925</v>
      </c>
      <c r="S70" s="29" t="n">
        <v>2.41</v>
      </c>
      <c r="T70" s="21" t="inlineStr">
        <is>
          <t>1.25T</t>
        </is>
      </c>
      <c r="U70" s="21" t="inlineStr">
        <is>
          <t>1.25T</t>
        </is>
      </c>
      <c r="V70" s="21" t="inlineStr">
        <is>
          <t>Nội thành Hà Nội</t>
        </is>
      </c>
      <c r="W70" s="21" t="inlineStr">
        <is>
          <t>CR-NỘIT-01</t>
        </is>
      </c>
      <c r="X70" s="21" t="inlineStr">
        <is>
          <t>B - Thường</t>
        </is>
      </c>
      <c r="Y70" s="31" t="n">
        <v>760000</v>
      </c>
      <c r="Z70" s="28" t="n">
        <v>80000</v>
      </c>
      <c r="AA70" s="21" t="inlineStr">
        <is>
          <t>Yes</t>
        </is>
      </c>
      <c r="AB70" s="21" t="inlineStr">
        <is>
          <t>2026-06-05</t>
        </is>
      </c>
      <c r="AC70" s="21" t="inlineStr">
        <is>
          <t>Ready</t>
        </is>
      </c>
      <c r="AD70" s="21" t="inlineStr">
        <is>
          <t>Pickup must happen before paired delivery</t>
        </is>
      </c>
    </row>
    <row r="71" ht="18" customHeight="1" s="17">
      <c r="A71" s="23" t="inlineStr">
        <is>
          <t>S2</t>
        </is>
      </c>
      <c r="B71" s="23" t="inlineStr">
        <is>
          <t>S2-ORD-005</t>
        </is>
      </c>
      <c r="C71" s="23" t="inlineStr">
        <is>
          <t>S2-ORD-005-D</t>
        </is>
      </c>
      <c r="D71" s="23" t="inlineStr">
        <is>
          <t>Delivery</t>
        </is>
      </c>
      <c r="E71" s="23" t="inlineStr">
        <is>
          <t>S2-ORD-005-P</t>
        </is>
      </c>
      <c r="F71" s="23" t="inlineStr">
        <is>
          <t>S2-ORD-005</t>
        </is>
      </c>
      <c r="G71" s="23" t="inlineStr">
        <is>
          <t>DL_HN_BACTULIEM</t>
        </is>
      </c>
      <c r="H71" s="23" t="inlineStr">
        <is>
          <t>VINMART Bắc Từ Liêm</t>
        </is>
      </c>
      <c r="I71" s="23" t="inlineStr">
        <is>
          <t>Hà Nội</t>
        </is>
      </c>
      <c r="J71" s="23" t="inlineStr">
        <is>
          <t>Bắc Từ Liêm</t>
        </is>
      </c>
      <c r="K71" s="38" t="n">
        <v>21.052701</v>
      </c>
      <c r="L71" s="38" t="n">
        <v>105.780729</v>
      </c>
      <c r="M71" s="39" t="n">
        <v>559</v>
      </c>
      <c r="N71" s="39" t="n">
        <v>739</v>
      </c>
      <c r="O71" s="23" t="inlineStr">
        <is>
          <t>09:19</t>
        </is>
      </c>
      <c r="P71" s="23" t="inlineStr">
        <is>
          <t>12:19</t>
        </is>
      </c>
      <c r="Q71" s="24" t="n">
        <v>20</v>
      </c>
      <c r="R71" s="32" t="n">
        <v>-925</v>
      </c>
      <c r="S71" s="33" t="n">
        <v>-2.41</v>
      </c>
      <c r="T71" s="23" t="inlineStr">
        <is>
          <t>1.25T</t>
        </is>
      </c>
      <c r="U71" s="23" t="inlineStr">
        <is>
          <t>1.25T</t>
        </is>
      </c>
      <c r="V71" s="23" t="inlineStr">
        <is>
          <t>Nội thành Hà Nội</t>
        </is>
      </c>
      <c r="W71" s="23" t="inlineStr">
        <is>
          <t>CR-NỘIT-01</t>
        </is>
      </c>
      <c r="X71" s="23" t="inlineStr">
        <is>
          <t>B - Thường</t>
        </is>
      </c>
      <c r="Y71" s="35" t="n">
        <v>0</v>
      </c>
      <c r="Z71" s="32" t="n">
        <v>80000</v>
      </c>
      <c r="AA71" s="23" t="inlineStr">
        <is>
          <t>Yes</t>
        </is>
      </c>
      <c r="AB71" s="23" t="inlineStr">
        <is>
          <t>2026-06-05</t>
        </is>
      </c>
      <c r="AC71" s="23" t="inlineStr">
        <is>
          <t>Ready</t>
        </is>
      </c>
      <c r="AD71" s="23" t="inlineStr">
        <is>
          <t>Delivery paired with same order and same vehicle unless transshipment enabled</t>
        </is>
      </c>
    </row>
    <row r="72" ht="18" customHeight="1" s="17">
      <c r="A72" s="21" t="inlineStr">
        <is>
          <t>S2</t>
        </is>
      </c>
      <c r="B72" s="21" t="inlineStr">
        <is>
          <t>S2-ORD-006</t>
        </is>
      </c>
      <c r="C72" s="21" t="inlineStr">
        <is>
          <t>S2-ORD-006-P</t>
        </is>
      </c>
      <c r="D72" s="21" t="inlineStr">
        <is>
          <t>Pickup</t>
        </is>
      </c>
      <c r="E72" s="21" t="inlineStr">
        <is>
          <t>S2-ORD-006-D</t>
        </is>
      </c>
      <c r="F72" s="21" t="inlineStr">
        <is>
          <t>S2-ORD-006</t>
        </is>
      </c>
      <c r="G72" s="21" t="inlineStr">
        <is>
          <t>PK_HY_MYHAO</t>
        </is>
      </c>
      <c r="H72" s="21" t="inlineStr">
        <is>
          <t>Kho/Nhà máy khách hàng Mỹ Hào</t>
        </is>
      </c>
      <c r="I72" s="21" t="inlineStr">
        <is>
          <t>Hưng Yên</t>
        </is>
      </c>
      <c r="J72" s="21" t="inlineStr">
        <is>
          <t>Mỹ Hào</t>
        </is>
      </c>
      <c r="K72" s="36" t="n">
        <v>20.9329</v>
      </c>
      <c r="L72" s="36" t="n">
        <v>106.065</v>
      </c>
      <c r="M72" s="37" t="n">
        <v>540</v>
      </c>
      <c r="N72" s="37" t="n">
        <v>690</v>
      </c>
      <c r="O72" s="21" t="inlineStr">
        <is>
          <t>09:00</t>
        </is>
      </c>
      <c r="P72" s="21" t="inlineStr">
        <is>
          <t>11:30</t>
        </is>
      </c>
      <c r="Q72" s="22" t="n">
        <v>25</v>
      </c>
      <c r="R72" s="28" t="n">
        <v>221</v>
      </c>
      <c r="S72" s="29" t="n">
        <v>1.08</v>
      </c>
      <c r="T72" s="21" t="inlineStr">
        <is>
          <t>5 tạ</t>
        </is>
      </c>
      <c r="U72" s="21" t="inlineStr">
        <is>
          <t>1.25T</t>
        </is>
      </c>
      <c r="V72" s="21" t="inlineStr">
        <is>
          <t>Nội thành Hà Nội</t>
        </is>
      </c>
      <c r="W72" s="21" t="inlineStr">
        <is>
          <t>CR-NỘIT-02</t>
        </is>
      </c>
      <c r="X72" s="21" t="inlineStr">
        <is>
          <t>A - SLA chặt</t>
        </is>
      </c>
      <c r="Y72" s="31" t="n">
        <v>490000</v>
      </c>
      <c r="Z72" s="28" t="n">
        <v>150000</v>
      </c>
      <c r="AA72" s="21" t="inlineStr">
        <is>
          <t>Yes</t>
        </is>
      </c>
      <c r="AB72" s="21" t="inlineStr">
        <is>
          <t>2026-06-05</t>
        </is>
      </c>
      <c r="AC72" s="21" t="inlineStr">
        <is>
          <t>Ready</t>
        </is>
      </c>
      <c r="AD72" s="21" t="inlineStr">
        <is>
          <t>Pickup must happen before paired delivery</t>
        </is>
      </c>
    </row>
    <row r="73" ht="18" customHeight="1" s="17">
      <c r="A73" s="23" t="inlineStr">
        <is>
          <t>S2</t>
        </is>
      </c>
      <c r="B73" s="23" t="inlineStr">
        <is>
          <t>S2-ORD-006</t>
        </is>
      </c>
      <c r="C73" s="23" t="inlineStr">
        <is>
          <t>S2-ORD-006-D</t>
        </is>
      </c>
      <c r="D73" s="23" t="inlineStr">
        <is>
          <t>Delivery</t>
        </is>
      </c>
      <c r="E73" s="23" t="inlineStr">
        <is>
          <t>S2-ORD-006-P</t>
        </is>
      </c>
      <c r="F73" s="23" t="inlineStr">
        <is>
          <t>S2-ORD-006</t>
        </is>
      </c>
      <c r="G73" s="23" t="inlineStr">
        <is>
          <t>DL_HN_TIMESCITY</t>
        </is>
      </c>
      <c r="H73" s="23" t="inlineStr">
        <is>
          <t>VINMART Times City</t>
        </is>
      </c>
      <c r="I73" s="23" t="inlineStr">
        <is>
          <t>Hà Nội</t>
        </is>
      </c>
      <c r="J73" s="23" t="inlineStr">
        <is>
          <t>Hai Bà Trưng</t>
        </is>
      </c>
      <c r="K73" s="38" t="n">
        <v>20.994022</v>
      </c>
      <c r="L73" s="38" t="n">
        <v>105.869639</v>
      </c>
      <c r="M73" s="39" t="n">
        <v>711</v>
      </c>
      <c r="N73" s="39" t="n">
        <v>831</v>
      </c>
      <c r="O73" s="23" t="inlineStr">
        <is>
          <t>11:51</t>
        </is>
      </c>
      <c r="P73" s="23" t="inlineStr">
        <is>
          <t>13:51</t>
        </is>
      </c>
      <c r="Q73" s="24" t="n">
        <v>30</v>
      </c>
      <c r="R73" s="32" t="n">
        <v>-221</v>
      </c>
      <c r="S73" s="33" t="n">
        <v>-1.08</v>
      </c>
      <c r="T73" s="23" t="inlineStr">
        <is>
          <t>5 tạ</t>
        </is>
      </c>
      <c r="U73" s="23" t="inlineStr">
        <is>
          <t>1.25T</t>
        </is>
      </c>
      <c r="V73" s="23" t="inlineStr">
        <is>
          <t>Nội thành Hà Nội</t>
        </is>
      </c>
      <c r="W73" s="23" t="inlineStr">
        <is>
          <t>CR-NỘIT-02</t>
        </is>
      </c>
      <c r="X73" s="23" t="inlineStr">
        <is>
          <t>A - SLA chặt</t>
        </is>
      </c>
      <c r="Y73" s="35" t="n">
        <v>0</v>
      </c>
      <c r="Z73" s="32" t="n">
        <v>150000</v>
      </c>
      <c r="AA73" s="23" t="inlineStr">
        <is>
          <t>Yes</t>
        </is>
      </c>
      <c r="AB73" s="23" t="inlineStr">
        <is>
          <t>2026-06-05</t>
        </is>
      </c>
      <c r="AC73" s="23" t="inlineStr">
        <is>
          <t>Ready</t>
        </is>
      </c>
      <c r="AD73" s="23" t="inlineStr">
        <is>
          <t>Delivery paired with same order and same vehicle unless transshipment enabled</t>
        </is>
      </c>
    </row>
    <row r="74" ht="18" customHeight="1" s="17">
      <c r="A74" s="21" t="inlineStr">
        <is>
          <t>S2</t>
        </is>
      </c>
      <c r="B74" s="21" t="inlineStr">
        <is>
          <t>S2-ORD-007</t>
        </is>
      </c>
      <c r="C74" s="21" t="inlineStr">
        <is>
          <t>S2-ORD-007-P</t>
        </is>
      </c>
      <c r="D74" s="21" t="inlineStr">
        <is>
          <t>Pickup</t>
        </is>
      </c>
      <c r="E74" s="21" t="inlineStr">
        <is>
          <t>S2-ORD-007-D</t>
        </is>
      </c>
      <c r="F74" s="21" t="inlineStr">
        <is>
          <t>S2-ORD-007</t>
        </is>
      </c>
      <c r="G74" s="21" t="inlineStr">
        <is>
          <t>PK_HPL_LB</t>
        </is>
      </c>
      <c r="H74" s="21" t="inlineStr">
        <is>
          <t>HPL Depot Long Biên - 20 Thạch Bàn</t>
        </is>
      </c>
      <c r="I74" s="21" t="inlineStr">
        <is>
          <t>Hà Nội</t>
        </is>
      </c>
      <c r="J74" s="21" t="inlineStr">
        <is>
          <t>Long Biên</t>
        </is>
      </c>
      <c r="K74" s="36" t="n">
        <v>21.0261548385</v>
      </c>
      <c r="L74" s="36" t="n">
        <v>105.914182238</v>
      </c>
      <c r="M74" s="37" t="n">
        <v>510</v>
      </c>
      <c r="N74" s="37" t="n">
        <v>630</v>
      </c>
      <c r="O74" s="21" t="inlineStr">
        <is>
          <t>08:30</t>
        </is>
      </c>
      <c r="P74" s="21" t="inlineStr">
        <is>
          <t>10:30</t>
        </is>
      </c>
      <c r="Q74" s="22" t="n">
        <v>40</v>
      </c>
      <c r="R74" s="28" t="n">
        <v>4798</v>
      </c>
      <c r="S74" s="29" t="n">
        <v>12.02</v>
      </c>
      <c r="T74" s="21" t="inlineStr">
        <is>
          <t>5T</t>
        </is>
      </c>
      <c r="U74" s="21" t="inlineStr">
        <is>
          <t>5T</t>
        </is>
      </c>
      <c r="V74" s="21" t="inlineStr">
        <is>
          <t>Đông Bắc</t>
        </is>
      </c>
      <c r="W74" s="21" t="inlineStr">
        <is>
          <t>CR-ĐÔNG-03</t>
        </is>
      </c>
      <c r="X74" s="21" t="inlineStr">
        <is>
          <t>A - SLA chặt</t>
        </is>
      </c>
      <c r="Y74" s="31" t="n">
        <v>3460000</v>
      </c>
      <c r="Z74" s="28" t="n">
        <v>150000</v>
      </c>
      <c r="AA74" s="21" t="inlineStr">
        <is>
          <t>Yes</t>
        </is>
      </c>
      <c r="AB74" s="21" t="inlineStr">
        <is>
          <t>2026-06-05</t>
        </is>
      </c>
      <c r="AC74" s="21" t="inlineStr">
        <is>
          <t>Ready</t>
        </is>
      </c>
      <c r="AD74" s="21" t="inlineStr">
        <is>
          <t>Pickup must happen before paired delivery</t>
        </is>
      </c>
    </row>
    <row r="75" ht="18" customHeight="1" s="17">
      <c r="A75" s="23" t="inlineStr">
        <is>
          <t>S2</t>
        </is>
      </c>
      <c r="B75" s="23" t="inlineStr">
        <is>
          <t>S2-ORD-007</t>
        </is>
      </c>
      <c r="C75" s="23" t="inlineStr">
        <is>
          <t>S2-ORD-007-D</t>
        </is>
      </c>
      <c r="D75" s="23" t="inlineStr">
        <is>
          <t>Delivery</t>
        </is>
      </c>
      <c r="E75" s="23" t="inlineStr">
        <is>
          <t>S2-ORD-007-P</t>
        </is>
      </c>
      <c r="F75" s="23" t="inlineStr">
        <is>
          <t>S2-ORD-007</t>
        </is>
      </c>
      <c r="G75" s="23" t="inlineStr">
        <is>
          <t>DL_HP_HONGBANG</t>
        </is>
      </c>
      <c r="H75" s="23" t="inlineStr">
        <is>
          <t>MM Hồng Bàng</t>
        </is>
      </c>
      <c r="I75" s="23" t="inlineStr">
        <is>
          <t>Hải Phòng</t>
        </is>
      </c>
      <c r="J75" s="23" t="inlineStr">
        <is>
          <t>Hồng Bàng</t>
        </is>
      </c>
      <c r="K75" s="38" t="n">
        <v>20.856112</v>
      </c>
      <c r="L75" s="38" t="n">
        <v>106.682239</v>
      </c>
      <c r="M75" s="39" t="n">
        <v>802</v>
      </c>
      <c r="N75" s="39" t="n">
        <v>892</v>
      </c>
      <c r="O75" s="23" t="inlineStr">
        <is>
          <t>13:22</t>
        </is>
      </c>
      <c r="P75" s="23" t="inlineStr">
        <is>
          <t>14:52</t>
        </is>
      </c>
      <c r="Q75" s="24" t="n">
        <v>45</v>
      </c>
      <c r="R75" s="32" t="n">
        <v>-4798</v>
      </c>
      <c r="S75" s="33" t="n">
        <v>-12.02</v>
      </c>
      <c r="T75" s="23" t="inlineStr">
        <is>
          <t>5T</t>
        </is>
      </c>
      <c r="U75" s="23" t="inlineStr">
        <is>
          <t>5T</t>
        </is>
      </c>
      <c r="V75" s="23" t="inlineStr">
        <is>
          <t>Đông Bắc</t>
        </is>
      </c>
      <c r="W75" s="23" t="inlineStr">
        <is>
          <t>CR-ĐÔNG-03</t>
        </is>
      </c>
      <c r="X75" s="23" t="inlineStr">
        <is>
          <t>A - SLA chặt</t>
        </is>
      </c>
      <c r="Y75" s="35" t="n">
        <v>0</v>
      </c>
      <c r="Z75" s="32" t="n">
        <v>150000</v>
      </c>
      <c r="AA75" s="23" t="inlineStr">
        <is>
          <t>Yes</t>
        </is>
      </c>
      <c r="AB75" s="23" t="inlineStr">
        <is>
          <t>2026-06-05</t>
        </is>
      </c>
      <c r="AC75" s="23" t="inlineStr">
        <is>
          <t>Ready</t>
        </is>
      </c>
      <c r="AD75" s="23" t="inlineStr">
        <is>
          <t>Delivery paired with same order and same vehicle unless transshipment enabled</t>
        </is>
      </c>
    </row>
    <row r="76" ht="18" customHeight="1" s="17">
      <c r="A76" s="21" t="inlineStr">
        <is>
          <t>S2</t>
        </is>
      </c>
      <c r="B76" s="21" t="inlineStr">
        <is>
          <t>S2-ORD-008</t>
        </is>
      </c>
      <c r="C76" s="21" t="inlineStr">
        <is>
          <t>S2-ORD-008-P</t>
        </is>
      </c>
      <c r="D76" s="21" t="inlineStr">
        <is>
          <t>Pickup</t>
        </is>
      </c>
      <c r="E76" s="21" t="inlineStr">
        <is>
          <t>S2-ORD-008-D</t>
        </is>
      </c>
      <c r="F76" s="21" t="inlineStr">
        <is>
          <t>S2-ORD-008</t>
        </is>
      </c>
      <c r="G76" s="21" t="inlineStr">
        <is>
          <t>PK_HY_MYHAO</t>
        </is>
      </c>
      <c r="H76" s="21" t="inlineStr">
        <is>
          <t>Kho/Nhà máy khách hàng Mỹ Hào</t>
        </is>
      </c>
      <c r="I76" s="21" t="inlineStr">
        <is>
          <t>Hưng Yên</t>
        </is>
      </c>
      <c r="J76" s="21" t="inlineStr">
        <is>
          <t>Mỹ Hào</t>
        </is>
      </c>
      <c r="K76" s="36" t="n">
        <v>20.9329</v>
      </c>
      <c r="L76" s="36" t="n">
        <v>106.065</v>
      </c>
      <c r="M76" s="37" t="n">
        <v>510</v>
      </c>
      <c r="N76" s="37" t="n">
        <v>630</v>
      </c>
      <c r="O76" s="21" t="inlineStr">
        <is>
          <t>08:30</t>
        </is>
      </c>
      <c r="P76" s="21" t="inlineStr">
        <is>
          <t>10:30</t>
        </is>
      </c>
      <c r="Q76" s="22" t="n">
        <v>25</v>
      </c>
      <c r="R76" s="28" t="n">
        <v>283</v>
      </c>
      <c r="S76" s="29" t="n">
        <v>1.16</v>
      </c>
      <c r="T76" s="21" t="inlineStr">
        <is>
          <t>5 tạ</t>
        </is>
      </c>
      <c r="U76" s="21" t="inlineStr">
        <is>
          <t>1.25T</t>
        </is>
      </c>
      <c r="V76" s="21" t="inlineStr">
        <is>
          <t>Nội thành Hà Nội</t>
        </is>
      </c>
      <c r="W76" s="21" t="inlineStr">
        <is>
          <t>CR-NỘIT-04</t>
        </is>
      </c>
      <c r="X76" s="21" t="inlineStr">
        <is>
          <t>A - SLA chặt</t>
        </is>
      </c>
      <c r="Y76" s="31" t="n">
        <v>640000</v>
      </c>
      <c r="Z76" s="28" t="n">
        <v>150000</v>
      </c>
      <c r="AA76" s="21" t="inlineStr">
        <is>
          <t>Yes</t>
        </is>
      </c>
      <c r="AB76" s="21" t="inlineStr">
        <is>
          <t>2026-06-05</t>
        </is>
      </c>
      <c r="AC76" s="21" t="inlineStr">
        <is>
          <t>Ready</t>
        </is>
      </c>
      <c r="AD76" s="21" t="inlineStr">
        <is>
          <t>Pickup must happen before paired delivery</t>
        </is>
      </c>
    </row>
    <row r="77" ht="18" customHeight="1" s="17">
      <c r="A77" s="23" t="inlineStr">
        <is>
          <t>S2</t>
        </is>
      </c>
      <c r="B77" s="23" t="inlineStr">
        <is>
          <t>S2-ORD-008</t>
        </is>
      </c>
      <c r="C77" s="23" t="inlineStr">
        <is>
          <t>S2-ORD-008-D</t>
        </is>
      </c>
      <c r="D77" s="23" t="inlineStr">
        <is>
          <t>Delivery</t>
        </is>
      </c>
      <c r="E77" s="23" t="inlineStr">
        <is>
          <t>S2-ORD-008-P</t>
        </is>
      </c>
      <c r="F77" s="23" t="inlineStr">
        <is>
          <t>S2-ORD-008</t>
        </is>
      </c>
      <c r="G77" s="23" t="inlineStr">
        <is>
          <t>DL_HN_THAIDUONG</t>
        </is>
      </c>
      <c r="H77" s="23" t="inlineStr">
        <is>
          <t>Thái Dương</t>
        </is>
      </c>
      <c r="I77" s="23" t="inlineStr">
        <is>
          <t>Hà Nội</t>
        </is>
      </c>
      <c r="J77" s="23" t="inlineStr">
        <is>
          <t>Hà Nội</t>
        </is>
      </c>
      <c r="K77" s="38" t="n">
        <v>20.929215</v>
      </c>
      <c r="L77" s="38" t="n">
        <v>105.869998</v>
      </c>
      <c r="M77" s="39" t="n">
        <v>676</v>
      </c>
      <c r="N77" s="39" t="n">
        <v>856</v>
      </c>
      <c r="O77" s="23" t="inlineStr">
        <is>
          <t>11:16</t>
        </is>
      </c>
      <c r="P77" s="23" t="inlineStr">
        <is>
          <t>14:16</t>
        </is>
      </c>
      <c r="Q77" s="24" t="n">
        <v>20</v>
      </c>
      <c r="R77" s="32" t="n">
        <v>-283</v>
      </c>
      <c r="S77" s="33" t="n">
        <v>-1.16</v>
      </c>
      <c r="T77" s="23" t="inlineStr">
        <is>
          <t>5 tạ</t>
        </is>
      </c>
      <c r="U77" s="23" t="inlineStr">
        <is>
          <t>1.25T</t>
        </is>
      </c>
      <c r="V77" s="23" t="inlineStr">
        <is>
          <t>Nội thành Hà Nội</t>
        </is>
      </c>
      <c r="W77" s="23" t="inlineStr">
        <is>
          <t>CR-NỘIT-04</t>
        </is>
      </c>
      <c r="X77" s="23" t="inlineStr">
        <is>
          <t>A - SLA chặt</t>
        </is>
      </c>
      <c r="Y77" s="35" t="n">
        <v>0</v>
      </c>
      <c r="Z77" s="32" t="n">
        <v>150000</v>
      </c>
      <c r="AA77" s="23" t="inlineStr">
        <is>
          <t>Yes</t>
        </is>
      </c>
      <c r="AB77" s="23" t="inlineStr">
        <is>
          <t>2026-06-05</t>
        </is>
      </c>
      <c r="AC77" s="23" t="inlineStr">
        <is>
          <t>Ready</t>
        </is>
      </c>
      <c r="AD77" s="23" t="inlineStr">
        <is>
          <t>Delivery paired with same order and same vehicle unless transshipment enabled</t>
        </is>
      </c>
    </row>
    <row r="78" ht="18" customHeight="1" s="17">
      <c r="A78" s="21" t="inlineStr">
        <is>
          <t>S2</t>
        </is>
      </c>
      <c r="B78" s="21" t="inlineStr">
        <is>
          <t>S2-ORD-009</t>
        </is>
      </c>
      <c r="C78" s="21" t="inlineStr">
        <is>
          <t>S2-ORD-009-P</t>
        </is>
      </c>
      <c r="D78" s="21" t="inlineStr">
        <is>
          <t>Pickup</t>
        </is>
      </c>
      <c r="E78" s="21" t="inlineStr">
        <is>
          <t>S2-ORD-009-D</t>
        </is>
      </c>
      <c r="F78" s="21" t="inlineStr">
        <is>
          <t>S2-ORD-009</t>
        </is>
      </c>
      <c r="G78" s="21" t="inlineStr">
        <is>
          <t>PK_HPL_LB</t>
        </is>
      </c>
      <c r="H78" s="21" t="inlineStr">
        <is>
          <t>HPL Depot Long Biên - 20 Thạch Bàn</t>
        </is>
      </c>
      <c r="I78" s="21" t="inlineStr">
        <is>
          <t>Hà Nội</t>
        </is>
      </c>
      <c r="J78" s="21" t="inlineStr">
        <is>
          <t>Long Biên</t>
        </is>
      </c>
      <c r="K78" s="36" t="n">
        <v>21.0261548385</v>
      </c>
      <c r="L78" s="36" t="n">
        <v>105.914182238</v>
      </c>
      <c r="M78" s="37" t="n">
        <v>420</v>
      </c>
      <c r="N78" s="37" t="n">
        <v>570</v>
      </c>
      <c r="O78" s="21" t="inlineStr">
        <is>
          <t>07:00</t>
        </is>
      </c>
      <c r="P78" s="21" t="inlineStr">
        <is>
          <t>09:30</t>
        </is>
      </c>
      <c r="Q78" s="22" t="n">
        <v>25</v>
      </c>
      <c r="R78" s="28" t="n">
        <v>387</v>
      </c>
      <c r="S78" s="29" t="n">
        <v>0.65</v>
      </c>
      <c r="T78" s="21" t="inlineStr">
        <is>
          <t>5 tạ</t>
        </is>
      </c>
      <c r="U78" s="21" t="inlineStr">
        <is>
          <t>1.25T</t>
        </is>
      </c>
      <c r="V78" s="21" t="inlineStr">
        <is>
          <t>Nội thành Hà Nội</t>
        </is>
      </c>
      <c r="W78" s="21" t="inlineStr">
        <is>
          <t>CR-NỘIT-05</t>
        </is>
      </c>
      <c r="X78" s="21" t="inlineStr">
        <is>
          <t>B - Thường</t>
        </is>
      </c>
      <c r="Y78" s="31" t="n">
        <v>810000</v>
      </c>
      <c r="Z78" s="28" t="n">
        <v>80000</v>
      </c>
      <c r="AA78" s="21" t="inlineStr">
        <is>
          <t>Yes</t>
        </is>
      </c>
      <c r="AB78" s="21" t="inlineStr">
        <is>
          <t>2026-06-05</t>
        </is>
      </c>
      <c r="AC78" s="21" t="inlineStr">
        <is>
          <t>Ready</t>
        </is>
      </c>
      <c r="AD78" s="21" t="inlineStr">
        <is>
          <t>Pickup must happen before paired delivery</t>
        </is>
      </c>
    </row>
    <row r="79" ht="18" customHeight="1" s="17">
      <c r="A79" s="23" t="inlineStr">
        <is>
          <t>S2</t>
        </is>
      </c>
      <c r="B79" s="23" t="inlineStr">
        <is>
          <t>S2-ORD-009</t>
        </is>
      </c>
      <c r="C79" s="23" t="inlineStr">
        <is>
          <t>S2-ORD-009-D</t>
        </is>
      </c>
      <c r="D79" s="23" t="inlineStr">
        <is>
          <t>Delivery</t>
        </is>
      </c>
      <c r="E79" s="23" t="inlineStr">
        <is>
          <t>S2-ORD-009-P</t>
        </is>
      </c>
      <c r="F79" s="23" t="inlineStr">
        <is>
          <t>S2-ORD-009</t>
        </is>
      </c>
      <c r="G79" s="23" t="inlineStr">
        <is>
          <t>DL_HN_AKJUKY</t>
        </is>
      </c>
      <c r="H79" s="23" t="inlineStr">
        <is>
          <t>AKJUKY</t>
        </is>
      </c>
      <c r="I79" s="23" t="inlineStr">
        <is>
          <t>Hà Nội</t>
        </is>
      </c>
      <c r="J79" s="23" t="inlineStr">
        <is>
          <t>Long Biên</t>
        </is>
      </c>
      <c r="K79" s="38" t="n">
        <v>21.063695</v>
      </c>
      <c r="L79" s="38" t="n">
        <v>105.889986</v>
      </c>
      <c r="M79" s="39" t="n">
        <v>571</v>
      </c>
      <c r="N79" s="39" t="n">
        <v>691</v>
      </c>
      <c r="O79" s="23" t="inlineStr">
        <is>
          <t>09:31</t>
        </is>
      </c>
      <c r="P79" s="23" t="inlineStr">
        <is>
          <t>11:31</t>
        </is>
      </c>
      <c r="Q79" s="24" t="n">
        <v>20</v>
      </c>
      <c r="R79" s="32" t="n">
        <v>-387</v>
      </c>
      <c r="S79" s="33" t="n">
        <v>-0.65</v>
      </c>
      <c r="T79" s="23" t="inlineStr">
        <is>
          <t>5 tạ</t>
        </is>
      </c>
      <c r="U79" s="23" t="inlineStr">
        <is>
          <t>1.25T</t>
        </is>
      </c>
      <c r="V79" s="23" t="inlineStr">
        <is>
          <t>Nội thành Hà Nội</t>
        </is>
      </c>
      <c r="W79" s="23" t="inlineStr">
        <is>
          <t>CR-NỘIT-05</t>
        </is>
      </c>
      <c r="X79" s="23" t="inlineStr">
        <is>
          <t>B - Thường</t>
        </is>
      </c>
      <c r="Y79" s="35" t="n">
        <v>0</v>
      </c>
      <c r="Z79" s="32" t="n">
        <v>80000</v>
      </c>
      <c r="AA79" s="23" t="inlineStr">
        <is>
          <t>Yes</t>
        </is>
      </c>
      <c r="AB79" s="23" t="inlineStr">
        <is>
          <t>2026-06-05</t>
        </is>
      </c>
      <c r="AC79" s="23" t="inlineStr">
        <is>
          <t>Ready</t>
        </is>
      </c>
      <c r="AD79" s="23" t="inlineStr">
        <is>
          <t>Delivery paired with same order and same vehicle unless transshipment enabled</t>
        </is>
      </c>
    </row>
    <row r="80" ht="18" customHeight="1" s="17">
      <c r="A80" s="21" t="inlineStr">
        <is>
          <t>S2</t>
        </is>
      </c>
      <c r="B80" s="21" t="inlineStr">
        <is>
          <t>S2-ORD-010</t>
        </is>
      </c>
      <c r="C80" s="21" t="inlineStr">
        <is>
          <t>S2-ORD-010-P</t>
        </is>
      </c>
      <c r="D80" s="21" t="inlineStr">
        <is>
          <t>Pickup</t>
        </is>
      </c>
      <c r="E80" s="21" t="inlineStr">
        <is>
          <t>S2-ORD-010-D</t>
        </is>
      </c>
      <c r="F80" s="21" t="inlineStr">
        <is>
          <t>S2-ORD-010</t>
        </is>
      </c>
      <c r="G80" s="21" t="inlineStr">
        <is>
          <t>PK_LINFOX_VSIP</t>
        </is>
      </c>
      <c r="H80" s="21" t="inlineStr">
        <is>
          <t>Kho Linfox KCN VSIP Bắc Ninh</t>
        </is>
      </c>
      <c r="I80" s="21" t="inlineStr">
        <is>
          <t>Bắc Ninh</t>
        </is>
      </c>
      <c r="J80" s="21" t="inlineStr">
        <is>
          <t>Từ Sơn</t>
        </is>
      </c>
      <c r="K80" s="36" t="n">
        <v>21.082707</v>
      </c>
      <c r="L80" s="36" t="n">
        <v>105.997949</v>
      </c>
      <c r="M80" s="37" t="n">
        <v>420</v>
      </c>
      <c r="N80" s="37" t="n">
        <v>570</v>
      </c>
      <c r="O80" s="21" t="inlineStr">
        <is>
          <t>07:00</t>
        </is>
      </c>
      <c r="P80" s="21" t="inlineStr">
        <is>
          <t>09:30</t>
        </is>
      </c>
      <c r="Q80" s="22" t="n">
        <v>25</v>
      </c>
      <c r="R80" s="28" t="n">
        <v>397</v>
      </c>
      <c r="S80" s="29" t="n">
        <v>1.03</v>
      </c>
      <c r="T80" s="21" t="inlineStr">
        <is>
          <t>5 tạ</t>
        </is>
      </c>
      <c r="U80" s="21" t="inlineStr">
        <is>
          <t>1.25T</t>
        </is>
      </c>
      <c r="V80" s="21" t="inlineStr">
        <is>
          <t>Nội thành Hà Nội</t>
        </is>
      </c>
      <c r="W80" s="21" t="inlineStr">
        <is>
          <t>CR-NỘIT-01</t>
        </is>
      </c>
      <c r="X80" s="21" t="inlineStr">
        <is>
          <t>C - Có thể thương lượng</t>
        </is>
      </c>
      <c r="Y80" s="31" t="n">
        <v>510000</v>
      </c>
      <c r="Z80" s="28" t="n">
        <v>80000</v>
      </c>
      <c r="AA80" s="21" t="inlineStr">
        <is>
          <t>Yes</t>
        </is>
      </c>
      <c r="AB80" s="21" t="inlineStr">
        <is>
          <t>2026-06-05</t>
        </is>
      </c>
      <c r="AC80" s="21" t="inlineStr">
        <is>
          <t>Ready</t>
        </is>
      </c>
      <c r="AD80" s="21" t="inlineStr">
        <is>
          <t>Pickup must happen before paired delivery</t>
        </is>
      </c>
    </row>
    <row r="81" ht="18" customHeight="1" s="17">
      <c r="A81" s="23" t="inlineStr">
        <is>
          <t>S2</t>
        </is>
      </c>
      <c r="B81" s="23" t="inlineStr">
        <is>
          <t>S2-ORD-010</t>
        </is>
      </c>
      <c r="C81" s="23" t="inlineStr">
        <is>
          <t>S2-ORD-010-D</t>
        </is>
      </c>
      <c r="D81" s="23" t="inlineStr">
        <is>
          <t>Delivery</t>
        </is>
      </c>
      <c r="E81" s="23" t="inlineStr">
        <is>
          <t>S2-ORD-010-P</t>
        </is>
      </c>
      <c r="F81" s="23" t="inlineStr">
        <is>
          <t>S2-ORD-010</t>
        </is>
      </c>
      <c r="G81" s="23" t="inlineStr">
        <is>
          <t>DL_HN_VUTRONGPHUNG</t>
        </is>
      </c>
      <c r="H81" s="23" t="inlineStr">
        <is>
          <t>VINMART Vũ Trọng Phụng</t>
        </is>
      </c>
      <c r="I81" s="23" t="inlineStr">
        <is>
          <t>Hà Nội</t>
        </is>
      </c>
      <c r="J81" s="23" t="inlineStr">
        <is>
          <t>Thanh Xuân</t>
        </is>
      </c>
      <c r="K81" s="38" t="n">
        <v>20.997621</v>
      </c>
      <c r="L81" s="38" t="n">
        <v>105.809443</v>
      </c>
      <c r="M81" s="39" t="n">
        <v>584</v>
      </c>
      <c r="N81" s="39" t="n">
        <v>734</v>
      </c>
      <c r="O81" s="23" t="inlineStr">
        <is>
          <t>09:44</t>
        </is>
      </c>
      <c r="P81" s="23" t="inlineStr">
        <is>
          <t>12:14</t>
        </is>
      </c>
      <c r="Q81" s="24" t="n">
        <v>20</v>
      </c>
      <c r="R81" s="32" t="n">
        <v>-397</v>
      </c>
      <c r="S81" s="33" t="n">
        <v>-1.03</v>
      </c>
      <c r="T81" s="23" t="inlineStr">
        <is>
          <t>5 tạ</t>
        </is>
      </c>
      <c r="U81" s="23" t="inlineStr">
        <is>
          <t>1.25T</t>
        </is>
      </c>
      <c r="V81" s="23" t="inlineStr">
        <is>
          <t>Nội thành Hà Nội</t>
        </is>
      </c>
      <c r="W81" s="23" t="inlineStr">
        <is>
          <t>CR-NỘIT-01</t>
        </is>
      </c>
      <c r="X81" s="23" t="inlineStr">
        <is>
          <t>C - Có thể thương lượng</t>
        </is>
      </c>
      <c r="Y81" s="35" t="n">
        <v>0</v>
      </c>
      <c r="Z81" s="32" t="n">
        <v>80000</v>
      </c>
      <c r="AA81" s="23" t="inlineStr">
        <is>
          <t>Yes</t>
        </is>
      </c>
      <c r="AB81" s="23" t="inlineStr">
        <is>
          <t>2026-06-05</t>
        </is>
      </c>
      <c r="AC81" s="23" t="inlineStr">
        <is>
          <t>Ready</t>
        </is>
      </c>
      <c r="AD81" s="23" t="inlineStr">
        <is>
          <t>Delivery paired with same order and same vehicle unless transshipment enabled</t>
        </is>
      </c>
    </row>
    <row r="82" ht="18" customHeight="1" s="17">
      <c r="A82" s="21" t="inlineStr">
        <is>
          <t>S2</t>
        </is>
      </c>
      <c r="B82" s="21" t="inlineStr">
        <is>
          <t>S2-ORD-011</t>
        </is>
      </c>
      <c r="C82" s="21" t="inlineStr">
        <is>
          <t>S2-ORD-011-P</t>
        </is>
      </c>
      <c r="D82" s="21" t="inlineStr">
        <is>
          <t>Pickup</t>
        </is>
      </c>
      <c r="E82" s="21" t="inlineStr">
        <is>
          <t>S2-ORD-011-D</t>
        </is>
      </c>
      <c r="F82" s="21" t="inlineStr">
        <is>
          <t>S2-ORD-011</t>
        </is>
      </c>
      <c r="G82" s="21" t="inlineStr">
        <is>
          <t>PK_LINFOX_VSIP</t>
        </is>
      </c>
      <c r="H82" s="21" t="inlineStr">
        <is>
          <t>Kho Linfox KCN VSIP Bắc Ninh</t>
        </is>
      </c>
      <c r="I82" s="21" t="inlineStr">
        <is>
          <t>Bắc Ninh</t>
        </is>
      </c>
      <c r="J82" s="21" t="inlineStr">
        <is>
          <t>Từ Sơn</t>
        </is>
      </c>
      <c r="K82" s="36" t="n">
        <v>21.082707</v>
      </c>
      <c r="L82" s="36" t="n">
        <v>105.997949</v>
      </c>
      <c r="M82" s="37" t="n">
        <v>510</v>
      </c>
      <c r="N82" s="37" t="n">
        <v>630</v>
      </c>
      <c r="O82" s="21" t="inlineStr">
        <is>
          <t>08:30</t>
        </is>
      </c>
      <c r="P82" s="21" t="inlineStr">
        <is>
          <t>10:30</t>
        </is>
      </c>
      <c r="Q82" s="22" t="n">
        <v>40</v>
      </c>
      <c r="R82" s="28" t="n">
        <v>4903</v>
      </c>
      <c r="S82" s="29" t="n">
        <v>11.58</v>
      </c>
      <c r="T82" s="21" t="inlineStr">
        <is>
          <t>5T</t>
        </is>
      </c>
      <c r="U82" s="21" t="inlineStr">
        <is>
          <t>8T</t>
        </is>
      </c>
      <c r="V82" s="21" t="inlineStr">
        <is>
          <t>Đông Bắc</t>
        </is>
      </c>
      <c r="W82" s="21" t="inlineStr">
        <is>
          <t>CR-ĐÔNG-02</t>
        </is>
      </c>
      <c r="X82" s="21" t="inlineStr">
        <is>
          <t>B - Thường</t>
        </is>
      </c>
      <c r="Y82" s="31" t="n">
        <v>2130000</v>
      </c>
      <c r="Z82" s="28" t="n">
        <v>80000</v>
      </c>
      <c r="AA82" s="21" t="inlineStr">
        <is>
          <t>Yes</t>
        </is>
      </c>
      <c r="AB82" s="21" t="inlineStr">
        <is>
          <t>2026-06-05</t>
        </is>
      </c>
      <c r="AC82" s="21" t="inlineStr">
        <is>
          <t>Ready</t>
        </is>
      </c>
      <c r="AD82" s="21" t="inlineStr">
        <is>
          <t>Pickup must happen before paired delivery</t>
        </is>
      </c>
    </row>
    <row r="83" ht="18" customHeight="1" s="17">
      <c r="A83" s="23" t="inlineStr">
        <is>
          <t>S2</t>
        </is>
      </c>
      <c r="B83" s="23" t="inlineStr">
        <is>
          <t>S2-ORD-011</t>
        </is>
      </c>
      <c r="C83" s="23" t="inlineStr">
        <is>
          <t>S2-ORD-011-D</t>
        </is>
      </c>
      <c r="D83" s="23" t="inlineStr">
        <is>
          <t>Delivery</t>
        </is>
      </c>
      <c r="E83" s="23" t="inlineStr">
        <is>
          <t>S2-ORD-011-P</t>
        </is>
      </c>
      <c r="F83" s="23" t="inlineStr">
        <is>
          <t>S2-ORD-011</t>
        </is>
      </c>
      <c r="G83" s="23" t="inlineStr">
        <is>
          <t>DL_HD_SIEUTHI</t>
        </is>
      </c>
      <c r="H83" s="23" t="inlineStr">
        <is>
          <t>Siêu thị Hải Dương</t>
        </is>
      </c>
      <c r="I83" s="23" t="inlineStr">
        <is>
          <t>Hải Phòng</t>
        </is>
      </c>
      <c r="J83" s="23" t="inlineStr">
        <is>
          <t>Hải Dương</t>
        </is>
      </c>
      <c r="K83" s="38" t="n">
        <v>20.937341</v>
      </c>
      <c r="L83" s="38" t="n">
        <v>106.314555</v>
      </c>
      <c r="M83" s="39" t="n">
        <v>670</v>
      </c>
      <c r="N83" s="39" t="n">
        <v>850</v>
      </c>
      <c r="O83" s="23" t="inlineStr">
        <is>
          <t>11:10</t>
        </is>
      </c>
      <c r="P83" s="23" t="inlineStr">
        <is>
          <t>14:10</t>
        </is>
      </c>
      <c r="Q83" s="24" t="n">
        <v>35</v>
      </c>
      <c r="R83" s="32" t="n">
        <v>-4903</v>
      </c>
      <c r="S83" s="33" t="n">
        <v>-11.58</v>
      </c>
      <c r="T83" s="23" t="inlineStr">
        <is>
          <t>5T</t>
        </is>
      </c>
      <c r="U83" s="23" t="inlineStr">
        <is>
          <t>8T</t>
        </is>
      </c>
      <c r="V83" s="23" t="inlineStr">
        <is>
          <t>Đông Bắc</t>
        </is>
      </c>
      <c r="W83" s="23" t="inlineStr">
        <is>
          <t>CR-ĐÔNG-02</t>
        </is>
      </c>
      <c r="X83" s="23" t="inlineStr">
        <is>
          <t>B - Thường</t>
        </is>
      </c>
      <c r="Y83" s="35" t="n">
        <v>0</v>
      </c>
      <c r="Z83" s="32" t="n">
        <v>80000</v>
      </c>
      <c r="AA83" s="23" t="inlineStr">
        <is>
          <t>Yes</t>
        </is>
      </c>
      <c r="AB83" s="23" t="inlineStr">
        <is>
          <t>2026-06-05</t>
        </is>
      </c>
      <c r="AC83" s="23" t="inlineStr">
        <is>
          <t>Ready</t>
        </is>
      </c>
      <c r="AD83" s="23" t="inlineStr">
        <is>
          <t>Delivery paired with same order and same vehicle unless transshipment enabled</t>
        </is>
      </c>
    </row>
    <row r="84" ht="18" customHeight="1" s="17">
      <c r="A84" s="21" t="inlineStr">
        <is>
          <t>S2</t>
        </is>
      </c>
      <c r="B84" s="21" t="inlineStr">
        <is>
          <t>S2-ORD-012</t>
        </is>
      </c>
      <c r="C84" s="21" t="inlineStr">
        <is>
          <t>S2-ORD-012-P</t>
        </is>
      </c>
      <c r="D84" s="21" t="inlineStr">
        <is>
          <t>Pickup</t>
        </is>
      </c>
      <c r="E84" s="21" t="inlineStr">
        <is>
          <t>S2-ORD-012-D</t>
        </is>
      </c>
      <c r="F84" s="21" t="inlineStr">
        <is>
          <t>S2-ORD-012</t>
        </is>
      </c>
      <c r="G84" s="21" t="inlineStr">
        <is>
          <t>PK_NA_BACVINH</t>
        </is>
      </c>
      <c r="H84" s="21" t="inlineStr">
        <is>
          <t>Kho DC Vinh - KCN Bắc Vinh</t>
        </is>
      </c>
      <c r="I84" s="21" t="inlineStr">
        <is>
          <t>Nghệ An</t>
        </is>
      </c>
      <c r="J84" s="21" t="inlineStr">
        <is>
          <t>Vinh</t>
        </is>
      </c>
      <c r="K84" s="36" t="n">
        <v>18.733</v>
      </c>
      <c r="L84" s="36" t="n">
        <v>105.681</v>
      </c>
      <c r="M84" s="37" t="n">
        <v>510</v>
      </c>
      <c r="N84" s="37" t="n">
        <v>660</v>
      </c>
      <c r="O84" s="21" t="inlineStr">
        <is>
          <t>08:30</t>
        </is>
      </c>
      <c r="P84" s="21" t="inlineStr">
        <is>
          <t>11:00</t>
        </is>
      </c>
      <c r="Q84" s="22" t="n">
        <v>40</v>
      </c>
      <c r="R84" s="28" t="n">
        <v>3651</v>
      </c>
      <c r="S84" s="29" t="n">
        <v>31.71</v>
      </c>
      <c r="T84" s="21" t="inlineStr">
        <is>
          <t>8T</t>
        </is>
      </c>
      <c r="U84" s="21" t="inlineStr">
        <is>
          <t>8T</t>
        </is>
      </c>
      <c r="V84" s="21" t="inlineStr">
        <is>
          <t>Bắc Trung Bộ</t>
        </is>
      </c>
      <c r="W84" s="21" t="inlineStr">
        <is>
          <t>CR-BẮCT-03</t>
        </is>
      </c>
      <c r="X84" s="21" t="inlineStr">
        <is>
          <t>A - SLA chặt</t>
        </is>
      </c>
      <c r="Y84" s="31" t="n">
        <v>5680000</v>
      </c>
      <c r="Z84" s="28" t="n">
        <v>150000</v>
      </c>
      <c r="AA84" s="21" t="inlineStr">
        <is>
          <t>Yes</t>
        </is>
      </c>
      <c r="AB84" s="21" t="inlineStr">
        <is>
          <t>2026-06-05</t>
        </is>
      </c>
      <c r="AC84" s="21" t="inlineStr">
        <is>
          <t>Ready</t>
        </is>
      </c>
      <c r="AD84" s="21" t="inlineStr">
        <is>
          <t>Pickup must happen before paired delivery</t>
        </is>
      </c>
    </row>
    <row r="85" ht="18" customHeight="1" s="17">
      <c r="A85" s="23" t="inlineStr">
        <is>
          <t>S2</t>
        </is>
      </c>
      <c r="B85" s="23" t="inlineStr">
        <is>
          <t>S2-ORD-012</t>
        </is>
      </c>
      <c r="C85" s="23" t="inlineStr">
        <is>
          <t>S2-ORD-012-D</t>
        </is>
      </c>
      <c r="D85" s="23" t="inlineStr">
        <is>
          <t>Delivery</t>
        </is>
      </c>
      <c r="E85" s="23" t="inlineStr">
        <is>
          <t>S2-ORD-012-P</t>
        </is>
      </c>
      <c r="F85" s="23" t="inlineStr">
        <is>
          <t>S2-ORD-012</t>
        </is>
      </c>
      <c r="G85" s="23" t="inlineStr">
        <is>
          <t>DL_NB_SIEUTHI</t>
        </is>
      </c>
      <c r="H85" s="23" t="inlineStr">
        <is>
          <t>Siêu thị Ninh Bình</t>
        </is>
      </c>
      <c r="I85" s="23" t="inlineStr">
        <is>
          <t>Ninh Bình</t>
        </is>
      </c>
      <c r="J85" s="23" t="inlineStr">
        <is>
          <t>Hoa Lư</t>
        </is>
      </c>
      <c r="K85" s="38" t="n">
        <v>20.250614</v>
      </c>
      <c r="L85" s="38" t="n">
        <v>105.974454</v>
      </c>
      <c r="M85" s="39" t="n">
        <v>897</v>
      </c>
      <c r="N85" s="39" t="n">
        <v>1047</v>
      </c>
      <c r="O85" s="23" t="inlineStr">
        <is>
          <t>14:57</t>
        </is>
      </c>
      <c r="P85" s="23" t="inlineStr">
        <is>
          <t>17:27</t>
        </is>
      </c>
      <c r="Q85" s="24" t="n">
        <v>35</v>
      </c>
      <c r="R85" s="32" t="n">
        <v>-3651</v>
      </c>
      <c r="S85" s="33" t="n">
        <v>-31.71</v>
      </c>
      <c r="T85" s="23" t="inlineStr">
        <is>
          <t>8T</t>
        </is>
      </c>
      <c r="U85" s="23" t="inlineStr">
        <is>
          <t>8T</t>
        </is>
      </c>
      <c r="V85" s="23" t="inlineStr">
        <is>
          <t>Bắc Trung Bộ</t>
        </is>
      </c>
      <c r="W85" s="23" t="inlineStr">
        <is>
          <t>CR-BẮCT-03</t>
        </is>
      </c>
      <c r="X85" s="23" t="inlineStr">
        <is>
          <t>A - SLA chặt</t>
        </is>
      </c>
      <c r="Y85" s="35" t="n">
        <v>0</v>
      </c>
      <c r="Z85" s="32" t="n">
        <v>150000</v>
      </c>
      <c r="AA85" s="23" t="inlineStr">
        <is>
          <t>Yes</t>
        </is>
      </c>
      <c r="AB85" s="23" t="inlineStr">
        <is>
          <t>2026-06-05</t>
        </is>
      </c>
      <c r="AC85" s="23" t="inlineStr">
        <is>
          <t>Ready</t>
        </is>
      </c>
      <c r="AD85" s="23" t="inlineStr">
        <is>
          <t>Delivery paired with same order and same vehicle unless transshipment enabled</t>
        </is>
      </c>
    </row>
    <row r="86" ht="18" customHeight="1" s="17">
      <c r="A86" s="21" t="inlineStr">
        <is>
          <t>S2</t>
        </is>
      </c>
      <c r="B86" s="21" t="inlineStr">
        <is>
          <t>S2-ORD-013</t>
        </is>
      </c>
      <c r="C86" s="21" t="inlineStr">
        <is>
          <t>S2-ORD-013-P</t>
        </is>
      </c>
      <c r="D86" s="21" t="inlineStr">
        <is>
          <t>Pickup</t>
        </is>
      </c>
      <c r="E86" s="21" t="inlineStr">
        <is>
          <t>S2-ORD-013-D</t>
        </is>
      </c>
      <c r="F86" s="21" t="inlineStr">
        <is>
          <t>S2-ORD-013</t>
        </is>
      </c>
      <c r="G86" s="21" t="inlineStr">
        <is>
          <t>PK_HPL_LB</t>
        </is>
      </c>
      <c r="H86" s="21" t="inlineStr">
        <is>
          <t>HPL Depot Long Biên - 20 Thạch Bàn</t>
        </is>
      </c>
      <c r="I86" s="21" t="inlineStr">
        <is>
          <t>Hà Nội</t>
        </is>
      </c>
      <c r="J86" s="21" t="inlineStr">
        <is>
          <t>Long Biên</t>
        </is>
      </c>
      <c r="K86" s="36" t="n">
        <v>21.0261548385</v>
      </c>
      <c r="L86" s="36" t="n">
        <v>105.914182238</v>
      </c>
      <c r="M86" s="37" t="n">
        <v>480</v>
      </c>
      <c r="N86" s="37" t="n">
        <v>630</v>
      </c>
      <c r="O86" s="21" t="inlineStr">
        <is>
          <t>08:00</t>
        </is>
      </c>
      <c r="P86" s="21" t="inlineStr">
        <is>
          <t>10:30</t>
        </is>
      </c>
      <c r="Q86" s="22" t="n">
        <v>25</v>
      </c>
      <c r="R86" s="28" t="n">
        <v>418</v>
      </c>
      <c r="S86" s="29" t="n">
        <v>4.21</v>
      </c>
      <c r="T86" s="21" t="inlineStr">
        <is>
          <t>1.25T</t>
        </is>
      </c>
      <c r="U86" s="21" t="inlineStr">
        <is>
          <t>1.25T</t>
        </is>
      </c>
      <c r="V86" s="21" t="inlineStr">
        <is>
          <t>Nội thành Hà Nội</t>
        </is>
      </c>
      <c r="W86" s="21" t="inlineStr">
        <is>
          <t>CR-NỘIT-04</t>
        </is>
      </c>
      <c r="X86" s="21" t="inlineStr">
        <is>
          <t>A - SLA chặt</t>
        </is>
      </c>
      <c r="Y86" s="31" t="n">
        <v>840000</v>
      </c>
      <c r="Z86" s="28" t="n">
        <v>150000</v>
      </c>
      <c r="AA86" s="21" t="inlineStr">
        <is>
          <t>Yes</t>
        </is>
      </c>
      <c r="AB86" s="21" t="inlineStr">
        <is>
          <t>2026-06-05</t>
        </is>
      </c>
      <c r="AC86" s="21" t="inlineStr">
        <is>
          <t>Ready</t>
        </is>
      </c>
      <c r="AD86" s="21" t="inlineStr">
        <is>
          <t>Pickup must happen before paired delivery</t>
        </is>
      </c>
    </row>
    <row r="87" ht="18" customHeight="1" s="17">
      <c r="A87" s="23" t="inlineStr">
        <is>
          <t>S2</t>
        </is>
      </c>
      <c r="B87" s="23" t="inlineStr">
        <is>
          <t>S2-ORD-013</t>
        </is>
      </c>
      <c r="C87" s="23" t="inlineStr">
        <is>
          <t>S2-ORD-013-D</t>
        </is>
      </c>
      <c r="D87" s="23" t="inlineStr">
        <is>
          <t>Delivery</t>
        </is>
      </c>
      <c r="E87" s="23" t="inlineStr">
        <is>
          <t>S2-ORD-013-P</t>
        </is>
      </c>
      <c r="F87" s="23" t="inlineStr">
        <is>
          <t>S2-ORD-013</t>
        </is>
      </c>
      <c r="G87" s="23" t="inlineStr">
        <is>
          <t>DL_HN_THAIDUONG</t>
        </is>
      </c>
      <c r="H87" s="23" t="inlineStr">
        <is>
          <t>Thái Dương</t>
        </is>
      </c>
      <c r="I87" s="23" t="inlineStr">
        <is>
          <t>Hà Nội</t>
        </is>
      </c>
      <c r="J87" s="23" t="inlineStr">
        <is>
          <t>Hà Nội</t>
        </is>
      </c>
      <c r="K87" s="38" t="n">
        <v>20.929215</v>
      </c>
      <c r="L87" s="38" t="n">
        <v>105.869998</v>
      </c>
      <c r="M87" s="39" t="n">
        <v>655</v>
      </c>
      <c r="N87" s="39" t="n">
        <v>745</v>
      </c>
      <c r="O87" s="23" t="inlineStr">
        <is>
          <t>10:55</t>
        </is>
      </c>
      <c r="P87" s="23" t="inlineStr">
        <is>
          <t>12:25</t>
        </is>
      </c>
      <c r="Q87" s="24" t="n">
        <v>20</v>
      </c>
      <c r="R87" s="32" t="n">
        <v>-418</v>
      </c>
      <c r="S87" s="33" t="n">
        <v>-4.21</v>
      </c>
      <c r="T87" s="23" t="inlineStr">
        <is>
          <t>1.25T</t>
        </is>
      </c>
      <c r="U87" s="23" t="inlineStr">
        <is>
          <t>1.25T</t>
        </is>
      </c>
      <c r="V87" s="23" t="inlineStr">
        <is>
          <t>Nội thành Hà Nội</t>
        </is>
      </c>
      <c r="W87" s="23" t="inlineStr">
        <is>
          <t>CR-NỘIT-04</t>
        </is>
      </c>
      <c r="X87" s="23" t="inlineStr">
        <is>
          <t>A - SLA chặt</t>
        </is>
      </c>
      <c r="Y87" s="35" t="n">
        <v>0</v>
      </c>
      <c r="Z87" s="32" t="n">
        <v>150000</v>
      </c>
      <c r="AA87" s="23" t="inlineStr">
        <is>
          <t>Yes</t>
        </is>
      </c>
      <c r="AB87" s="23" t="inlineStr">
        <is>
          <t>2026-06-05</t>
        </is>
      </c>
      <c r="AC87" s="23" t="inlineStr">
        <is>
          <t>Ready</t>
        </is>
      </c>
      <c r="AD87" s="23" t="inlineStr">
        <is>
          <t>Delivery paired with same order and same vehicle unless transshipment enabled</t>
        </is>
      </c>
    </row>
    <row r="88" ht="18" customHeight="1" s="17">
      <c r="A88" s="21" t="inlineStr">
        <is>
          <t>S2</t>
        </is>
      </c>
      <c r="B88" s="21" t="inlineStr">
        <is>
          <t>S2-ORD-014</t>
        </is>
      </c>
      <c r="C88" s="21" t="inlineStr">
        <is>
          <t>S2-ORD-014-P</t>
        </is>
      </c>
      <c r="D88" s="21" t="inlineStr">
        <is>
          <t>Pickup</t>
        </is>
      </c>
      <c r="E88" s="21" t="inlineStr">
        <is>
          <t>S2-ORD-014-D</t>
        </is>
      </c>
      <c r="F88" s="21" t="inlineStr">
        <is>
          <t>S2-ORD-014</t>
        </is>
      </c>
      <c r="G88" s="21" t="inlineStr">
        <is>
          <t>PK_LINFOX_VSIP</t>
        </is>
      </c>
      <c r="H88" s="21" t="inlineStr">
        <is>
          <t>Kho Linfox KCN VSIP Bắc Ninh</t>
        </is>
      </c>
      <c r="I88" s="21" t="inlineStr">
        <is>
          <t>Bắc Ninh</t>
        </is>
      </c>
      <c r="J88" s="21" t="inlineStr">
        <is>
          <t>Từ Sơn</t>
        </is>
      </c>
      <c r="K88" s="36" t="n">
        <v>21.082707</v>
      </c>
      <c r="L88" s="36" t="n">
        <v>105.997949</v>
      </c>
      <c r="M88" s="37" t="n">
        <v>420</v>
      </c>
      <c r="N88" s="37" t="n">
        <v>570</v>
      </c>
      <c r="O88" s="21" t="inlineStr">
        <is>
          <t>07:00</t>
        </is>
      </c>
      <c r="P88" s="21" t="inlineStr">
        <is>
          <t>09:30</t>
        </is>
      </c>
      <c r="Q88" s="22" t="n">
        <v>25</v>
      </c>
      <c r="R88" s="28" t="n">
        <v>980</v>
      </c>
      <c r="S88" s="29" t="n">
        <v>2.37</v>
      </c>
      <c r="T88" s="21" t="inlineStr">
        <is>
          <t>1.25T</t>
        </is>
      </c>
      <c r="U88" s="21" t="inlineStr">
        <is>
          <t>1.25T</t>
        </is>
      </c>
      <c r="V88" s="21" t="inlineStr">
        <is>
          <t>Nội thành Hà Nội</t>
        </is>
      </c>
      <c r="W88" s="21" t="inlineStr">
        <is>
          <t>CR-NỘIT-05</t>
        </is>
      </c>
      <c r="X88" s="21" t="inlineStr">
        <is>
          <t>A - SLA chặt</t>
        </is>
      </c>
      <c r="Y88" s="31" t="n">
        <v>760000</v>
      </c>
      <c r="Z88" s="28" t="n">
        <v>150000</v>
      </c>
      <c r="AA88" s="21" t="inlineStr">
        <is>
          <t>Yes</t>
        </is>
      </c>
      <c r="AB88" s="21" t="inlineStr">
        <is>
          <t>2026-06-05</t>
        </is>
      </c>
      <c r="AC88" s="21" t="inlineStr">
        <is>
          <t>Ready</t>
        </is>
      </c>
      <c r="AD88" s="21" t="inlineStr">
        <is>
          <t>Pickup must happen before paired delivery</t>
        </is>
      </c>
    </row>
    <row r="89" ht="18" customHeight="1" s="17">
      <c r="A89" s="23" t="inlineStr">
        <is>
          <t>S2</t>
        </is>
      </c>
      <c r="B89" s="23" t="inlineStr">
        <is>
          <t>S2-ORD-014</t>
        </is>
      </c>
      <c r="C89" s="23" t="inlineStr">
        <is>
          <t>S2-ORD-014-D</t>
        </is>
      </c>
      <c r="D89" s="23" t="inlineStr">
        <is>
          <t>Delivery</t>
        </is>
      </c>
      <c r="E89" s="23" t="inlineStr">
        <is>
          <t>S2-ORD-014-P</t>
        </is>
      </c>
      <c r="F89" s="23" t="inlineStr">
        <is>
          <t>S2-ORD-014</t>
        </is>
      </c>
      <c r="G89" s="23" t="inlineStr">
        <is>
          <t>DL_HN_TRUNGHOA</t>
        </is>
      </c>
      <c r="H89" s="23" t="inlineStr">
        <is>
          <t>VINMART Trung Hòa</t>
        </is>
      </c>
      <c r="I89" s="23" t="inlineStr">
        <is>
          <t>Hà Nội</t>
        </is>
      </c>
      <c r="J89" s="23" t="inlineStr">
        <is>
          <t>Cầu Giấy</t>
        </is>
      </c>
      <c r="K89" s="38" t="n">
        <v>21.007288</v>
      </c>
      <c r="L89" s="38" t="n">
        <v>105.80157</v>
      </c>
      <c r="M89" s="39" t="n">
        <v>616</v>
      </c>
      <c r="N89" s="39" t="n">
        <v>766</v>
      </c>
      <c r="O89" s="23" t="inlineStr">
        <is>
          <t>10:16</t>
        </is>
      </c>
      <c r="P89" s="23" t="inlineStr">
        <is>
          <t>12:46</t>
        </is>
      </c>
      <c r="Q89" s="24" t="n">
        <v>20</v>
      </c>
      <c r="R89" s="32" t="n">
        <v>-980</v>
      </c>
      <c r="S89" s="33" t="n">
        <v>-2.37</v>
      </c>
      <c r="T89" s="23" t="inlineStr">
        <is>
          <t>1.25T</t>
        </is>
      </c>
      <c r="U89" s="23" t="inlineStr">
        <is>
          <t>1.25T</t>
        </is>
      </c>
      <c r="V89" s="23" t="inlineStr">
        <is>
          <t>Nội thành Hà Nội</t>
        </is>
      </c>
      <c r="W89" s="23" t="inlineStr">
        <is>
          <t>CR-NỘIT-05</t>
        </is>
      </c>
      <c r="X89" s="23" t="inlineStr">
        <is>
          <t>A - SLA chặt</t>
        </is>
      </c>
      <c r="Y89" s="35" t="n">
        <v>0</v>
      </c>
      <c r="Z89" s="32" t="n">
        <v>150000</v>
      </c>
      <c r="AA89" s="23" t="inlineStr">
        <is>
          <t>Yes</t>
        </is>
      </c>
      <c r="AB89" s="23" t="inlineStr">
        <is>
          <t>2026-06-05</t>
        </is>
      </c>
      <c r="AC89" s="23" t="inlineStr">
        <is>
          <t>Ready</t>
        </is>
      </c>
      <c r="AD89" s="23" t="inlineStr">
        <is>
          <t>Delivery paired with same order and same vehicle unless transshipment enabled</t>
        </is>
      </c>
    </row>
    <row r="90" ht="18" customHeight="1" s="17">
      <c r="A90" s="21" t="inlineStr">
        <is>
          <t>S2</t>
        </is>
      </c>
      <c r="B90" s="21" t="inlineStr">
        <is>
          <t>S2-ORD-015</t>
        </is>
      </c>
      <c r="C90" s="21" t="inlineStr">
        <is>
          <t>S2-ORD-015-P</t>
        </is>
      </c>
      <c r="D90" s="21" t="inlineStr">
        <is>
          <t>Pickup</t>
        </is>
      </c>
      <c r="E90" s="21" t="inlineStr">
        <is>
          <t>S2-ORD-015-D</t>
        </is>
      </c>
      <c r="F90" s="21" t="inlineStr">
        <is>
          <t>S2-ORD-015</t>
        </is>
      </c>
      <c r="G90" s="21" t="inlineStr">
        <is>
          <t>PK_HPL_LB</t>
        </is>
      </c>
      <c r="H90" s="21" t="inlineStr">
        <is>
          <t>HPL Depot Long Biên - 20 Thạch Bàn</t>
        </is>
      </c>
      <c r="I90" s="21" t="inlineStr">
        <is>
          <t>Hà Nội</t>
        </is>
      </c>
      <c r="J90" s="21" t="inlineStr">
        <is>
          <t>Long Biên</t>
        </is>
      </c>
      <c r="K90" s="36" t="n">
        <v>21.0261548385</v>
      </c>
      <c r="L90" s="36" t="n">
        <v>105.914182238</v>
      </c>
      <c r="M90" s="37" t="n">
        <v>420</v>
      </c>
      <c r="N90" s="37" t="n">
        <v>570</v>
      </c>
      <c r="O90" s="21" t="inlineStr">
        <is>
          <t>07:00</t>
        </is>
      </c>
      <c r="P90" s="21" t="inlineStr">
        <is>
          <t>09:30</t>
        </is>
      </c>
      <c r="Q90" s="22" t="n">
        <v>40</v>
      </c>
      <c r="R90" s="28" t="n">
        <v>1391</v>
      </c>
      <c r="S90" s="29" t="n">
        <v>5.23</v>
      </c>
      <c r="T90" s="21" t="inlineStr">
        <is>
          <t>5T</t>
        </is>
      </c>
      <c r="U90" s="21" t="inlineStr">
        <is>
          <t>1.25T</t>
        </is>
      </c>
      <c r="V90" s="21" t="inlineStr">
        <is>
          <t>Nội thành Hà Nội</t>
        </is>
      </c>
      <c r="W90" s="21" t="inlineStr">
        <is>
          <t>CR-NỘIT-01</t>
        </is>
      </c>
      <c r="X90" s="21" t="inlineStr">
        <is>
          <t>C - Có thể thương lượng</t>
        </is>
      </c>
      <c r="Y90" s="31" t="n">
        <v>730000</v>
      </c>
      <c r="Z90" s="28" t="n">
        <v>80000</v>
      </c>
      <c r="AA90" s="21" t="inlineStr">
        <is>
          <t>Yes</t>
        </is>
      </c>
      <c r="AB90" s="21" t="inlineStr">
        <is>
          <t>2026-06-05</t>
        </is>
      </c>
      <c r="AC90" s="21" t="inlineStr">
        <is>
          <t>Review</t>
        </is>
      </c>
      <c r="AD90" s="21" t="inlineStr">
        <is>
          <t>Pickup must happen before paired delivery</t>
        </is>
      </c>
    </row>
    <row r="91" ht="18" customHeight="1" s="17">
      <c r="A91" s="23" t="inlineStr">
        <is>
          <t>S2</t>
        </is>
      </c>
      <c r="B91" s="23" t="inlineStr">
        <is>
          <t>S2-ORD-015</t>
        </is>
      </c>
      <c r="C91" s="23" t="inlineStr">
        <is>
          <t>S2-ORD-015-D</t>
        </is>
      </c>
      <c r="D91" s="23" t="inlineStr">
        <is>
          <t>Delivery</t>
        </is>
      </c>
      <c r="E91" s="23" t="inlineStr">
        <is>
          <t>S2-ORD-015-P</t>
        </is>
      </c>
      <c r="F91" s="23" t="inlineStr">
        <is>
          <t>S2-ORD-015</t>
        </is>
      </c>
      <c r="G91" s="23" t="inlineStr">
        <is>
          <t>DL_HN_ROYAL</t>
        </is>
      </c>
      <c r="H91" s="23" t="inlineStr">
        <is>
          <t>VINMART Royal City</t>
        </is>
      </c>
      <c r="I91" s="23" t="inlineStr">
        <is>
          <t>Hà Nội</t>
        </is>
      </c>
      <c r="J91" s="23" t="inlineStr">
        <is>
          <t>Thanh Xuân</t>
        </is>
      </c>
      <c r="K91" s="38" t="n">
        <v>21.003388</v>
      </c>
      <c r="L91" s="38" t="n">
        <v>105.816212</v>
      </c>
      <c r="M91" s="39" t="n">
        <v>606</v>
      </c>
      <c r="N91" s="39" t="n">
        <v>786</v>
      </c>
      <c r="O91" s="23" t="inlineStr">
        <is>
          <t>10:06</t>
        </is>
      </c>
      <c r="P91" s="23" t="inlineStr">
        <is>
          <t>13:06</t>
        </is>
      </c>
      <c r="Q91" s="24" t="n">
        <v>45</v>
      </c>
      <c r="R91" s="32" t="n">
        <v>-1391</v>
      </c>
      <c r="S91" s="33" t="n">
        <v>-5.23</v>
      </c>
      <c r="T91" s="23" t="inlineStr">
        <is>
          <t>5T</t>
        </is>
      </c>
      <c r="U91" s="23" t="inlineStr">
        <is>
          <t>1.25T</t>
        </is>
      </c>
      <c r="V91" s="23" t="inlineStr">
        <is>
          <t>Nội thành Hà Nội</t>
        </is>
      </c>
      <c r="W91" s="23" t="inlineStr">
        <is>
          <t>CR-NỘIT-01</t>
        </is>
      </c>
      <c r="X91" s="23" t="inlineStr">
        <is>
          <t>C - Có thể thương lượng</t>
        </is>
      </c>
      <c r="Y91" s="35" t="n">
        <v>0</v>
      </c>
      <c r="Z91" s="32" t="n">
        <v>80000</v>
      </c>
      <c r="AA91" s="23" t="inlineStr">
        <is>
          <t>Yes</t>
        </is>
      </c>
      <c r="AB91" s="23" t="inlineStr">
        <is>
          <t>2026-06-05</t>
        </is>
      </c>
      <c r="AC91" s="23" t="inlineStr">
        <is>
          <t>Review</t>
        </is>
      </c>
      <c r="AD91" s="23" t="inlineStr">
        <is>
          <t>Delivery paired with same order and same vehicle unless transshipment enabled</t>
        </is>
      </c>
    </row>
    <row r="92" ht="18" customHeight="1" s="17">
      <c r="A92" s="21" t="inlineStr">
        <is>
          <t>S2</t>
        </is>
      </c>
      <c r="B92" s="21" t="inlineStr">
        <is>
          <t>S2-ORD-016</t>
        </is>
      </c>
      <c r="C92" s="21" t="inlineStr">
        <is>
          <t>S2-ORD-016-P</t>
        </is>
      </c>
      <c r="D92" s="21" t="inlineStr">
        <is>
          <t>Pickup</t>
        </is>
      </c>
      <c r="E92" s="21" t="inlineStr">
        <is>
          <t>S2-ORD-016-D</t>
        </is>
      </c>
      <c r="F92" s="21" t="inlineStr">
        <is>
          <t>S2-ORD-016</t>
        </is>
      </c>
      <c r="G92" s="21" t="inlineStr">
        <is>
          <t>PK_HP_DINHVU</t>
        </is>
      </c>
      <c r="H92" s="21" t="inlineStr">
        <is>
          <t>Kho Hải Phòng - Đình Vũ</t>
        </is>
      </c>
      <c r="I92" s="21" t="inlineStr">
        <is>
          <t>Hải Phòng</t>
        </is>
      </c>
      <c r="J92" s="21" t="inlineStr">
        <is>
          <t>Hải An</t>
        </is>
      </c>
      <c r="K92" s="36" t="n">
        <v>20.8425</v>
      </c>
      <c r="L92" s="36" t="n">
        <v>106.77</v>
      </c>
      <c r="M92" s="37" t="n">
        <v>510</v>
      </c>
      <c r="N92" s="37" t="n">
        <v>630</v>
      </c>
      <c r="O92" s="21" t="inlineStr">
        <is>
          <t>08:30</t>
        </is>
      </c>
      <c r="P92" s="21" t="inlineStr">
        <is>
          <t>10:30</t>
        </is>
      </c>
      <c r="Q92" s="22" t="n">
        <v>40</v>
      </c>
      <c r="R92" s="28" t="n">
        <v>1817</v>
      </c>
      <c r="S92" s="29" t="n">
        <v>7.07</v>
      </c>
      <c r="T92" s="21" t="inlineStr">
        <is>
          <t>5T</t>
        </is>
      </c>
      <c r="U92" s="21" t="inlineStr">
        <is>
          <t>8T</t>
        </is>
      </c>
      <c r="V92" s="21" t="inlineStr">
        <is>
          <t>Đông Bắc</t>
        </is>
      </c>
      <c r="W92" s="21" t="inlineStr">
        <is>
          <t>CR-ĐÔNG-02</t>
        </is>
      </c>
      <c r="X92" s="21" t="inlineStr">
        <is>
          <t>C - Có thể thương lượng</t>
        </is>
      </c>
      <c r="Y92" s="31" t="n">
        <v>1250000</v>
      </c>
      <c r="Z92" s="28" t="n">
        <v>80000</v>
      </c>
      <c r="AA92" s="21" t="inlineStr">
        <is>
          <t>Yes</t>
        </is>
      </c>
      <c r="AB92" s="21" t="inlineStr">
        <is>
          <t>2026-06-05</t>
        </is>
      </c>
      <c r="AC92" s="21" t="inlineStr">
        <is>
          <t>Ready</t>
        </is>
      </c>
      <c r="AD92" s="21" t="inlineStr">
        <is>
          <t>Pickup must happen before paired delivery</t>
        </is>
      </c>
    </row>
    <row r="93" ht="18" customHeight="1" s="17">
      <c r="A93" s="23" t="inlineStr">
        <is>
          <t>S2</t>
        </is>
      </c>
      <c r="B93" s="23" t="inlineStr">
        <is>
          <t>S2-ORD-016</t>
        </is>
      </c>
      <c r="C93" s="23" t="inlineStr">
        <is>
          <t>S2-ORD-016-D</t>
        </is>
      </c>
      <c r="D93" s="23" t="inlineStr">
        <is>
          <t>Delivery</t>
        </is>
      </c>
      <c r="E93" s="23" t="inlineStr">
        <is>
          <t>S2-ORD-016-P</t>
        </is>
      </c>
      <c r="F93" s="23" t="inlineStr">
        <is>
          <t>S2-ORD-016</t>
        </is>
      </c>
      <c r="G93" s="23" t="inlineStr">
        <is>
          <t>DL_HD_SIEUTHI</t>
        </is>
      </c>
      <c r="H93" s="23" t="inlineStr">
        <is>
          <t>Siêu thị Hải Dương</t>
        </is>
      </c>
      <c r="I93" s="23" t="inlineStr">
        <is>
          <t>Hải Phòng</t>
        </is>
      </c>
      <c r="J93" s="23" t="inlineStr">
        <is>
          <t>Hải Dương</t>
        </is>
      </c>
      <c r="K93" s="38" t="n">
        <v>20.937341</v>
      </c>
      <c r="L93" s="38" t="n">
        <v>106.314555</v>
      </c>
      <c r="M93" s="39" t="n">
        <v>662</v>
      </c>
      <c r="N93" s="39" t="n">
        <v>842</v>
      </c>
      <c r="O93" s="23" t="inlineStr">
        <is>
          <t>11:02</t>
        </is>
      </c>
      <c r="P93" s="23" t="inlineStr">
        <is>
          <t>14:02</t>
        </is>
      </c>
      <c r="Q93" s="24" t="n">
        <v>35</v>
      </c>
      <c r="R93" s="32" t="n">
        <v>-1817</v>
      </c>
      <c r="S93" s="33" t="n">
        <v>-7.07</v>
      </c>
      <c r="T93" s="23" t="inlineStr">
        <is>
          <t>5T</t>
        </is>
      </c>
      <c r="U93" s="23" t="inlineStr">
        <is>
          <t>8T</t>
        </is>
      </c>
      <c r="V93" s="23" t="inlineStr">
        <is>
          <t>Đông Bắc</t>
        </is>
      </c>
      <c r="W93" s="23" t="inlineStr">
        <is>
          <t>CR-ĐÔNG-02</t>
        </is>
      </c>
      <c r="X93" s="23" t="inlineStr">
        <is>
          <t>C - Có thể thương lượng</t>
        </is>
      </c>
      <c r="Y93" s="35" t="n">
        <v>0</v>
      </c>
      <c r="Z93" s="32" t="n">
        <v>80000</v>
      </c>
      <c r="AA93" s="23" t="inlineStr">
        <is>
          <t>Yes</t>
        </is>
      </c>
      <c r="AB93" s="23" t="inlineStr">
        <is>
          <t>2026-06-05</t>
        </is>
      </c>
      <c r="AC93" s="23" t="inlineStr">
        <is>
          <t>Ready</t>
        </is>
      </c>
      <c r="AD93" s="23" t="inlineStr">
        <is>
          <t>Delivery paired with same order and same vehicle unless transshipment enabled</t>
        </is>
      </c>
    </row>
    <row r="94" ht="18" customHeight="1" s="17">
      <c r="A94" s="21" t="inlineStr">
        <is>
          <t>S2</t>
        </is>
      </c>
      <c r="B94" s="21" t="inlineStr">
        <is>
          <t>S2-ORD-017</t>
        </is>
      </c>
      <c r="C94" s="21" t="inlineStr">
        <is>
          <t>S2-ORD-017-P</t>
        </is>
      </c>
      <c r="D94" s="21" t="inlineStr">
        <is>
          <t>Pickup</t>
        </is>
      </c>
      <c r="E94" s="21" t="inlineStr">
        <is>
          <t>S2-ORD-017-D</t>
        </is>
      </c>
      <c r="F94" s="21" t="inlineStr">
        <is>
          <t>S2-ORD-017</t>
        </is>
      </c>
      <c r="G94" s="21" t="inlineStr">
        <is>
          <t>PK_HP_DINHVU</t>
        </is>
      </c>
      <c r="H94" s="21" t="inlineStr">
        <is>
          <t>Kho Hải Phòng - Đình Vũ</t>
        </is>
      </c>
      <c r="I94" s="21" t="inlineStr">
        <is>
          <t>Hải Phòng</t>
        </is>
      </c>
      <c r="J94" s="21" t="inlineStr">
        <is>
          <t>Hải An</t>
        </is>
      </c>
      <c r="K94" s="36" t="n">
        <v>20.8425</v>
      </c>
      <c r="L94" s="36" t="n">
        <v>106.77</v>
      </c>
      <c r="M94" s="37" t="n">
        <v>420</v>
      </c>
      <c r="N94" s="37" t="n">
        <v>570</v>
      </c>
      <c r="O94" s="21" t="inlineStr">
        <is>
          <t>07:00</t>
        </is>
      </c>
      <c r="P94" s="21" t="inlineStr">
        <is>
          <t>09:30</t>
        </is>
      </c>
      <c r="Q94" s="22" t="n">
        <v>40</v>
      </c>
      <c r="R94" s="28" t="n">
        <v>4860</v>
      </c>
      <c r="S94" s="29" t="n">
        <v>14.62</v>
      </c>
      <c r="T94" s="21" t="inlineStr">
        <is>
          <t>5T</t>
        </is>
      </c>
      <c r="U94" s="21" t="inlineStr">
        <is>
          <t>8T</t>
        </is>
      </c>
      <c r="V94" s="21" t="inlineStr">
        <is>
          <t>Đông Bắc</t>
        </is>
      </c>
      <c r="W94" s="21" t="inlineStr">
        <is>
          <t>CR-ĐÔNG-03</t>
        </is>
      </c>
      <c r="X94" s="21" t="inlineStr">
        <is>
          <t>C - Có thể thương lượng</t>
        </is>
      </c>
      <c r="Y94" s="31" t="n">
        <v>3250000</v>
      </c>
      <c r="Z94" s="28" t="n">
        <v>80000</v>
      </c>
      <c r="AA94" s="21" t="inlineStr">
        <is>
          <t>Yes</t>
        </is>
      </c>
      <c r="AB94" s="21" t="inlineStr">
        <is>
          <t>2026-06-05</t>
        </is>
      </c>
      <c r="AC94" s="21" t="inlineStr">
        <is>
          <t>Ready</t>
        </is>
      </c>
      <c r="AD94" s="21" t="inlineStr">
        <is>
          <t>Pickup must happen before paired delivery</t>
        </is>
      </c>
    </row>
    <row r="95" ht="18" customHeight="1" s="17">
      <c r="A95" s="23" t="inlineStr">
        <is>
          <t>S2</t>
        </is>
      </c>
      <c r="B95" s="23" t="inlineStr">
        <is>
          <t>S2-ORD-017</t>
        </is>
      </c>
      <c r="C95" s="23" t="inlineStr">
        <is>
          <t>S2-ORD-017-D</t>
        </is>
      </c>
      <c r="D95" s="23" t="inlineStr">
        <is>
          <t>Delivery</t>
        </is>
      </c>
      <c r="E95" s="23" t="inlineStr">
        <is>
          <t>S2-ORD-017-P</t>
        </is>
      </c>
      <c r="F95" s="23" t="inlineStr">
        <is>
          <t>S2-ORD-017</t>
        </is>
      </c>
      <c r="G95" s="23" t="inlineStr">
        <is>
          <t>DL_BN_QUEVO_01</t>
        </is>
      </c>
      <c r="H95" s="23" t="inlineStr">
        <is>
          <t>VINMART Quế Võ</t>
        </is>
      </c>
      <c r="I95" s="23" t="inlineStr">
        <is>
          <t>Bắc Ninh</t>
        </is>
      </c>
      <c r="J95" s="23" t="inlineStr">
        <is>
          <t>Quế Võ</t>
        </is>
      </c>
      <c r="K95" s="38" t="n">
        <v>21.170139</v>
      </c>
      <c r="L95" s="38" t="n">
        <v>106.102396</v>
      </c>
      <c r="M95" s="39" t="n">
        <v>680</v>
      </c>
      <c r="N95" s="39" t="n">
        <v>800</v>
      </c>
      <c r="O95" s="23" t="inlineStr">
        <is>
          <t>11:20</t>
        </is>
      </c>
      <c r="P95" s="23" t="inlineStr">
        <is>
          <t>13:20</t>
        </is>
      </c>
      <c r="Q95" s="24" t="n">
        <v>35</v>
      </c>
      <c r="R95" s="32" t="n">
        <v>-4860</v>
      </c>
      <c r="S95" s="33" t="n">
        <v>-14.62</v>
      </c>
      <c r="T95" s="23" t="inlineStr">
        <is>
          <t>5T</t>
        </is>
      </c>
      <c r="U95" s="23" t="inlineStr">
        <is>
          <t>8T</t>
        </is>
      </c>
      <c r="V95" s="23" t="inlineStr">
        <is>
          <t>Đông Bắc</t>
        </is>
      </c>
      <c r="W95" s="23" t="inlineStr">
        <is>
          <t>CR-ĐÔNG-03</t>
        </is>
      </c>
      <c r="X95" s="23" t="inlineStr">
        <is>
          <t>C - Có thể thương lượng</t>
        </is>
      </c>
      <c r="Y95" s="35" t="n">
        <v>0</v>
      </c>
      <c r="Z95" s="32" t="n">
        <v>80000</v>
      </c>
      <c r="AA95" s="23" t="inlineStr">
        <is>
          <t>Yes</t>
        </is>
      </c>
      <c r="AB95" s="23" t="inlineStr">
        <is>
          <t>2026-06-05</t>
        </is>
      </c>
      <c r="AC95" s="23" t="inlineStr">
        <is>
          <t>Ready</t>
        </is>
      </c>
      <c r="AD95" s="23" t="inlineStr">
        <is>
          <t>Delivery paired with same order and same vehicle unless transshipment enabled</t>
        </is>
      </c>
    </row>
    <row r="96" ht="18" customHeight="1" s="17">
      <c r="A96" s="21" t="inlineStr">
        <is>
          <t>S2</t>
        </is>
      </c>
      <c r="B96" s="21" t="inlineStr">
        <is>
          <t>S2-ORD-018</t>
        </is>
      </c>
      <c r="C96" s="21" t="inlineStr">
        <is>
          <t>S2-ORD-018-P</t>
        </is>
      </c>
      <c r="D96" s="21" t="inlineStr">
        <is>
          <t>Pickup</t>
        </is>
      </c>
      <c r="E96" s="21" t="inlineStr">
        <is>
          <t>S2-ORD-018-D</t>
        </is>
      </c>
      <c r="F96" s="21" t="inlineStr">
        <is>
          <t>S2-ORD-018</t>
        </is>
      </c>
      <c r="G96" s="21" t="inlineStr">
        <is>
          <t>PK_HY_MYHAO</t>
        </is>
      </c>
      <c r="H96" s="21" t="inlineStr">
        <is>
          <t>Kho/Nhà máy khách hàng Mỹ Hào</t>
        </is>
      </c>
      <c r="I96" s="21" t="inlineStr">
        <is>
          <t>Hưng Yên</t>
        </is>
      </c>
      <c r="J96" s="21" t="inlineStr">
        <is>
          <t>Mỹ Hào</t>
        </is>
      </c>
      <c r="K96" s="36" t="n">
        <v>20.9329</v>
      </c>
      <c r="L96" s="36" t="n">
        <v>106.065</v>
      </c>
      <c r="M96" s="37" t="n">
        <v>540</v>
      </c>
      <c r="N96" s="37" t="n">
        <v>630</v>
      </c>
      <c r="O96" s="21" t="inlineStr">
        <is>
          <t>09:00</t>
        </is>
      </c>
      <c r="P96" s="21" t="inlineStr">
        <is>
          <t>10:30</t>
        </is>
      </c>
      <c r="Q96" s="22" t="n">
        <v>40</v>
      </c>
      <c r="R96" s="28" t="n">
        <v>1426</v>
      </c>
      <c r="S96" s="29" t="n">
        <v>3.42</v>
      </c>
      <c r="T96" s="21" t="inlineStr">
        <is>
          <t>5T</t>
        </is>
      </c>
      <c r="U96" s="21" t="inlineStr">
        <is>
          <t>1.25T</t>
        </is>
      </c>
      <c r="V96" s="21" t="inlineStr">
        <is>
          <t>Nội thành Hà Nội</t>
        </is>
      </c>
      <c r="W96" s="21" t="inlineStr">
        <is>
          <t>CR-NỘIT-04</t>
        </is>
      </c>
      <c r="X96" s="21" t="inlineStr">
        <is>
          <t>B - Thường</t>
        </is>
      </c>
      <c r="Y96" s="31" t="n">
        <v>1110000</v>
      </c>
      <c r="Z96" s="28" t="n">
        <v>80000</v>
      </c>
      <c r="AA96" s="21" t="inlineStr">
        <is>
          <t>Yes</t>
        </is>
      </c>
      <c r="AB96" s="21" t="inlineStr">
        <is>
          <t>2026-06-05</t>
        </is>
      </c>
      <c r="AC96" s="21" t="inlineStr">
        <is>
          <t>Review</t>
        </is>
      </c>
      <c r="AD96" s="21" t="inlineStr">
        <is>
          <t>Pickup must happen before paired delivery</t>
        </is>
      </c>
    </row>
    <row r="97" ht="18" customHeight="1" s="17">
      <c r="A97" s="23" t="inlineStr">
        <is>
          <t>S2</t>
        </is>
      </c>
      <c r="B97" s="23" t="inlineStr">
        <is>
          <t>S2-ORD-018</t>
        </is>
      </c>
      <c r="C97" s="23" t="inlineStr">
        <is>
          <t>S2-ORD-018-D</t>
        </is>
      </c>
      <c r="D97" s="23" t="inlineStr">
        <is>
          <t>Delivery</t>
        </is>
      </c>
      <c r="E97" s="23" t="inlineStr">
        <is>
          <t>S2-ORD-018-P</t>
        </is>
      </c>
      <c r="F97" s="23" t="inlineStr">
        <is>
          <t>S2-ORD-018</t>
        </is>
      </c>
      <c r="G97" s="23" t="inlineStr">
        <is>
          <t>DL_HN_TRUNGHOA</t>
        </is>
      </c>
      <c r="H97" s="23" t="inlineStr">
        <is>
          <t>VINMART Trung Hòa</t>
        </is>
      </c>
      <c r="I97" s="23" t="inlineStr">
        <is>
          <t>Hà Nội</t>
        </is>
      </c>
      <c r="J97" s="23" t="inlineStr">
        <is>
          <t>Cầu Giấy</t>
        </is>
      </c>
      <c r="K97" s="38" t="n">
        <v>21.007288</v>
      </c>
      <c r="L97" s="38" t="n">
        <v>105.80157</v>
      </c>
      <c r="M97" s="39" t="n">
        <v>770</v>
      </c>
      <c r="N97" s="39" t="n">
        <v>920</v>
      </c>
      <c r="O97" s="23" t="inlineStr">
        <is>
          <t>12:50</t>
        </is>
      </c>
      <c r="P97" s="23" t="inlineStr">
        <is>
          <t>15:20</t>
        </is>
      </c>
      <c r="Q97" s="24" t="n">
        <v>35</v>
      </c>
      <c r="R97" s="32" t="n">
        <v>-1426</v>
      </c>
      <c r="S97" s="33" t="n">
        <v>-3.42</v>
      </c>
      <c r="T97" s="23" t="inlineStr">
        <is>
          <t>5T</t>
        </is>
      </c>
      <c r="U97" s="23" t="inlineStr">
        <is>
          <t>1.25T</t>
        </is>
      </c>
      <c r="V97" s="23" t="inlineStr">
        <is>
          <t>Nội thành Hà Nội</t>
        </is>
      </c>
      <c r="W97" s="23" t="inlineStr">
        <is>
          <t>CR-NỘIT-04</t>
        </is>
      </c>
      <c r="X97" s="23" t="inlineStr">
        <is>
          <t>B - Thường</t>
        </is>
      </c>
      <c r="Y97" s="35" t="n">
        <v>0</v>
      </c>
      <c r="Z97" s="32" t="n">
        <v>80000</v>
      </c>
      <c r="AA97" s="23" t="inlineStr">
        <is>
          <t>Yes</t>
        </is>
      </c>
      <c r="AB97" s="23" t="inlineStr">
        <is>
          <t>2026-06-05</t>
        </is>
      </c>
      <c r="AC97" s="23" t="inlineStr">
        <is>
          <t>Review</t>
        </is>
      </c>
      <c r="AD97" s="23" t="inlineStr">
        <is>
          <t>Delivery paired with same order and same vehicle unless transshipment enabled</t>
        </is>
      </c>
    </row>
    <row r="98" ht="18" customHeight="1" s="17">
      <c r="A98" s="21" t="inlineStr">
        <is>
          <t>S2</t>
        </is>
      </c>
      <c r="B98" s="21" t="inlineStr">
        <is>
          <t>S2-ORD-019</t>
        </is>
      </c>
      <c r="C98" s="21" t="inlineStr">
        <is>
          <t>S2-ORD-019-P</t>
        </is>
      </c>
      <c r="D98" s="21" t="inlineStr">
        <is>
          <t>Pickup</t>
        </is>
      </c>
      <c r="E98" s="21" t="inlineStr">
        <is>
          <t>S2-ORD-019-D</t>
        </is>
      </c>
      <c r="F98" s="21" t="inlineStr">
        <is>
          <t>S2-ORD-019</t>
        </is>
      </c>
      <c r="G98" s="21" t="inlineStr">
        <is>
          <t>PK_HPL_LB</t>
        </is>
      </c>
      <c r="H98" s="21" t="inlineStr">
        <is>
          <t>HPL Depot Long Biên - 20 Thạch Bàn</t>
        </is>
      </c>
      <c r="I98" s="21" t="inlineStr">
        <is>
          <t>Hà Nội</t>
        </is>
      </c>
      <c r="J98" s="21" t="inlineStr">
        <is>
          <t>Long Biên</t>
        </is>
      </c>
      <c r="K98" s="36" t="n">
        <v>21.0261548385</v>
      </c>
      <c r="L98" s="36" t="n">
        <v>105.914182238</v>
      </c>
      <c r="M98" s="37" t="n">
        <v>480</v>
      </c>
      <c r="N98" s="37" t="n">
        <v>600</v>
      </c>
      <c r="O98" s="21" t="inlineStr">
        <is>
          <t>08:00</t>
        </is>
      </c>
      <c r="P98" s="21" t="inlineStr">
        <is>
          <t>10:00</t>
        </is>
      </c>
      <c r="Q98" s="22" t="n">
        <v>25</v>
      </c>
      <c r="R98" s="28" t="n">
        <v>803</v>
      </c>
      <c r="S98" s="29" t="n">
        <v>2.22</v>
      </c>
      <c r="T98" s="21" t="inlineStr">
        <is>
          <t>1.25T</t>
        </is>
      </c>
      <c r="U98" s="21" t="inlineStr">
        <is>
          <t>1.25T</t>
        </is>
      </c>
      <c r="V98" s="21" t="inlineStr">
        <is>
          <t>Nội thành Hà Nội</t>
        </is>
      </c>
      <c r="W98" s="21" t="inlineStr">
        <is>
          <t>CR-NỘIT-05</t>
        </is>
      </c>
      <c r="X98" s="21" t="inlineStr">
        <is>
          <t>C - Có thể thương lượng</t>
        </is>
      </c>
      <c r="Y98" s="31" t="n">
        <v>870000</v>
      </c>
      <c r="Z98" s="28" t="n">
        <v>80000</v>
      </c>
      <c r="AA98" s="21" t="inlineStr">
        <is>
          <t>Yes</t>
        </is>
      </c>
      <c r="AB98" s="21" t="inlineStr">
        <is>
          <t>2026-06-05</t>
        </is>
      </c>
      <c r="AC98" s="21" t="inlineStr">
        <is>
          <t>Ready</t>
        </is>
      </c>
      <c r="AD98" s="21" t="inlineStr">
        <is>
          <t>Pickup must happen before paired delivery</t>
        </is>
      </c>
    </row>
    <row r="99" ht="18" customHeight="1" s="17">
      <c r="A99" s="23" t="inlineStr">
        <is>
          <t>S2</t>
        </is>
      </c>
      <c r="B99" s="23" t="inlineStr">
        <is>
          <t>S2-ORD-019</t>
        </is>
      </c>
      <c r="C99" s="23" t="inlineStr">
        <is>
          <t>S2-ORD-019-D</t>
        </is>
      </c>
      <c r="D99" s="23" t="inlineStr">
        <is>
          <t>Delivery</t>
        </is>
      </c>
      <c r="E99" s="23" t="inlineStr">
        <is>
          <t>S2-ORD-019-P</t>
        </is>
      </c>
      <c r="F99" s="23" t="inlineStr">
        <is>
          <t>S2-ORD-019</t>
        </is>
      </c>
      <c r="G99" s="23" t="inlineStr">
        <is>
          <t>DL_HN_ROYAL</t>
        </is>
      </c>
      <c r="H99" s="23" t="inlineStr">
        <is>
          <t>VINMART Royal City</t>
        </is>
      </c>
      <c r="I99" s="23" t="inlineStr">
        <is>
          <t>Hà Nội</t>
        </is>
      </c>
      <c r="J99" s="23" t="inlineStr">
        <is>
          <t>Thanh Xuân</t>
        </is>
      </c>
      <c r="K99" s="38" t="n">
        <v>21.003388</v>
      </c>
      <c r="L99" s="38" t="n">
        <v>105.816212</v>
      </c>
      <c r="M99" s="39" t="n">
        <v>620</v>
      </c>
      <c r="N99" s="39" t="n">
        <v>770</v>
      </c>
      <c r="O99" s="23" t="inlineStr">
        <is>
          <t>10:20</t>
        </is>
      </c>
      <c r="P99" s="23" t="inlineStr">
        <is>
          <t>12:50</t>
        </is>
      </c>
      <c r="Q99" s="24" t="n">
        <v>30</v>
      </c>
      <c r="R99" s="32" t="n">
        <v>-803</v>
      </c>
      <c r="S99" s="33" t="n">
        <v>-2.22</v>
      </c>
      <c r="T99" s="23" t="inlineStr">
        <is>
          <t>1.25T</t>
        </is>
      </c>
      <c r="U99" s="23" t="inlineStr">
        <is>
          <t>1.25T</t>
        </is>
      </c>
      <c r="V99" s="23" t="inlineStr">
        <is>
          <t>Nội thành Hà Nội</t>
        </is>
      </c>
      <c r="W99" s="23" t="inlineStr">
        <is>
          <t>CR-NỘIT-05</t>
        </is>
      </c>
      <c r="X99" s="23" t="inlineStr">
        <is>
          <t>C - Có thể thương lượng</t>
        </is>
      </c>
      <c r="Y99" s="35" t="n">
        <v>0</v>
      </c>
      <c r="Z99" s="32" t="n">
        <v>80000</v>
      </c>
      <c r="AA99" s="23" t="inlineStr">
        <is>
          <t>Yes</t>
        </is>
      </c>
      <c r="AB99" s="23" t="inlineStr">
        <is>
          <t>2026-06-05</t>
        </is>
      </c>
      <c r="AC99" s="23" t="inlineStr">
        <is>
          <t>Ready</t>
        </is>
      </c>
      <c r="AD99" s="23" t="inlineStr">
        <is>
          <t>Delivery paired with same order and same vehicle unless transshipment enabled</t>
        </is>
      </c>
    </row>
    <row r="100" ht="18" customHeight="1" s="17">
      <c r="A100" s="21" t="inlineStr">
        <is>
          <t>S2</t>
        </is>
      </c>
      <c r="B100" s="21" t="inlineStr">
        <is>
          <t>S2-ORD-020</t>
        </is>
      </c>
      <c r="C100" s="21" t="inlineStr">
        <is>
          <t>S2-ORD-020-P</t>
        </is>
      </c>
      <c r="D100" s="21" t="inlineStr">
        <is>
          <t>Pickup</t>
        </is>
      </c>
      <c r="E100" s="21" t="inlineStr">
        <is>
          <t>S2-ORD-020-D</t>
        </is>
      </c>
      <c r="F100" s="21" t="inlineStr">
        <is>
          <t>S2-ORD-020</t>
        </is>
      </c>
      <c r="G100" s="21" t="inlineStr">
        <is>
          <t>PK_HPL_LB</t>
        </is>
      </c>
      <c r="H100" s="21" t="inlineStr">
        <is>
          <t>HPL Depot Long Biên - 20 Thạch Bàn</t>
        </is>
      </c>
      <c r="I100" s="21" t="inlineStr">
        <is>
          <t>Hà Nội</t>
        </is>
      </c>
      <c r="J100" s="21" t="inlineStr">
        <is>
          <t>Long Biên</t>
        </is>
      </c>
      <c r="K100" s="36" t="n">
        <v>21.0261548385</v>
      </c>
      <c r="L100" s="36" t="n">
        <v>105.914182238</v>
      </c>
      <c r="M100" s="37" t="n">
        <v>480</v>
      </c>
      <c r="N100" s="37" t="n">
        <v>600</v>
      </c>
      <c r="O100" s="21" t="inlineStr">
        <is>
          <t>08:00</t>
        </is>
      </c>
      <c r="P100" s="21" t="inlineStr">
        <is>
          <t>10:00</t>
        </is>
      </c>
      <c r="Q100" s="22" t="n">
        <v>40</v>
      </c>
      <c r="R100" s="28" t="n">
        <v>3715</v>
      </c>
      <c r="S100" s="29" t="n">
        <v>9.81</v>
      </c>
      <c r="T100" s="21" t="inlineStr">
        <is>
          <t>5T</t>
        </is>
      </c>
      <c r="U100" s="21" t="inlineStr">
        <is>
          <t>8T</t>
        </is>
      </c>
      <c r="V100" s="21" t="inlineStr">
        <is>
          <t>Đông Nam Hà Nội</t>
        </is>
      </c>
      <c r="W100" s="21" t="inlineStr">
        <is>
          <t>CR-ĐÔNG-01</t>
        </is>
      </c>
      <c r="X100" s="21" t="inlineStr">
        <is>
          <t>A - SLA chặt</t>
        </is>
      </c>
      <c r="Y100" s="31" t="n">
        <v>2730000</v>
      </c>
      <c r="Z100" s="28" t="n">
        <v>150000</v>
      </c>
      <c r="AA100" s="21" t="inlineStr">
        <is>
          <t>Yes</t>
        </is>
      </c>
      <c r="AB100" s="21" t="inlineStr">
        <is>
          <t>2026-06-05</t>
        </is>
      </c>
      <c r="AC100" s="21" t="inlineStr">
        <is>
          <t>Ready</t>
        </is>
      </c>
      <c r="AD100" s="21" t="inlineStr">
        <is>
          <t>Pickup must happen before paired delivery</t>
        </is>
      </c>
    </row>
    <row r="101" ht="18" customHeight="1" s="17">
      <c r="A101" s="23" t="inlineStr">
        <is>
          <t>S2</t>
        </is>
      </c>
      <c r="B101" s="23" t="inlineStr">
        <is>
          <t>S2-ORD-020</t>
        </is>
      </c>
      <c r="C101" s="23" t="inlineStr">
        <is>
          <t>S2-ORD-020-D</t>
        </is>
      </c>
      <c r="D101" s="23" t="inlineStr">
        <is>
          <t>Delivery</t>
        </is>
      </c>
      <c r="E101" s="23" t="inlineStr">
        <is>
          <t>S2-ORD-020-P</t>
        </is>
      </c>
      <c r="F101" s="23" t="inlineStr">
        <is>
          <t>S2-ORD-020</t>
        </is>
      </c>
      <c r="G101" s="23" t="inlineStr">
        <is>
          <t>DL_TB_SIEUTHI</t>
        </is>
      </c>
      <c r="H101" s="23" t="inlineStr">
        <is>
          <t>Siêu thị Thái Bình</t>
        </is>
      </c>
      <c r="I101" s="23" t="inlineStr">
        <is>
          <t>Hưng Yên</t>
        </is>
      </c>
      <c r="J101" s="23" t="inlineStr">
        <is>
          <t>Thái Bình</t>
        </is>
      </c>
      <c r="K101" s="38" t="n">
        <v>20.446344</v>
      </c>
      <c r="L101" s="38" t="n">
        <v>106.336582</v>
      </c>
      <c r="M101" s="39" t="n">
        <v>747</v>
      </c>
      <c r="N101" s="39" t="n">
        <v>867</v>
      </c>
      <c r="O101" s="23" t="inlineStr">
        <is>
          <t>12:27</t>
        </is>
      </c>
      <c r="P101" s="23" t="inlineStr">
        <is>
          <t>14:27</t>
        </is>
      </c>
      <c r="Q101" s="24" t="n">
        <v>35</v>
      </c>
      <c r="R101" s="32" t="n">
        <v>-3715</v>
      </c>
      <c r="S101" s="33" t="n">
        <v>-9.81</v>
      </c>
      <c r="T101" s="23" t="inlineStr">
        <is>
          <t>5T</t>
        </is>
      </c>
      <c r="U101" s="23" t="inlineStr">
        <is>
          <t>8T</t>
        </is>
      </c>
      <c r="V101" s="23" t="inlineStr">
        <is>
          <t>Đông Nam Hà Nội</t>
        </is>
      </c>
      <c r="W101" s="23" t="inlineStr">
        <is>
          <t>CR-ĐÔNG-01</t>
        </is>
      </c>
      <c r="X101" s="23" t="inlineStr">
        <is>
          <t>A - SLA chặt</t>
        </is>
      </c>
      <c r="Y101" s="35" t="n">
        <v>0</v>
      </c>
      <c r="Z101" s="32" t="n">
        <v>150000</v>
      </c>
      <c r="AA101" s="23" t="inlineStr">
        <is>
          <t>Yes</t>
        </is>
      </c>
      <c r="AB101" s="23" t="inlineStr">
        <is>
          <t>2026-06-05</t>
        </is>
      </c>
      <c r="AC101" s="23" t="inlineStr">
        <is>
          <t>Ready</t>
        </is>
      </c>
      <c r="AD101" s="23" t="inlineStr">
        <is>
          <t>Delivery paired with same order and same vehicle unless transshipment enabled</t>
        </is>
      </c>
    </row>
    <row r="102" ht="18" customHeight="1" s="17">
      <c r="A102" s="21" t="inlineStr">
        <is>
          <t>S2</t>
        </is>
      </c>
      <c r="B102" s="21" t="inlineStr">
        <is>
          <t>S2-ORD-021</t>
        </is>
      </c>
      <c r="C102" s="21" t="inlineStr">
        <is>
          <t>S2-ORD-021-P</t>
        </is>
      </c>
      <c r="D102" s="21" t="inlineStr">
        <is>
          <t>Pickup</t>
        </is>
      </c>
      <c r="E102" s="21" t="inlineStr">
        <is>
          <t>S2-ORD-021-D</t>
        </is>
      </c>
      <c r="F102" s="21" t="inlineStr">
        <is>
          <t>S2-ORD-021</t>
        </is>
      </c>
      <c r="G102" s="21" t="inlineStr">
        <is>
          <t>PK_HPL_LB</t>
        </is>
      </c>
      <c r="H102" s="21" t="inlineStr">
        <is>
          <t>HPL Depot Long Biên - 20 Thạch Bàn</t>
        </is>
      </c>
      <c r="I102" s="21" t="inlineStr">
        <is>
          <t>Hà Nội</t>
        </is>
      </c>
      <c r="J102" s="21" t="inlineStr">
        <is>
          <t>Long Biên</t>
        </is>
      </c>
      <c r="K102" s="36" t="n">
        <v>21.0261548385</v>
      </c>
      <c r="L102" s="36" t="n">
        <v>105.914182238</v>
      </c>
      <c r="M102" s="37" t="n">
        <v>420</v>
      </c>
      <c r="N102" s="37" t="n">
        <v>540</v>
      </c>
      <c r="O102" s="21" t="inlineStr">
        <is>
          <t>07:00</t>
        </is>
      </c>
      <c r="P102" s="21" t="inlineStr">
        <is>
          <t>09:00</t>
        </is>
      </c>
      <c r="Q102" s="22" t="n">
        <v>120</v>
      </c>
      <c r="R102" s="28" t="n">
        <v>11928</v>
      </c>
      <c r="S102" s="29" t="n">
        <v>33.95</v>
      </c>
      <c r="T102" s="21" t="inlineStr">
        <is>
          <t>3 chân</t>
        </is>
      </c>
      <c r="U102" s="21" t="inlineStr">
        <is>
          <t>3 chân</t>
        </is>
      </c>
      <c r="V102" s="21" t="inlineStr">
        <is>
          <t>Bắc Trung Bộ</t>
        </is>
      </c>
      <c r="W102" s="21" t="inlineStr">
        <is>
          <t>CR-BẮCT-02</t>
        </is>
      </c>
      <c r="X102" s="21" t="inlineStr">
        <is>
          <t>A - SLA chặt</t>
        </is>
      </c>
      <c r="Y102" s="31" t="n">
        <v>14210000</v>
      </c>
      <c r="Z102" s="28" t="n">
        <v>150000</v>
      </c>
      <c r="AA102" s="21" t="inlineStr">
        <is>
          <t>Yes</t>
        </is>
      </c>
      <c r="AB102" s="21" t="inlineStr">
        <is>
          <t>2026-06-05</t>
        </is>
      </c>
      <c r="AC102" s="21" t="inlineStr">
        <is>
          <t>Ready</t>
        </is>
      </c>
      <c r="AD102" s="21" t="inlineStr">
        <is>
          <t>Pickup must happen before paired delivery</t>
        </is>
      </c>
    </row>
    <row r="103" ht="18" customHeight="1" s="17">
      <c r="A103" s="23" t="inlineStr">
        <is>
          <t>S2</t>
        </is>
      </c>
      <c r="B103" s="23" t="inlineStr">
        <is>
          <t>S2-ORD-021</t>
        </is>
      </c>
      <c r="C103" s="23" t="inlineStr">
        <is>
          <t>S2-ORD-021-D</t>
        </is>
      </c>
      <c r="D103" s="23" t="inlineStr">
        <is>
          <t>Delivery</t>
        </is>
      </c>
      <c r="E103" s="23" t="inlineStr">
        <is>
          <t>S2-ORD-021-P</t>
        </is>
      </c>
      <c r="F103" s="23" t="inlineStr">
        <is>
          <t>S2-ORD-021</t>
        </is>
      </c>
      <c r="G103" s="23" t="inlineStr">
        <is>
          <t>DL_TH_BHX_QX</t>
        </is>
      </c>
      <c r="H103" s="23" t="inlineStr">
        <is>
          <t>BHX Thanh Hóa - Kho DC Quảng Xương</t>
        </is>
      </c>
      <c r="I103" s="23" t="inlineStr">
        <is>
          <t>Thanh Hóa</t>
        </is>
      </c>
      <c r="J103" s="23" t="inlineStr">
        <is>
          <t>Quảng Xương</t>
        </is>
      </c>
      <c r="K103" s="38" t="n">
        <v>19.731</v>
      </c>
      <c r="L103" s="38" t="n">
        <v>105.815</v>
      </c>
      <c r="M103" s="39" t="n">
        <v>844</v>
      </c>
      <c r="N103" s="39" t="n">
        <v>964</v>
      </c>
      <c r="O103" s="23" t="inlineStr">
        <is>
          <t>14:04</t>
        </is>
      </c>
      <c r="P103" s="23" t="inlineStr">
        <is>
          <t>16:04</t>
        </is>
      </c>
      <c r="Q103" s="24" t="n">
        <v>90</v>
      </c>
      <c r="R103" s="32" t="n">
        <v>-11928</v>
      </c>
      <c r="S103" s="33" t="n">
        <v>-33.95</v>
      </c>
      <c r="T103" s="23" t="inlineStr">
        <is>
          <t>3 chân</t>
        </is>
      </c>
      <c r="U103" s="23" t="inlineStr">
        <is>
          <t>3 chân</t>
        </is>
      </c>
      <c r="V103" s="23" t="inlineStr">
        <is>
          <t>Bắc Trung Bộ</t>
        </is>
      </c>
      <c r="W103" s="23" t="inlineStr">
        <is>
          <t>CR-BẮCT-02</t>
        </is>
      </c>
      <c r="X103" s="23" t="inlineStr">
        <is>
          <t>A - SLA chặt</t>
        </is>
      </c>
      <c r="Y103" s="35" t="n">
        <v>0</v>
      </c>
      <c r="Z103" s="32" t="n">
        <v>150000</v>
      </c>
      <c r="AA103" s="23" t="inlineStr">
        <is>
          <t>Yes</t>
        </is>
      </c>
      <c r="AB103" s="23" t="inlineStr">
        <is>
          <t>2026-06-05</t>
        </is>
      </c>
      <c r="AC103" s="23" t="inlineStr">
        <is>
          <t>Ready</t>
        </is>
      </c>
      <c r="AD103" s="23" t="inlineStr">
        <is>
          <t>Delivery paired with same order and same vehicle unless transshipment enabled</t>
        </is>
      </c>
    </row>
    <row r="104" ht="18" customHeight="1" s="17">
      <c r="A104" s="21" t="inlineStr">
        <is>
          <t>S2</t>
        </is>
      </c>
      <c r="B104" s="21" t="inlineStr">
        <is>
          <t>S2-ORD-022</t>
        </is>
      </c>
      <c r="C104" s="21" t="inlineStr">
        <is>
          <t>S2-ORD-022-P</t>
        </is>
      </c>
      <c r="D104" s="21" t="inlineStr">
        <is>
          <t>Pickup</t>
        </is>
      </c>
      <c r="E104" s="21" t="inlineStr">
        <is>
          <t>S2-ORD-022-D</t>
        </is>
      </c>
      <c r="F104" s="21" t="inlineStr">
        <is>
          <t>S2-ORD-022</t>
        </is>
      </c>
      <c r="G104" s="21" t="inlineStr">
        <is>
          <t>PK_LINFOX_VSIP</t>
        </is>
      </c>
      <c r="H104" s="21" t="inlineStr">
        <is>
          <t>Kho Linfox KCN VSIP Bắc Ninh</t>
        </is>
      </c>
      <c r="I104" s="21" t="inlineStr">
        <is>
          <t>Bắc Ninh</t>
        </is>
      </c>
      <c r="J104" s="21" t="inlineStr">
        <is>
          <t>Từ Sơn</t>
        </is>
      </c>
      <c r="K104" s="36" t="n">
        <v>21.082707</v>
      </c>
      <c r="L104" s="36" t="n">
        <v>105.997949</v>
      </c>
      <c r="M104" s="37" t="n">
        <v>510</v>
      </c>
      <c r="N104" s="37" t="n">
        <v>660</v>
      </c>
      <c r="O104" s="21" t="inlineStr">
        <is>
          <t>08:30</t>
        </is>
      </c>
      <c r="P104" s="21" t="inlineStr">
        <is>
          <t>11:00</t>
        </is>
      </c>
      <c r="Q104" s="22" t="n">
        <v>25</v>
      </c>
      <c r="R104" s="28" t="n">
        <v>646</v>
      </c>
      <c r="S104" s="29" t="n">
        <v>1.19</v>
      </c>
      <c r="T104" s="21" t="inlineStr">
        <is>
          <t>1.25T</t>
        </is>
      </c>
      <c r="U104" s="21" t="inlineStr">
        <is>
          <t>1.25T</t>
        </is>
      </c>
      <c r="V104" s="21" t="inlineStr">
        <is>
          <t>Nội thành Hà Nội</t>
        </is>
      </c>
      <c r="W104" s="21" t="inlineStr">
        <is>
          <t>CR-NỘIT-03</t>
        </is>
      </c>
      <c r="X104" s="21" t="inlineStr">
        <is>
          <t>A - SLA chặt</t>
        </is>
      </c>
      <c r="Y104" s="31" t="n">
        <v>910000</v>
      </c>
      <c r="Z104" s="28" t="n">
        <v>150000</v>
      </c>
      <c r="AA104" s="21" t="inlineStr">
        <is>
          <t>Yes</t>
        </is>
      </c>
      <c r="AB104" s="21" t="inlineStr">
        <is>
          <t>2026-06-05</t>
        </is>
      </c>
      <c r="AC104" s="21" t="inlineStr">
        <is>
          <t>Ready</t>
        </is>
      </c>
      <c r="AD104" s="21" t="inlineStr">
        <is>
          <t>Pickup must happen before paired delivery</t>
        </is>
      </c>
    </row>
    <row r="105" ht="18" customHeight="1" s="17">
      <c r="A105" s="23" t="inlineStr">
        <is>
          <t>S2</t>
        </is>
      </c>
      <c r="B105" s="23" t="inlineStr">
        <is>
          <t>S2-ORD-022</t>
        </is>
      </c>
      <c r="C105" s="23" t="inlineStr">
        <is>
          <t>S2-ORD-022-D</t>
        </is>
      </c>
      <c r="D105" s="23" t="inlineStr">
        <is>
          <t>Delivery</t>
        </is>
      </c>
      <c r="E105" s="23" t="inlineStr">
        <is>
          <t>S2-ORD-022-P</t>
        </is>
      </c>
      <c r="F105" s="23" t="inlineStr">
        <is>
          <t>S2-ORD-022</t>
        </is>
      </c>
      <c r="G105" s="23" t="inlineStr">
        <is>
          <t>DL_HN_BACTULIEM</t>
        </is>
      </c>
      <c r="H105" s="23" t="inlineStr">
        <is>
          <t>VINMART Bắc Từ Liêm</t>
        </is>
      </c>
      <c r="I105" s="23" t="inlineStr">
        <is>
          <t>Hà Nội</t>
        </is>
      </c>
      <c r="J105" s="23" t="inlineStr">
        <is>
          <t>Bắc Từ Liêm</t>
        </is>
      </c>
      <c r="K105" s="38" t="n">
        <v>21.052701</v>
      </c>
      <c r="L105" s="38" t="n">
        <v>105.780729</v>
      </c>
      <c r="M105" s="39" t="n">
        <v>680</v>
      </c>
      <c r="N105" s="39" t="n">
        <v>770</v>
      </c>
      <c r="O105" s="23" t="inlineStr">
        <is>
          <t>11:20</t>
        </is>
      </c>
      <c r="P105" s="23" t="inlineStr">
        <is>
          <t>12:50</t>
        </is>
      </c>
      <c r="Q105" s="24" t="n">
        <v>20</v>
      </c>
      <c r="R105" s="32" t="n">
        <v>-646</v>
      </c>
      <c r="S105" s="33" t="n">
        <v>-1.19</v>
      </c>
      <c r="T105" s="23" t="inlineStr">
        <is>
          <t>1.25T</t>
        </is>
      </c>
      <c r="U105" s="23" t="inlineStr">
        <is>
          <t>1.25T</t>
        </is>
      </c>
      <c r="V105" s="23" t="inlineStr">
        <is>
          <t>Nội thành Hà Nội</t>
        </is>
      </c>
      <c r="W105" s="23" t="inlineStr">
        <is>
          <t>CR-NỘIT-03</t>
        </is>
      </c>
      <c r="X105" s="23" t="inlineStr">
        <is>
          <t>A - SLA chặt</t>
        </is>
      </c>
      <c r="Y105" s="35" t="n">
        <v>0</v>
      </c>
      <c r="Z105" s="32" t="n">
        <v>150000</v>
      </c>
      <c r="AA105" s="23" t="inlineStr">
        <is>
          <t>Yes</t>
        </is>
      </c>
      <c r="AB105" s="23" t="inlineStr">
        <is>
          <t>2026-06-05</t>
        </is>
      </c>
      <c r="AC105" s="23" t="inlineStr">
        <is>
          <t>Ready</t>
        </is>
      </c>
      <c r="AD105" s="23" t="inlineStr">
        <is>
          <t>Delivery paired with same order and same vehicle unless transshipment enabled</t>
        </is>
      </c>
    </row>
    <row r="106" ht="18" customHeight="1" s="17">
      <c r="A106" s="21" t="inlineStr">
        <is>
          <t>S2</t>
        </is>
      </c>
      <c r="B106" s="21" t="inlineStr">
        <is>
          <t>S2-ORD-023</t>
        </is>
      </c>
      <c r="C106" s="21" t="inlineStr">
        <is>
          <t>S2-ORD-023-P</t>
        </is>
      </c>
      <c r="D106" s="21" t="inlineStr">
        <is>
          <t>Pickup</t>
        </is>
      </c>
      <c r="E106" s="21" t="inlineStr">
        <is>
          <t>S2-ORD-023-D</t>
        </is>
      </c>
      <c r="F106" s="21" t="inlineStr">
        <is>
          <t>S2-ORD-023</t>
        </is>
      </c>
      <c r="G106" s="21" t="inlineStr">
        <is>
          <t>PK_HY_MYHAO</t>
        </is>
      </c>
      <c r="H106" s="21" t="inlineStr">
        <is>
          <t>Kho/Nhà máy khách hàng Mỹ Hào</t>
        </is>
      </c>
      <c r="I106" s="21" t="inlineStr">
        <is>
          <t>Hưng Yên</t>
        </is>
      </c>
      <c r="J106" s="21" t="inlineStr">
        <is>
          <t>Mỹ Hào</t>
        </is>
      </c>
      <c r="K106" s="36" t="n">
        <v>20.9329</v>
      </c>
      <c r="L106" s="36" t="n">
        <v>106.065</v>
      </c>
      <c r="M106" s="37" t="n">
        <v>450</v>
      </c>
      <c r="N106" s="37" t="n">
        <v>570</v>
      </c>
      <c r="O106" s="21" t="inlineStr">
        <is>
          <t>07:30</t>
        </is>
      </c>
      <c r="P106" s="21" t="inlineStr">
        <is>
          <t>09:30</t>
        </is>
      </c>
      <c r="Q106" s="22" t="n">
        <v>25</v>
      </c>
      <c r="R106" s="28" t="n">
        <v>916</v>
      </c>
      <c r="S106" s="29" t="n">
        <v>2.09</v>
      </c>
      <c r="T106" s="21" t="inlineStr">
        <is>
          <t>1.25T</t>
        </is>
      </c>
      <c r="U106" s="21" t="inlineStr">
        <is>
          <t>1.25T</t>
        </is>
      </c>
      <c r="V106" s="21" t="inlineStr">
        <is>
          <t>Nội thành Hà Nội</t>
        </is>
      </c>
      <c r="W106" s="21" t="inlineStr">
        <is>
          <t>CR-NỘIT-04</t>
        </is>
      </c>
      <c r="X106" s="21" t="inlineStr">
        <is>
          <t>B - Thường</t>
        </is>
      </c>
      <c r="Y106" s="31" t="n">
        <v>940000</v>
      </c>
      <c r="Z106" s="28" t="n">
        <v>80000</v>
      </c>
      <c r="AA106" s="21" t="inlineStr">
        <is>
          <t>Yes</t>
        </is>
      </c>
      <c r="AB106" s="21" t="inlineStr">
        <is>
          <t>2026-06-05</t>
        </is>
      </c>
      <c r="AC106" s="21" t="inlineStr">
        <is>
          <t>Ready</t>
        </is>
      </c>
      <c r="AD106" s="21" t="inlineStr">
        <is>
          <t>Pickup must happen before paired delivery</t>
        </is>
      </c>
    </row>
    <row r="107" ht="18" customHeight="1" s="17">
      <c r="A107" s="23" t="inlineStr">
        <is>
          <t>S2</t>
        </is>
      </c>
      <c r="B107" s="23" t="inlineStr">
        <is>
          <t>S2-ORD-023</t>
        </is>
      </c>
      <c r="C107" s="23" t="inlineStr">
        <is>
          <t>S2-ORD-023-D</t>
        </is>
      </c>
      <c r="D107" s="23" t="inlineStr">
        <is>
          <t>Delivery</t>
        </is>
      </c>
      <c r="E107" s="23" t="inlineStr">
        <is>
          <t>S2-ORD-023-P</t>
        </is>
      </c>
      <c r="F107" s="23" t="inlineStr">
        <is>
          <t>S2-ORD-023</t>
        </is>
      </c>
      <c r="G107" s="23" t="inlineStr">
        <is>
          <t>DL_HN_TIMESCITY</t>
        </is>
      </c>
      <c r="H107" s="23" t="inlineStr">
        <is>
          <t>VINMART Times City</t>
        </is>
      </c>
      <c r="I107" s="23" t="inlineStr">
        <is>
          <t>Hà Nội</t>
        </is>
      </c>
      <c r="J107" s="23" t="inlineStr">
        <is>
          <t>Hai Bà Trưng</t>
        </is>
      </c>
      <c r="K107" s="38" t="n">
        <v>20.994022</v>
      </c>
      <c r="L107" s="38" t="n">
        <v>105.869639</v>
      </c>
      <c r="M107" s="39" t="n">
        <v>642</v>
      </c>
      <c r="N107" s="39" t="n">
        <v>792</v>
      </c>
      <c r="O107" s="23" t="inlineStr">
        <is>
          <t>10:42</t>
        </is>
      </c>
      <c r="P107" s="23" t="inlineStr">
        <is>
          <t>13:12</t>
        </is>
      </c>
      <c r="Q107" s="24" t="n">
        <v>30</v>
      </c>
      <c r="R107" s="32" t="n">
        <v>-916</v>
      </c>
      <c r="S107" s="33" t="n">
        <v>-2.09</v>
      </c>
      <c r="T107" s="23" t="inlineStr">
        <is>
          <t>1.25T</t>
        </is>
      </c>
      <c r="U107" s="23" t="inlineStr">
        <is>
          <t>1.25T</t>
        </is>
      </c>
      <c r="V107" s="23" t="inlineStr">
        <is>
          <t>Nội thành Hà Nội</t>
        </is>
      </c>
      <c r="W107" s="23" t="inlineStr">
        <is>
          <t>CR-NỘIT-04</t>
        </is>
      </c>
      <c r="X107" s="23" t="inlineStr">
        <is>
          <t>B - Thường</t>
        </is>
      </c>
      <c r="Y107" s="35" t="n">
        <v>0</v>
      </c>
      <c r="Z107" s="32" t="n">
        <v>80000</v>
      </c>
      <c r="AA107" s="23" t="inlineStr">
        <is>
          <t>Yes</t>
        </is>
      </c>
      <c r="AB107" s="23" t="inlineStr">
        <is>
          <t>2026-06-05</t>
        </is>
      </c>
      <c r="AC107" s="23" t="inlineStr">
        <is>
          <t>Ready</t>
        </is>
      </c>
      <c r="AD107" s="23" t="inlineStr">
        <is>
          <t>Delivery paired with same order and same vehicle unless transshipment enabled</t>
        </is>
      </c>
    </row>
    <row r="108" ht="18" customHeight="1" s="17">
      <c r="A108" s="21" t="inlineStr">
        <is>
          <t>S2</t>
        </is>
      </c>
      <c r="B108" s="21" t="inlineStr">
        <is>
          <t>S2-ORD-024</t>
        </is>
      </c>
      <c r="C108" s="21" t="inlineStr">
        <is>
          <t>S2-ORD-024-P</t>
        </is>
      </c>
      <c r="D108" s="21" t="inlineStr">
        <is>
          <t>Pickup</t>
        </is>
      </c>
      <c r="E108" s="21" t="inlineStr">
        <is>
          <t>S2-ORD-024-D</t>
        </is>
      </c>
      <c r="F108" s="21" t="inlineStr">
        <is>
          <t>S2-ORD-024</t>
        </is>
      </c>
      <c r="G108" s="21" t="inlineStr">
        <is>
          <t>PK_HP_DINHVU</t>
        </is>
      </c>
      <c r="H108" s="21" t="inlineStr">
        <is>
          <t>Kho Hải Phòng - Đình Vũ</t>
        </is>
      </c>
      <c r="I108" s="21" t="inlineStr">
        <is>
          <t>Hải Phòng</t>
        </is>
      </c>
      <c r="J108" s="21" t="inlineStr">
        <is>
          <t>Hải An</t>
        </is>
      </c>
      <c r="K108" s="36" t="n">
        <v>20.8425</v>
      </c>
      <c r="L108" s="36" t="n">
        <v>106.77</v>
      </c>
      <c r="M108" s="37" t="n">
        <v>450</v>
      </c>
      <c r="N108" s="37" t="n">
        <v>600</v>
      </c>
      <c r="O108" s="21" t="inlineStr">
        <is>
          <t>07:30</t>
        </is>
      </c>
      <c r="P108" s="21" t="inlineStr">
        <is>
          <t>10:00</t>
        </is>
      </c>
      <c r="Q108" s="22" t="n">
        <v>40</v>
      </c>
      <c r="R108" s="28" t="n">
        <v>4833</v>
      </c>
      <c r="S108" s="29" t="n">
        <v>12.33</v>
      </c>
      <c r="T108" s="21" t="inlineStr">
        <is>
          <t>5T</t>
        </is>
      </c>
      <c r="U108" s="21" t="inlineStr">
        <is>
          <t>5T</t>
        </is>
      </c>
      <c r="V108" s="21" t="inlineStr">
        <is>
          <t>Đông Bắc</t>
        </is>
      </c>
      <c r="W108" s="21" t="inlineStr">
        <is>
          <t>CR-ĐÔNG-05</t>
        </is>
      </c>
      <c r="X108" s="21" t="inlineStr">
        <is>
          <t>B - Thường</t>
        </is>
      </c>
      <c r="Y108" s="31" t="n">
        <v>1160000</v>
      </c>
      <c r="Z108" s="28" t="n">
        <v>80000</v>
      </c>
      <c r="AA108" s="21" t="inlineStr">
        <is>
          <t>Yes</t>
        </is>
      </c>
      <c r="AB108" s="21" t="inlineStr">
        <is>
          <t>2026-06-05</t>
        </is>
      </c>
      <c r="AC108" s="21" t="inlineStr">
        <is>
          <t>Ready</t>
        </is>
      </c>
      <c r="AD108" s="21" t="inlineStr">
        <is>
          <t>Pickup must happen before paired delivery</t>
        </is>
      </c>
    </row>
    <row r="109" ht="18" customHeight="1" s="17">
      <c r="A109" s="23" t="inlineStr">
        <is>
          <t>S2</t>
        </is>
      </c>
      <c r="B109" s="23" t="inlineStr">
        <is>
          <t>S2-ORD-024</t>
        </is>
      </c>
      <c r="C109" s="23" t="inlineStr">
        <is>
          <t>S2-ORD-024-D</t>
        </is>
      </c>
      <c r="D109" s="23" t="inlineStr">
        <is>
          <t>Delivery</t>
        </is>
      </c>
      <c r="E109" s="23" t="inlineStr">
        <is>
          <t>S2-ORD-024-P</t>
        </is>
      </c>
      <c r="F109" s="23" t="inlineStr">
        <is>
          <t>S2-ORD-024</t>
        </is>
      </c>
      <c r="G109" s="23" t="inlineStr">
        <is>
          <t>DL_HP_SIEUTHI</t>
        </is>
      </c>
      <c r="H109" s="23" t="inlineStr">
        <is>
          <t>Siêu thị Hải Phòng</t>
        </is>
      </c>
      <c r="I109" s="23" t="inlineStr">
        <is>
          <t>Hải Phòng</t>
        </is>
      </c>
      <c r="J109" s="23" t="inlineStr">
        <is>
          <t>Gia Viên</t>
        </is>
      </c>
      <c r="K109" s="38" t="n">
        <v>20.84442</v>
      </c>
      <c r="L109" s="38" t="n">
        <v>106.7011</v>
      </c>
      <c r="M109" s="39" t="n">
        <v>529</v>
      </c>
      <c r="N109" s="39" t="n">
        <v>679</v>
      </c>
      <c r="O109" s="23" t="inlineStr">
        <is>
          <t>08:49</t>
        </is>
      </c>
      <c r="P109" s="23" t="inlineStr">
        <is>
          <t>11:19</t>
        </is>
      </c>
      <c r="Q109" s="24" t="n">
        <v>45</v>
      </c>
      <c r="R109" s="32" t="n">
        <v>-4833</v>
      </c>
      <c r="S109" s="33" t="n">
        <v>-12.33</v>
      </c>
      <c r="T109" s="23" t="inlineStr">
        <is>
          <t>5T</t>
        </is>
      </c>
      <c r="U109" s="23" t="inlineStr">
        <is>
          <t>5T</t>
        </is>
      </c>
      <c r="V109" s="23" t="inlineStr">
        <is>
          <t>Đông Bắc</t>
        </is>
      </c>
      <c r="W109" s="23" t="inlineStr">
        <is>
          <t>CR-ĐÔNG-05</t>
        </is>
      </c>
      <c r="X109" s="23" t="inlineStr">
        <is>
          <t>B - Thường</t>
        </is>
      </c>
      <c r="Y109" s="35" t="n">
        <v>0</v>
      </c>
      <c r="Z109" s="32" t="n">
        <v>80000</v>
      </c>
      <c r="AA109" s="23" t="inlineStr">
        <is>
          <t>Yes</t>
        </is>
      </c>
      <c r="AB109" s="23" t="inlineStr">
        <is>
          <t>2026-06-05</t>
        </is>
      </c>
      <c r="AC109" s="23" t="inlineStr">
        <is>
          <t>Ready</t>
        </is>
      </c>
      <c r="AD109" s="23" t="inlineStr">
        <is>
          <t>Delivery paired with same order and same vehicle unless transshipment enabled</t>
        </is>
      </c>
    </row>
    <row r="110" ht="18" customHeight="1" s="17">
      <c r="A110" s="21" t="inlineStr">
        <is>
          <t>S2</t>
        </is>
      </c>
      <c r="B110" s="21" t="inlineStr">
        <is>
          <t>S2-ORD-025</t>
        </is>
      </c>
      <c r="C110" s="21" t="inlineStr">
        <is>
          <t>S2-ORD-025-P</t>
        </is>
      </c>
      <c r="D110" s="21" t="inlineStr">
        <is>
          <t>Pickup</t>
        </is>
      </c>
      <c r="E110" s="21" t="inlineStr">
        <is>
          <t>S2-ORD-025-D</t>
        </is>
      </c>
      <c r="F110" s="21" t="inlineStr">
        <is>
          <t>S2-ORD-025</t>
        </is>
      </c>
      <c r="G110" s="21" t="inlineStr">
        <is>
          <t>PK_NA_BACVINH</t>
        </is>
      </c>
      <c r="H110" s="21" t="inlineStr">
        <is>
          <t>Kho DC Vinh - KCN Bắc Vinh</t>
        </is>
      </c>
      <c r="I110" s="21" t="inlineStr">
        <is>
          <t>Nghệ An</t>
        </is>
      </c>
      <c r="J110" s="21" t="inlineStr">
        <is>
          <t>Vinh</t>
        </is>
      </c>
      <c r="K110" s="36" t="n">
        <v>18.733</v>
      </c>
      <c r="L110" s="36" t="n">
        <v>105.681</v>
      </c>
      <c r="M110" s="37" t="n">
        <v>540</v>
      </c>
      <c r="N110" s="37" t="n">
        <v>690</v>
      </c>
      <c r="O110" s="21" t="inlineStr">
        <is>
          <t>09:00</t>
        </is>
      </c>
      <c r="P110" s="21" t="inlineStr">
        <is>
          <t>11:30</t>
        </is>
      </c>
      <c r="Q110" s="22" t="n">
        <v>40</v>
      </c>
      <c r="R110" s="28" t="n">
        <v>1262</v>
      </c>
      <c r="S110" s="29" t="n">
        <v>27.87</v>
      </c>
      <c r="T110" s="21" t="inlineStr">
        <is>
          <t>5T</t>
        </is>
      </c>
      <c r="U110" s="21" t="inlineStr">
        <is>
          <t>8T</t>
        </is>
      </c>
      <c r="V110" s="21" t="inlineStr">
        <is>
          <t>Bắc Trung Bộ</t>
        </is>
      </c>
      <c r="W110" s="21" t="inlineStr">
        <is>
          <t>CR-BẮCT-01</t>
        </is>
      </c>
      <c r="X110" s="21" t="inlineStr">
        <is>
          <t>A - SLA chặt</t>
        </is>
      </c>
      <c r="Y110" s="31" t="n">
        <v>2450000</v>
      </c>
      <c r="Z110" s="28" t="n">
        <v>150000</v>
      </c>
      <c r="AA110" s="21" t="inlineStr">
        <is>
          <t>Yes</t>
        </is>
      </c>
      <c r="AB110" s="21" t="inlineStr">
        <is>
          <t>2026-06-05</t>
        </is>
      </c>
      <c r="AC110" s="21" t="inlineStr">
        <is>
          <t>Ready</t>
        </is>
      </c>
      <c r="AD110" s="21" t="inlineStr">
        <is>
          <t>Pickup must happen before paired delivery</t>
        </is>
      </c>
    </row>
    <row r="111" ht="18" customHeight="1" s="17">
      <c r="A111" s="23" t="inlineStr">
        <is>
          <t>S2</t>
        </is>
      </c>
      <c r="B111" s="23" t="inlineStr">
        <is>
          <t>S2-ORD-025</t>
        </is>
      </c>
      <c r="C111" s="23" t="inlineStr">
        <is>
          <t>S2-ORD-025-D</t>
        </is>
      </c>
      <c r="D111" s="23" t="inlineStr">
        <is>
          <t>Delivery</t>
        </is>
      </c>
      <c r="E111" s="23" t="inlineStr">
        <is>
          <t>S2-ORD-025-P</t>
        </is>
      </c>
      <c r="F111" s="23" t="inlineStr">
        <is>
          <t>S2-ORD-025</t>
        </is>
      </c>
      <c r="G111" s="23" t="inlineStr">
        <is>
          <t>DL_HN_GO_HANAM</t>
        </is>
      </c>
      <c r="H111" s="23" t="inlineStr">
        <is>
          <t>GO! Hà Nam</t>
        </is>
      </c>
      <c r="I111" s="23" t="inlineStr">
        <is>
          <t>Ninh Bình</t>
        </is>
      </c>
      <c r="J111" s="23" t="inlineStr">
        <is>
          <t>Phủ Lý</t>
        </is>
      </c>
      <c r="K111" s="38" t="n">
        <v>20.541</v>
      </c>
      <c r="L111" s="38" t="n">
        <v>105.913</v>
      </c>
      <c r="M111" s="39" t="n">
        <v>978</v>
      </c>
      <c r="N111" s="39" t="n">
        <v>1080</v>
      </c>
      <c r="O111" s="23" t="inlineStr">
        <is>
          <t>16:18</t>
        </is>
      </c>
      <c r="P111" s="23" t="inlineStr">
        <is>
          <t>18:00</t>
        </is>
      </c>
      <c r="Q111" s="24" t="n">
        <v>45</v>
      </c>
      <c r="R111" s="32" t="n">
        <v>-1262</v>
      </c>
      <c r="S111" s="33" t="n">
        <v>-27.87</v>
      </c>
      <c r="T111" s="23" t="inlineStr">
        <is>
          <t>5T</t>
        </is>
      </c>
      <c r="U111" s="23" t="inlineStr">
        <is>
          <t>8T</t>
        </is>
      </c>
      <c r="V111" s="23" t="inlineStr">
        <is>
          <t>Bắc Trung Bộ</t>
        </is>
      </c>
      <c r="W111" s="23" t="inlineStr">
        <is>
          <t>CR-BẮCT-01</t>
        </is>
      </c>
      <c r="X111" s="23" t="inlineStr">
        <is>
          <t>A - SLA chặt</t>
        </is>
      </c>
      <c r="Y111" s="35" t="n">
        <v>0</v>
      </c>
      <c r="Z111" s="32" t="n">
        <v>150000</v>
      </c>
      <c r="AA111" s="23" t="inlineStr">
        <is>
          <t>Yes</t>
        </is>
      </c>
      <c r="AB111" s="23" t="inlineStr">
        <is>
          <t>2026-06-05</t>
        </is>
      </c>
      <c r="AC111" s="23" t="inlineStr">
        <is>
          <t>Ready</t>
        </is>
      </c>
      <c r="AD111" s="23" t="inlineStr">
        <is>
          <t>Delivery paired with same order and same vehicle unless transshipment enabled</t>
        </is>
      </c>
    </row>
    <row r="112" ht="18" customHeight="1" s="17">
      <c r="A112" s="21" t="inlineStr">
        <is>
          <t>S2</t>
        </is>
      </c>
      <c r="B112" s="21" t="inlineStr">
        <is>
          <t>S2-ORD-026</t>
        </is>
      </c>
      <c r="C112" s="21" t="inlineStr">
        <is>
          <t>S2-ORD-026-P</t>
        </is>
      </c>
      <c r="D112" s="21" t="inlineStr">
        <is>
          <t>Pickup</t>
        </is>
      </c>
      <c r="E112" s="21" t="inlineStr">
        <is>
          <t>S2-ORD-026-D</t>
        </is>
      </c>
      <c r="F112" s="21" t="inlineStr">
        <is>
          <t>S2-ORD-026</t>
        </is>
      </c>
      <c r="G112" s="21" t="inlineStr">
        <is>
          <t>PK_HPL_LB</t>
        </is>
      </c>
      <c r="H112" s="21" t="inlineStr">
        <is>
          <t>HPL Depot Long Biên - 20 Thạch Bàn</t>
        </is>
      </c>
      <c r="I112" s="21" t="inlineStr">
        <is>
          <t>Hà Nội</t>
        </is>
      </c>
      <c r="J112" s="21" t="inlineStr">
        <is>
          <t>Long Biên</t>
        </is>
      </c>
      <c r="K112" s="36" t="n">
        <v>21.0261548385</v>
      </c>
      <c r="L112" s="36" t="n">
        <v>105.914182238</v>
      </c>
      <c r="M112" s="37" t="n">
        <v>510</v>
      </c>
      <c r="N112" s="37" t="n">
        <v>600</v>
      </c>
      <c r="O112" s="21" t="inlineStr">
        <is>
          <t>08:30</t>
        </is>
      </c>
      <c r="P112" s="21" t="inlineStr">
        <is>
          <t>10:00</t>
        </is>
      </c>
      <c r="Q112" s="22" t="n">
        <v>25</v>
      </c>
      <c r="R112" s="28" t="n">
        <v>396</v>
      </c>
      <c r="S112" s="29" t="n">
        <v>3.53</v>
      </c>
      <c r="T112" s="21" t="inlineStr">
        <is>
          <t>5 tạ</t>
        </is>
      </c>
      <c r="U112" s="21" t="inlineStr">
        <is>
          <t>1.25T</t>
        </is>
      </c>
      <c r="V112" s="21" t="inlineStr">
        <is>
          <t>Nội thành Hà Nội</t>
        </is>
      </c>
      <c r="W112" s="21" t="inlineStr">
        <is>
          <t>CR-NỘIT-02</t>
        </is>
      </c>
      <c r="X112" s="21" t="inlineStr">
        <is>
          <t>A - SLA chặt</t>
        </is>
      </c>
      <c r="Y112" s="31" t="n">
        <v>840000</v>
      </c>
      <c r="Z112" s="28" t="n">
        <v>150000</v>
      </c>
      <c r="AA112" s="21" t="inlineStr">
        <is>
          <t>Yes</t>
        </is>
      </c>
      <c r="AB112" s="21" t="inlineStr">
        <is>
          <t>2026-06-05</t>
        </is>
      </c>
      <c r="AC112" s="21" t="inlineStr">
        <is>
          <t>Ready</t>
        </is>
      </c>
      <c r="AD112" s="21" t="inlineStr">
        <is>
          <t>Pickup must happen before paired delivery</t>
        </is>
      </c>
    </row>
    <row r="113" ht="18" customHeight="1" s="17">
      <c r="A113" s="23" t="inlineStr">
        <is>
          <t>S2</t>
        </is>
      </c>
      <c r="B113" s="23" t="inlineStr">
        <is>
          <t>S2-ORD-026</t>
        </is>
      </c>
      <c r="C113" s="23" t="inlineStr">
        <is>
          <t>S2-ORD-026-D</t>
        </is>
      </c>
      <c r="D113" s="23" t="inlineStr">
        <is>
          <t>Delivery</t>
        </is>
      </c>
      <c r="E113" s="23" t="inlineStr">
        <is>
          <t>S2-ORD-026-P</t>
        </is>
      </c>
      <c r="F113" s="23" t="inlineStr">
        <is>
          <t>S2-ORD-026</t>
        </is>
      </c>
      <c r="G113" s="23" t="inlineStr">
        <is>
          <t>DL_HN_LOTTE_BD</t>
        </is>
      </c>
      <c r="H113" s="23" t="inlineStr">
        <is>
          <t>LOTTE MART Ba Đình</t>
        </is>
      </c>
      <c r="I113" s="23" t="inlineStr">
        <is>
          <t>Hà Nội</t>
        </is>
      </c>
      <c r="J113" s="23" t="inlineStr">
        <is>
          <t>Ba Đình</t>
        </is>
      </c>
      <c r="K113" s="38" t="n">
        <v>21.032177</v>
      </c>
      <c r="L113" s="38" t="n">
        <v>105.812441</v>
      </c>
      <c r="M113" s="39" t="n">
        <v>592</v>
      </c>
      <c r="N113" s="39" t="n">
        <v>712</v>
      </c>
      <c r="O113" s="23" t="inlineStr">
        <is>
          <t>09:52</t>
        </is>
      </c>
      <c r="P113" s="23" t="inlineStr">
        <is>
          <t>11:52</t>
        </is>
      </c>
      <c r="Q113" s="24" t="n">
        <v>30</v>
      </c>
      <c r="R113" s="32" t="n">
        <v>-396</v>
      </c>
      <c r="S113" s="33" t="n">
        <v>-3.53</v>
      </c>
      <c r="T113" s="23" t="inlineStr">
        <is>
          <t>5 tạ</t>
        </is>
      </c>
      <c r="U113" s="23" t="inlineStr">
        <is>
          <t>1.25T</t>
        </is>
      </c>
      <c r="V113" s="23" t="inlineStr">
        <is>
          <t>Nội thành Hà Nội</t>
        </is>
      </c>
      <c r="W113" s="23" t="inlineStr">
        <is>
          <t>CR-NỘIT-02</t>
        </is>
      </c>
      <c r="X113" s="23" t="inlineStr">
        <is>
          <t>A - SLA chặt</t>
        </is>
      </c>
      <c r="Y113" s="35" t="n">
        <v>0</v>
      </c>
      <c r="Z113" s="32" t="n">
        <v>150000</v>
      </c>
      <c r="AA113" s="23" t="inlineStr">
        <is>
          <t>Yes</t>
        </is>
      </c>
      <c r="AB113" s="23" t="inlineStr">
        <is>
          <t>2026-06-05</t>
        </is>
      </c>
      <c r="AC113" s="23" t="inlineStr">
        <is>
          <t>Ready</t>
        </is>
      </c>
      <c r="AD113" s="23" t="inlineStr">
        <is>
          <t>Delivery paired with same order and same vehicle unless transshipment enabled</t>
        </is>
      </c>
    </row>
    <row r="114" ht="18" customHeight="1" s="17">
      <c r="A114" s="21" t="inlineStr">
        <is>
          <t>S2</t>
        </is>
      </c>
      <c r="B114" s="21" t="inlineStr">
        <is>
          <t>S2-ORD-027</t>
        </is>
      </c>
      <c r="C114" s="21" t="inlineStr">
        <is>
          <t>S2-ORD-027-P</t>
        </is>
      </c>
      <c r="D114" s="21" t="inlineStr">
        <is>
          <t>Pickup</t>
        </is>
      </c>
      <c r="E114" s="21" t="inlineStr">
        <is>
          <t>S2-ORD-027-D</t>
        </is>
      </c>
      <c r="F114" s="21" t="inlineStr">
        <is>
          <t>S2-ORD-027</t>
        </is>
      </c>
      <c r="G114" s="21" t="inlineStr">
        <is>
          <t>PK_HY_MYHAO</t>
        </is>
      </c>
      <c r="H114" s="21" t="inlineStr">
        <is>
          <t>Kho/Nhà máy khách hàng Mỹ Hào</t>
        </is>
      </c>
      <c r="I114" s="21" t="inlineStr">
        <is>
          <t>Hưng Yên</t>
        </is>
      </c>
      <c r="J114" s="21" t="inlineStr">
        <is>
          <t>Mỹ Hào</t>
        </is>
      </c>
      <c r="K114" s="36" t="n">
        <v>20.9329</v>
      </c>
      <c r="L114" s="36" t="n">
        <v>106.065</v>
      </c>
      <c r="M114" s="37" t="n">
        <v>420</v>
      </c>
      <c r="N114" s="37" t="n">
        <v>540</v>
      </c>
      <c r="O114" s="21" t="inlineStr">
        <is>
          <t>07:00</t>
        </is>
      </c>
      <c r="P114" s="21" t="inlineStr">
        <is>
          <t>09:00</t>
        </is>
      </c>
      <c r="Q114" s="22" t="n">
        <v>40</v>
      </c>
      <c r="R114" s="28" t="n">
        <v>1146</v>
      </c>
      <c r="S114" s="29" t="n">
        <v>30.76</v>
      </c>
      <c r="T114" s="21" t="inlineStr">
        <is>
          <t>8T</t>
        </is>
      </c>
      <c r="U114" s="21" t="inlineStr">
        <is>
          <t>1.25T</t>
        </is>
      </c>
      <c r="V114" s="21" t="inlineStr">
        <is>
          <t>Nội thành Hà Nội</t>
        </is>
      </c>
      <c r="W114" s="21" t="inlineStr">
        <is>
          <t>CR-NỘIT-03</t>
        </is>
      </c>
      <c r="X114" s="21" t="inlineStr">
        <is>
          <t>A - SLA chặt</t>
        </is>
      </c>
      <c r="Y114" s="31" t="n">
        <v>870000</v>
      </c>
      <c r="Z114" s="28" t="n">
        <v>150000</v>
      </c>
      <c r="AA114" s="21" t="inlineStr">
        <is>
          <t>Yes</t>
        </is>
      </c>
      <c r="AB114" s="21" t="inlineStr">
        <is>
          <t>2026-06-05</t>
        </is>
      </c>
      <c r="AC114" s="21" t="inlineStr">
        <is>
          <t>Review</t>
        </is>
      </c>
      <c r="AD114" s="21" t="inlineStr">
        <is>
          <t>Pickup must happen before paired delivery</t>
        </is>
      </c>
    </row>
    <row r="115" ht="18" customHeight="1" s="17">
      <c r="A115" s="23" t="inlineStr">
        <is>
          <t>S2</t>
        </is>
      </c>
      <c r="B115" s="23" t="inlineStr">
        <is>
          <t>S2-ORD-027</t>
        </is>
      </c>
      <c r="C115" s="23" t="inlineStr">
        <is>
          <t>S2-ORD-027-D</t>
        </is>
      </c>
      <c r="D115" s="23" t="inlineStr">
        <is>
          <t>Delivery</t>
        </is>
      </c>
      <c r="E115" s="23" t="inlineStr">
        <is>
          <t>S2-ORD-027-P</t>
        </is>
      </c>
      <c r="F115" s="23" t="inlineStr">
        <is>
          <t>S2-ORD-027</t>
        </is>
      </c>
      <c r="G115" s="23" t="inlineStr">
        <is>
          <t>DL_HN_GARDEN</t>
        </is>
      </c>
      <c r="H115" s="23" t="inlineStr">
        <is>
          <t>TOPS MARKET Garden Mall</t>
        </is>
      </c>
      <c r="I115" s="23" t="inlineStr">
        <is>
          <t>Hà Nội</t>
        </is>
      </c>
      <c r="J115" s="23" t="inlineStr">
        <is>
          <t>Nam Từ Liêm</t>
        </is>
      </c>
      <c r="K115" s="38" t="n">
        <v>21.015324</v>
      </c>
      <c r="L115" s="38" t="n">
        <v>105.777839</v>
      </c>
      <c r="M115" s="39" t="n">
        <v>626</v>
      </c>
      <c r="N115" s="39" t="n">
        <v>806</v>
      </c>
      <c r="O115" s="23" t="inlineStr">
        <is>
          <t>10:26</t>
        </is>
      </c>
      <c r="P115" s="23" t="inlineStr">
        <is>
          <t>13:26</t>
        </is>
      </c>
      <c r="Q115" s="24" t="n">
        <v>45</v>
      </c>
      <c r="R115" s="32" t="n">
        <v>-1146</v>
      </c>
      <c r="S115" s="33" t="n">
        <v>-30.76</v>
      </c>
      <c r="T115" s="23" t="inlineStr">
        <is>
          <t>8T</t>
        </is>
      </c>
      <c r="U115" s="23" t="inlineStr">
        <is>
          <t>1.25T</t>
        </is>
      </c>
      <c r="V115" s="23" t="inlineStr">
        <is>
          <t>Nội thành Hà Nội</t>
        </is>
      </c>
      <c r="W115" s="23" t="inlineStr">
        <is>
          <t>CR-NỘIT-03</t>
        </is>
      </c>
      <c r="X115" s="23" t="inlineStr">
        <is>
          <t>A - SLA chặt</t>
        </is>
      </c>
      <c r="Y115" s="35" t="n">
        <v>0</v>
      </c>
      <c r="Z115" s="32" t="n">
        <v>150000</v>
      </c>
      <c r="AA115" s="23" t="inlineStr">
        <is>
          <t>Yes</t>
        </is>
      </c>
      <c r="AB115" s="23" t="inlineStr">
        <is>
          <t>2026-06-05</t>
        </is>
      </c>
      <c r="AC115" s="23" t="inlineStr">
        <is>
          <t>Review</t>
        </is>
      </c>
      <c r="AD115" s="23" t="inlineStr">
        <is>
          <t>Delivery paired with same order and same vehicle unless transshipment enabled</t>
        </is>
      </c>
    </row>
    <row r="116" ht="18" customHeight="1" s="17">
      <c r="A116" s="21" t="inlineStr">
        <is>
          <t>S2</t>
        </is>
      </c>
      <c r="B116" s="21" t="inlineStr">
        <is>
          <t>S2-ORD-028</t>
        </is>
      </c>
      <c r="C116" s="21" t="inlineStr">
        <is>
          <t>S2-ORD-028-P</t>
        </is>
      </c>
      <c r="D116" s="21" t="inlineStr">
        <is>
          <t>Pickup</t>
        </is>
      </c>
      <c r="E116" s="21" t="inlineStr">
        <is>
          <t>S2-ORD-028-D</t>
        </is>
      </c>
      <c r="F116" s="21" t="inlineStr">
        <is>
          <t>S2-ORD-028</t>
        </is>
      </c>
      <c r="G116" s="21" t="inlineStr">
        <is>
          <t>PK_LINFOX_VSIP</t>
        </is>
      </c>
      <c r="H116" s="21" t="inlineStr">
        <is>
          <t>Kho Linfox KCN VSIP Bắc Ninh</t>
        </is>
      </c>
      <c r="I116" s="21" t="inlineStr">
        <is>
          <t>Bắc Ninh</t>
        </is>
      </c>
      <c r="J116" s="21" t="inlineStr">
        <is>
          <t>Từ Sơn</t>
        </is>
      </c>
      <c r="K116" s="36" t="n">
        <v>21.082707</v>
      </c>
      <c r="L116" s="36" t="n">
        <v>105.997949</v>
      </c>
      <c r="M116" s="37" t="n">
        <v>540</v>
      </c>
      <c r="N116" s="37" t="n">
        <v>630</v>
      </c>
      <c r="O116" s="21" t="inlineStr">
        <is>
          <t>09:00</t>
        </is>
      </c>
      <c r="P116" s="21" t="inlineStr">
        <is>
          <t>10:30</t>
        </is>
      </c>
      <c r="Q116" s="22" t="n">
        <v>40</v>
      </c>
      <c r="R116" s="28" t="n">
        <v>6527</v>
      </c>
      <c r="S116" s="29" t="n">
        <v>14.58</v>
      </c>
      <c r="T116" s="21" t="inlineStr">
        <is>
          <t>8T</t>
        </is>
      </c>
      <c r="U116" s="21" t="inlineStr">
        <is>
          <t>5T</t>
        </is>
      </c>
      <c r="V116" s="21" t="inlineStr">
        <is>
          <t>Đông Bắc</t>
        </is>
      </c>
      <c r="W116" s="21" t="inlineStr">
        <is>
          <t>CR-ĐÔNG-04</t>
        </is>
      </c>
      <c r="X116" s="21" t="inlineStr">
        <is>
          <t>A - SLA chặt</t>
        </is>
      </c>
      <c r="Y116" s="31" t="n">
        <v>3880000</v>
      </c>
      <c r="Z116" s="28" t="n">
        <v>150000</v>
      </c>
      <c r="AA116" s="21" t="inlineStr">
        <is>
          <t>Yes</t>
        </is>
      </c>
      <c r="AB116" s="21" t="inlineStr">
        <is>
          <t>2026-06-05</t>
        </is>
      </c>
      <c r="AC116" s="21" t="inlineStr">
        <is>
          <t>Review</t>
        </is>
      </c>
      <c r="AD116" s="21" t="inlineStr">
        <is>
          <t>Pickup must happen before paired delivery</t>
        </is>
      </c>
    </row>
    <row r="117" ht="18" customHeight="1" s="17">
      <c r="A117" s="23" t="inlineStr">
        <is>
          <t>S2</t>
        </is>
      </c>
      <c r="B117" s="23" t="inlineStr">
        <is>
          <t>S2-ORD-028</t>
        </is>
      </c>
      <c r="C117" s="23" t="inlineStr">
        <is>
          <t>S2-ORD-028-D</t>
        </is>
      </c>
      <c r="D117" s="23" t="inlineStr">
        <is>
          <t>Delivery</t>
        </is>
      </c>
      <c r="E117" s="23" t="inlineStr">
        <is>
          <t>S2-ORD-028-P</t>
        </is>
      </c>
      <c r="F117" s="23" t="inlineStr">
        <is>
          <t>S2-ORD-028</t>
        </is>
      </c>
      <c r="G117" s="23" t="inlineStr">
        <is>
          <t>DL_HP_HONGBANG</t>
        </is>
      </c>
      <c r="H117" s="23" t="inlineStr">
        <is>
          <t>MM Hồng Bàng</t>
        </is>
      </c>
      <c r="I117" s="23" t="inlineStr">
        <is>
          <t>Hải Phòng</t>
        </is>
      </c>
      <c r="J117" s="23" t="inlineStr">
        <is>
          <t>Hồng Bàng</t>
        </is>
      </c>
      <c r="K117" s="38" t="n">
        <v>20.856112</v>
      </c>
      <c r="L117" s="38" t="n">
        <v>106.682239</v>
      </c>
      <c r="M117" s="39" t="n">
        <v>735</v>
      </c>
      <c r="N117" s="39" t="n">
        <v>885</v>
      </c>
      <c r="O117" s="23" t="inlineStr">
        <is>
          <t>12:15</t>
        </is>
      </c>
      <c r="P117" s="23" t="inlineStr">
        <is>
          <t>14:45</t>
        </is>
      </c>
      <c r="Q117" s="24" t="n">
        <v>45</v>
      </c>
      <c r="R117" s="32" t="n">
        <v>-6527</v>
      </c>
      <c r="S117" s="33" t="n">
        <v>-14.58</v>
      </c>
      <c r="T117" s="23" t="inlineStr">
        <is>
          <t>8T</t>
        </is>
      </c>
      <c r="U117" s="23" t="inlineStr">
        <is>
          <t>5T</t>
        </is>
      </c>
      <c r="V117" s="23" t="inlineStr">
        <is>
          <t>Đông Bắc</t>
        </is>
      </c>
      <c r="W117" s="23" t="inlineStr">
        <is>
          <t>CR-ĐÔNG-04</t>
        </is>
      </c>
      <c r="X117" s="23" t="inlineStr">
        <is>
          <t>A - SLA chặt</t>
        </is>
      </c>
      <c r="Y117" s="35" t="n">
        <v>0</v>
      </c>
      <c r="Z117" s="32" t="n">
        <v>150000</v>
      </c>
      <c r="AA117" s="23" t="inlineStr">
        <is>
          <t>Yes</t>
        </is>
      </c>
      <c r="AB117" s="23" t="inlineStr">
        <is>
          <t>2026-06-05</t>
        </is>
      </c>
      <c r="AC117" s="23" t="inlineStr">
        <is>
          <t>Review</t>
        </is>
      </c>
      <c r="AD117" s="23" t="inlineStr">
        <is>
          <t>Delivery paired with same order and same vehicle unless transshipment enabled</t>
        </is>
      </c>
    </row>
    <row r="118" ht="18" customHeight="1" s="17">
      <c r="A118" s="21" t="inlineStr">
        <is>
          <t>S2</t>
        </is>
      </c>
      <c r="B118" s="21" t="inlineStr">
        <is>
          <t>S2-ORD-029</t>
        </is>
      </c>
      <c r="C118" s="21" t="inlineStr">
        <is>
          <t>S2-ORD-029-P</t>
        </is>
      </c>
      <c r="D118" s="21" t="inlineStr">
        <is>
          <t>Pickup</t>
        </is>
      </c>
      <c r="E118" s="21" t="inlineStr">
        <is>
          <t>S2-ORD-029-D</t>
        </is>
      </c>
      <c r="F118" s="21" t="inlineStr">
        <is>
          <t>S2-ORD-029</t>
        </is>
      </c>
      <c r="G118" s="21" t="inlineStr">
        <is>
          <t>PK_HPL_LB</t>
        </is>
      </c>
      <c r="H118" s="21" t="inlineStr">
        <is>
          <t>HPL Depot Long Biên - 20 Thạch Bàn</t>
        </is>
      </c>
      <c r="I118" s="21" t="inlineStr">
        <is>
          <t>Hà Nội</t>
        </is>
      </c>
      <c r="J118" s="21" t="inlineStr">
        <is>
          <t>Long Biên</t>
        </is>
      </c>
      <c r="K118" s="36" t="n">
        <v>21.0261548385</v>
      </c>
      <c r="L118" s="36" t="n">
        <v>105.914182238</v>
      </c>
      <c r="M118" s="37" t="n">
        <v>480</v>
      </c>
      <c r="N118" s="37" t="n">
        <v>570</v>
      </c>
      <c r="O118" s="21" t="inlineStr">
        <is>
          <t>08:00</t>
        </is>
      </c>
      <c r="P118" s="21" t="inlineStr">
        <is>
          <t>09:30</t>
        </is>
      </c>
      <c r="Q118" s="22" t="n">
        <v>120</v>
      </c>
      <c r="R118" s="28" t="n">
        <v>7813</v>
      </c>
      <c r="S118" s="29" t="n">
        <v>193.56</v>
      </c>
      <c r="T118" s="21" t="inlineStr">
        <is>
          <t>Container</t>
        </is>
      </c>
      <c r="U118" s="21" t="inlineStr">
        <is>
          <t>8T</t>
        </is>
      </c>
      <c r="V118" s="21" t="inlineStr">
        <is>
          <t>Đông Nam Hà Nội</t>
        </is>
      </c>
      <c r="W118" s="21" t="inlineStr">
        <is>
          <t>CR-ĐÔNG-05</t>
        </is>
      </c>
      <c r="X118" s="21" t="inlineStr">
        <is>
          <t>B - Thường</t>
        </is>
      </c>
      <c r="Y118" s="31" t="n">
        <v>5160000</v>
      </c>
      <c r="Z118" s="28" t="n">
        <v>80000</v>
      </c>
      <c r="AA118" s="21" t="inlineStr">
        <is>
          <t>Yes</t>
        </is>
      </c>
      <c r="AB118" s="21" t="inlineStr">
        <is>
          <t>2026-06-05</t>
        </is>
      </c>
      <c r="AC118" s="21" t="inlineStr">
        <is>
          <t>Review</t>
        </is>
      </c>
      <c r="AD118" s="21" t="inlineStr">
        <is>
          <t>Pickup must happen before paired delivery</t>
        </is>
      </c>
    </row>
    <row r="119" ht="18" customHeight="1" s="17">
      <c r="A119" s="23" t="inlineStr">
        <is>
          <t>S2</t>
        </is>
      </c>
      <c r="B119" s="23" t="inlineStr">
        <is>
          <t>S2-ORD-029</t>
        </is>
      </c>
      <c r="C119" s="23" t="inlineStr">
        <is>
          <t>S2-ORD-029-D</t>
        </is>
      </c>
      <c r="D119" s="23" t="inlineStr">
        <is>
          <t>Delivery</t>
        </is>
      </c>
      <c r="E119" s="23" t="inlineStr">
        <is>
          <t>S2-ORD-029-P</t>
        </is>
      </c>
      <c r="F119" s="23" t="inlineStr">
        <is>
          <t>S2-ORD-029</t>
        </is>
      </c>
      <c r="G119" s="23" t="inlineStr">
        <is>
          <t>DL_TB_SIEUTHI</t>
        </is>
      </c>
      <c r="H119" s="23" t="inlineStr">
        <is>
          <t>Siêu thị Thái Bình</t>
        </is>
      </c>
      <c r="I119" s="23" t="inlineStr">
        <is>
          <t>Hưng Yên</t>
        </is>
      </c>
      <c r="J119" s="23" t="inlineStr">
        <is>
          <t>Thái Bình</t>
        </is>
      </c>
      <c r="K119" s="38" t="n">
        <v>20.446344</v>
      </c>
      <c r="L119" s="38" t="n">
        <v>106.336582</v>
      </c>
      <c r="M119" s="39" t="n">
        <v>829</v>
      </c>
      <c r="N119" s="39" t="n">
        <v>919</v>
      </c>
      <c r="O119" s="23" t="inlineStr">
        <is>
          <t>13:49</t>
        </is>
      </c>
      <c r="P119" s="23" t="inlineStr">
        <is>
          <t>15:19</t>
        </is>
      </c>
      <c r="Q119" s="24" t="n">
        <v>90</v>
      </c>
      <c r="R119" s="32" t="n">
        <v>-7813</v>
      </c>
      <c r="S119" s="33" t="n">
        <v>-193.56</v>
      </c>
      <c r="T119" s="23" t="inlineStr">
        <is>
          <t>Container</t>
        </is>
      </c>
      <c r="U119" s="23" t="inlineStr">
        <is>
          <t>8T</t>
        </is>
      </c>
      <c r="V119" s="23" t="inlineStr">
        <is>
          <t>Đông Nam Hà Nội</t>
        </is>
      </c>
      <c r="W119" s="23" t="inlineStr">
        <is>
          <t>CR-ĐÔNG-05</t>
        </is>
      </c>
      <c r="X119" s="23" t="inlineStr">
        <is>
          <t>B - Thường</t>
        </is>
      </c>
      <c r="Y119" s="35" t="n">
        <v>0</v>
      </c>
      <c r="Z119" s="32" t="n">
        <v>80000</v>
      </c>
      <c r="AA119" s="23" t="inlineStr">
        <is>
          <t>Yes</t>
        </is>
      </c>
      <c r="AB119" s="23" t="inlineStr">
        <is>
          <t>2026-06-05</t>
        </is>
      </c>
      <c r="AC119" s="23" t="inlineStr">
        <is>
          <t>Review</t>
        </is>
      </c>
      <c r="AD119" s="23" t="inlineStr">
        <is>
          <t>Delivery paired with same order and same vehicle unless transshipment enabled</t>
        </is>
      </c>
    </row>
    <row r="120" ht="18" customHeight="1" s="17">
      <c r="A120" s="21" t="inlineStr">
        <is>
          <t>S2</t>
        </is>
      </c>
      <c r="B120" s="21" t="inlineStr">
        <is>
          <t>S2-ORD-030</t>
        </is>
      </c>
      <c r="C120" s="21" t="inlineStr">
        <is>
          <t>S2-ORD-030-P</t>
        </is>
      </c>
      <c r="D120" s="21" t="inlineStr">
        <is>
          <t>Pickup</t>
        </is>
      </c>
      <c r="E120" s="21" t="inlineStr">
        <is>
          <t>S2-ORD-030-D</t>
        </is>
      </c>
      <c r="F120" s="21" t="inlineStr">
        <is>
          <t>S2-ORD-030</t>
        </is>
      </c>
      <c r="G120" s="21" t="inlineStr">
        <is>
          <t>PK_HPL_LB</t>
        </is>
      </c>
      <c r="H120" s="21" t="inlineStr">
        <is>
          <t>HPL Depot Long Biên - 20 Thạch Bàn</t>
        </is>
      </c>
      <c r="I120" s="21" t="inlineStr">
        <is>
          <t>Hà Nội</t>
        </is>
      </c>
      <c r="J120" s="21" t="inlineStr">
        <is>
          <t>Long Biên</t>
        </is>
      </c>
      <c r="K120" s="36" t="n">
        <v>21.0261548385</v>
      </c>
      <c r="L120" s="36" t="n">
        <v>105.914182238</v>
      </c>
      <c r="M120" s="37" t="n">
        <v>480</v>
      </c>
      <c r="N120" s="37" t="n">
        <v>570</v>
      </c>
      <c r="O120" s="21" t="inlineStr">
        <is>
          <t>08:00</t>
        </is>
      </c>
      <c r="P120" s="21" t="inlineStr">
        <is>
          <t>09:30</t>
        </is>
      </c>
      <c r="Q120" s="22" t="n">
        <v>25</v>
      </c>
      <c r="R120" s="28" t="n">
        <v>565</v>
      </c>
      <c r="S120" s="29" t="n">
        <v>1.27</v>
      </c>
      <c r="T120" s="21" t="inlineStr">
        <is>
          <t>1.25T</t>
        </is>
      </c>
      <c r="U120" s="21" t="inlineStr">
        <is>
          <t>1.25T</t>
        </is>
      </c>
      <c r="V120" s="21" t="inlineStr">
        <is>
          <t>Nội thành Hà Nội</t>
        </is>
      </c>
      <c r="W120" s="21" t="inlineStr">
        <is>
          <t>CR-NỘIT-01</t>
        </is>
      </c>
      <c r="X120" s="21" t="inlineStr">
        <is>
          <t>B - Thường</t>
        </is>
      </c>
      <c r="Y120" s="31" t="n">
        <v>500000</v>
      </c>
      <c r="Z120" s="28" t="n">
        <v>80000</v>
      </c>
      <c r="AA120" s="21" t="inlineStr">
        <is>
          <t>Yes</t>
        </is>
      </c>
      <c r="AB120" s="21" t="inlineStr">
        <is>
          <t>2026-06-05</t>
        </is>
      </c>
      <c r="AC120" s="21" t="inlineStr">
        <is>
          <t>Ready</t>
        </is>
      </c>
      <c r="AD120" s="21" t="inlineStr">
        <is>
          <t>Pickup must happen before paired delivery</t>
        </is>
      </c>
    </row>
    <row r="121" ht="18" customHeight="1" s="17">
      <c r="A121" s="23" t="inlineStr">
        <is>
          <t>S2</t>
        </is>
      </c>
      <c r="B121" s="23" t="inlineStr">
        <is>
          <t>S2-ORD-030</t>
        </is>
      </c>
      <c r="C121" s="23" t="inlineStr">
        <is>
          <t>S2-ORD-030-D</t>
        </is>
      </c>
      <c r="D121" s="23" t="inlineStr">
        <is>
          <t>Delivery</t>
        </is>
      </c>
      <c r="E121" s="23" t="inlineStr">
        <is>
          <t>S2-ORD-030-P</t>
        </is>
      </c>
      <c r="F121" s="23" t="inlineStr">
        <is>
          <t>S2-ORD-030</t>
        </is>
      </c>
      <c r="G121" s="23" t="inlineStr">
        <is>
          <t>DL_HN_NAMDUONG</t>
        </is>
      </c>
      <c r="H121" s="23" t="inlineStr">
        <is>
          <t>Nam Dương</t>
        </is>
      </c>
      <c r="I121" s="23" t="inlineStr">
        <is>
          <t>Hà Nội</t>
        </is>
      </c>
      <c r="J121" s="23" t="inlineStr">
        <is>
          <t>Hà Nội</t>
        </is>
      </c>
      <c r="K121" s="38" t="n">
        <v>21.062911</v>
      </c>
      <c r="L121" s="38" t="n">
        <v>105.832351</v>
      </c>
      <c r="M121" s="39" t="n">
        <v>652</v>
      </c>
      <c r="N121" s="39" t="n">
        <v>832</v>
      </c>
      <c r="O121" s="23" t="inlineStr">
        <is>
          <t>10:52</t>
        </is>
      </c>
      <c r="P121" s="23" t="inlineStr">
        <is>
          <t>13:52</t>
        </is>
      </c>
      <c r="Q121" s="24" t="n">
        <v>20</v>
      </c>
      <c r="R121" s="32" t="n">
        <v>-565</v>
      </c>
      <c r="S121" s="33" t="n">
        <v>-1.27</v>
      </c>
      <c r="T121" s="23" t="inlineStr">
        <is>
          <t>1.25T</t>
        </is>
      </c>
      <c r="U121" s="23" t="inlineStr">
        <is>
          <t>1.25T</t>
        </is>
      </c>
      <c r="V121" s="23" t="inlineStr">
        <is>
          <t>Nội thành Hà Nội</t>
        </is>
      </c>
      <c r="W121" s="23" t="inlineStr">
        <is>
          <t>CR-NỘIT-01</t>
        </is>
      </c>
      <c r="X121" s="23" t="inlineStr">
        <is>
          <t>B - Thường</t>
        </is>
      </c>
      <c r="Y121" s="35" t="n">
        <v>0</v>
      </c>
      <c r="Z121" s="32" t="n">
        <v>80000</v>
      </c>
      <c r="AA121" s="23" t="inlineStr">
        <is>
          <t>Yes</t>
        </is>
      </c>
      <c r="AB121" s="23" t="inlineStr">
        <is>
          <t>2026-06-05</t>
        </is>
      </c>
      <c r="AC121" s="23" t="inlineStr">
        <is>
          <t>Ready</t>
        </is>
      </c>
      <c r="AD121" s="23" t="inlineStr">
        <is>
          <t>Delivery paired with same order and same vehicle unless transshipment enabled</t>
        </is>
      </c>
    </row>
    <row r="122" ht="18" customHeight="1" s="17">
      <c r="A122" s="21" t="inlineStr">
        <is>
          <t>S2</t>
        </is>
      </c>
      <c r="B122" s="21" t="inlineStr">
        <is>
          <t>S2-ORD-031</t>
        </is>
      </c>
      <c r="C122" s="21" t="inlineStr">
        <is>
          <t>S2-ORD-031-P</t>
        </is>
      </c>
      <c r="D122" s="21" t="inlineStr">
        <is>
          <t>Pickup</t>
        </is>
      </c>
      <c r="E122" s="21" t="inlineStr">
        <is>
          <t>S2-ORD-031-D</t>
        </is>
      </c>
      <c r="F122" s="21" t="inlineStr">
        <is>
          <t>S2-ORD-031</t>
        </is>
      </c>
      <c r="G122" s="21" t="inlineStr">
        <is>
          <t>PK_HY_MYHAO</t>
        </is>
      </c>
      <c r="H122" s="21" t="inlineStr">
        <is>
          <t>Kho/Nhà máy khách hàng Mỹ Hào</t>
        </is>
      </c>
      <c r="I122" s="21" t="inlineStr">
        <is>
          <t>Hưng Yên</t>
        </is>
      </c>
      <c r="J122" s="21" t="inlineStr">
        <is>
          <t>Mỹ Hào</t>
        </is>
      </c>
      <c r="K122" s="36" t="n">
        <v>20.9329</v>
      </c>
      <c r="L122" s="36" t="n">
        <v>106.065</v>
      </c>
      <c r="M122" s="37" t="n">
        <v>510</v>
      </c>
      <c r="N122" s="37" t="n">
        <v>600</v>
      </c>
      <c r="O122" s="21" t="inlineStr">
        <is>
          <t>08:30</t>
        </is>
      </c>
      <c r="P122" s="21" t="inlineStr">
        <is>
          <t>10:00</t>
        </is>
      </c>
      <c r="Q122" s="22" t="n">
        <v>25</v>
      </c>
      <c r="R122" s="28" t="n">
        <v>339</v>
      </c>
      <c r="S122" s="29" t="n">
        <v>0.82</v>
      </c>
      <c r="T122" s="21" t="inlineStr">
        <is>
          <t>5 tạ</t>
        </is>
      </c>
      <c r="U122" s="21" t="inlineStr">
        <is>
          <t>1.25T</t>
        </is>
      </c>
      <c r="V122" s="21" t="inlineStr">
        <is>
          <t>Nội thành Hà Nội</t>
        </is>
      </c>
      <c r="W122" s="21" t="inlineStr">
        <is>
          <t>CR-NỘIT-02</t>
        </is>
      </c>
      <c r="X122" s="21" t="inlineStr">
        <is>
          <t>A - SLA chặt</t>
        </is>
      </c>
      <c r="Y122" s="31" t="n">
        <v>850000</v>
      </c>
      <c r="Z122" s="28" t="n">
        <v>150000</v>
      </c>
      <c r="AA122" s="21" t="inlineStr">
        <is>
          <t>Yes</t>
        </is>
      </c>
      <c r="AB122" s="21" t="inlineStr">
        <is>
          <t>2026-06-05</t>
        </is>
      </c>
      <c r="AC122" s="21" t="inlineStr">
        <is>
          <t>Ready</t>
        </is>
      </c>
      <c r="AD122" s="21" t="inlineStr">
        <is>
          <t>Pickup must happen before paired delivery</t>
        </is>
      </c>
    </row>
    <row r="123" ht="18" customHeight="1" s="17">
      <c r="A123" s="23" t="inlineStr">
        <is>
          <t>S2</t>
        </is>
      </c>
      <c r="B123" s="23" t="inlineStr">
        <is>
          <t>S2-ORD-031</t>
        </is>
      </c>
      <c r="C123" s="23" t="inlineStr">
        <is>
          <t>S2-ORD-031-D</t>
        </is>
      </c>
      <c r="D123" s="23" t="inlineStr">
        <is>
          <t>Delivery</t>
        </is>
      </c>
      <c r="E123" s="23" t="inlineStr">
        <is>
          <t>S2-ORD-031-P</t>
        </is>
      </c>
      <c r="F123" s="23" t="inlineStr">
        <is>
          <t>S2-ORD-031</t>
        </is>
      </c>
      <c r="G123" s="23" t="inlineStr">
        <is>
          <t>DL_HN_VOTHISAU</t>
        </is>
      </c>
      <c r="H123" s="23" t="inlineStr">
        <is>
          <t>VINMART Võ Thị Sáu</t>
        </is>
      </c>
      <c r="I123" s="23" t="inlineStr">
        <is>
          <t>Hà Nội</t>
        </is>
      </c>
      <c r="J123" s="23" t="inlineStr">
        <is>
          <t>Hai Bà Trưng</t>
        </is>
      </c>
      <c r="K123" s="38" t="n">
        <v>21.00441</v>
      </c>
      <c r="L123" s="38" t="n">
        <v>105.855148</v>
      </c>
      <c r="M123" s="39" t="n">
        <v>648</v>
      </c>
      <c r="N123" s="39" t="n">
        <v>768</v>
      </c>
      <c r="O123" s="23" t="inlineStr">
        <is>
          <t>10:48</t>
        </is>
      </c>
      <c r="P123" s="23" t="inlineStr">
        <is>
          <t>12:48</t>
        </is>
      </c>
      <c r="Q123" s="24" t="n">
        <v>20</v>
      </c>
      <c r="R123" s="32" t="n">
        <v>-339</v>
      </c>
      <c r="S123" s="33" t="n">
        <v>-0.82</v>
      </c>
      <c r="T123" s="23" t="inlineStr">
        <is>
          <t>5 tạ</t>
        </is>
      </c>
      <c r="U123" s="23" t="inlineStr">
        <is>
          <t>1.25T</t>
        </is>
      </c>
      <c r="V123" s="23" t="inlineStr">
        <is>
          <t>Nội thành Hà Nội</t>
        </is>
      </c>
      <c r="W123" s="23" t="inlineStr">
        <is>
          <t>CR-NỘIT-02</t>
        </is>
      </c>
      <c r="X123" s="23" t="inlineStr">
        <is>
          <t>A - SLA chặt</t>
        </is>
      </c>
      <c r="Y123" s="35" t="n">
        <v>0</v>
      </c>
      <c r="Z123" s="32" t="n">
        <v>150000</v>
      </c>
      <c r="AA123" s="23" t="inlineStr">
        <is>
          <t>Yes</t>
        </is>
      </c>
      <c r="AB123" s="23" t="inlineStr">
        <is>
          <t>2026-06-05</t>
        </is>
      </c>
      <c r="AC123" s="23" t="inlineStr">
        <is>
          <t>Ready</t>
        </is>
      </c>
      <c r="AD123" s="23" t="inlineStr">
        <is>
          <t>Delivery paired with same order and same vehicle unless transshipment enabled</t>
        </is>
      </c>
    </row>
    <row r="124" ht="18" customHeight="1" s="17">
      <c r="A124" s="21" t="inlineStr">
        <is>
          <t>S2</t>
        </is>
      </c>
      <c r="B124" s="21" t="inlineStr">
        <is>
          <t>S2-ORD-032</t>
        </is>
      </c>
      <c r="C124" s="21" t="inlineStr">
        <is>
          <t>S2-ORD-032-P</t>
        </is>
      </c>
      <c r="D124" s="21" t="inlineStr">
        <is>
          <t>Pickup</t>
        </is>
      </c>
      <c r="E124" s="21" t="inlineStr">
        <is>
          <t>S2-ORD-032-D</t>
        </is>
      </c>
      <c r="F124" s="21" t="inlineStr">
        <is>
          <t>S2-ORD-032</t>
        </is>
      </c>
      <c r="G124" s="21" t="inlineStr">
        <is>
          <t>PK_HPL_LB</t>
        </is>
      </c>
      <c r="H124" s="21" t="inlineStr">
        <is>
          <t>HPL Depot Long Biên - 20 Thạch Bàn</t>
        </is>
      </c>
      <c r="I124" s="21" t="inlineStr">
        <is>
          <t>Hà Nội</t>
        </is>
      </c>
      <c r="J124" s="21" t="inlineStr">
        <is>
          <t>Long Biên</t>
        </is>
      </c>
      <c r="K124" s="36" t="n">
        <v>21.0261548385</v>
      </c>
      <c r="L124" s="36" t="n">
        <v>105.914182238</v>
      </c>
      <c r="M124" s="37" t="n">
        <v>450</v>
      </c>
      <c r="N124" s="37" t="n">
        <v>600</v>
      </c>
      <c r="O124" s="21" t="inlineStr">
        <is>
          <t>07:30</t>
        </is>
      </c>
      <c r="P124" s="21" t="inlineStr">
        <is>
          <t>10:00</t>
        </is>
      </c>
      <c r="Q124" s="22" t="n">
        <v>25</v>
      </c>
      <c r="R124" s="28" t="n">
        <v>508</v>
      </c>
      <c r="S124" s="29" t="n">
        <v>1.28</v>
      </c>
      <c r="T124" s="21" t="inlineStr">
        <is>
          <t>1.25T</t>
        </is>
      </c>
      <c r="U124" s="21" t="inlineStr">
        <is>
          <t>1.25T</t>
        </is>
      </c>
      <c r="V124" s="21" t="inlineStr">
        <is>
          <t>Nội thành Hà Nội</t>
        </is>
      </c>
      <c r="W124" s="21" t="inlineStr">
        <is>
          <t>CR-NỘIT-03</t>
        </is>
      </c>
      <c r="X124" s="21" t="inlineStr">
        <is>
          <t>B - Thường</t>
        </is>
      </c>
      <c r="Y124" s="31" t="n">
        <v>670000</v>
      </c>
      <c r="Z124" s="28" t="n">
        <v>80000</v>
      </c>
      <c r="AA124" s="21" t="inlineStr">
        <is>
          <t>Yes</t>
        </is>
      </c>
      <c r="AB124" s="21" t="inlineStr">
        <is>
          <t>2026-06-05</t>
        </is>
      </c>
      <c r="AC124" s="21" t="inlineStr">
        <is>
          <t>Ready</t>
        </is>
      </c>
      <c r="AD124" s="21" t="inlineStr">
        <is>
          <t>Pickup must happen before paired delivery</t>
        </is>
      </c>
    </row>
    <row r="125" ht="18" customHeight="1" s="17">
      <c r="A125" s="23" t="inlineStr">
        <is>
          <t>S2</t>
        </is>
      </c>
      <c r="B125" s="23" t="inlineStr">
        <is>
          <t>S2-ORD-032</t>
        </is>
      </c>
      <c r="C125" s="23" t="inlineStr">
        <is>
          <t>S2-ORD-032-D</t>
        </is>
      </c>
      <c r="D125" s="23" t="inlineStr">
        <is>
          <t>Delivery</t>
        </is>
      </c>
      <c r="E125" s="23" t="inlineStr">
        <is>
          <t>S2-ORD-032-P</t>
        </is>
      </c>
      <c r="F125" s="23" t="inlineStr">
        <is>
          <t>S2-ORD-032</t>
        </is>
      </c>
      <c r="G125" s="23" t="inlineStr">
        <is>
          <t>DL_HN_PARKCITY</t>
        </is>
      </c>
      <c r="H125" s="23" t="inlineStr">
        <is>
          <t>TOPS MARKET ParkCity</t>
        </is>
      </c>
      <c r="I125" s="23" t="inlineStr">
        <is>
          <t>Hà Nội</t>
        </is>
      </c>
      <c r="J125" s="23" t="inlineStr">
        <is>
          <t>Hà Đông</t>
        </is>
      </c>
      <c r="K125" s="38" t="n">
        <v>20.965724</v>
      </c>
      <c r="L125" s="38" t="n">
        <v>105.756143</v>
      </c>
      <c r="M125" s="39" t="n">
        <v>579</v>
      </c>
      <c r="N125" s="39" t="n">
        <v>729</v>
      </c>
      <c r="O125" s="23" t="inlineStr">
        <is>
          <t>09:39</t>
        </is>
      </c>
      <c r="P125" s="23" t="inlineStr">
        <is>
          <t>12:09</t>
        </is>
      </c>
      <c r="Q125" s="24" t="n">
        <v>30</v>
      </c>
      <c r="R125" s="32" t="n">
        <v>-508</v>
      </c>
      <c r="S125" s="33" t="n">
        <v>-1.28</v>
      </c>
      <c r="T125" s="23" t="inlineStr">
        <is>
          <t>1.25T</t>
        </is>
      </c>
      <c r="U125" s="23" t="inlineStr">
        <is>
          <t>1.25T</t>
        </is>
      </c>
      <c r="V125" s="23" t="inlineStr">
        <is>
          <t>Nội thành Hà Nội</t>
        </is>
      </c>
      <c r="W125" s="23" t="inlineStr">
        <is>
          <t>CR-NỘIT-03</t>
        </is>
      </c>
      <c r="X125" s="23" t="inlineStr">
        <is>
          <t>B - Thường</t>
        </is>
      </c>
      <c r="Y125" s="35" t="n">
        <v>0</v>
      </c>
      <c r="Z125" s="32" t="n">
        <v>80000</v>
      </c>
      <c r="AA125" s="23" t="inlineStr">
        <is>
          <t>Yes</t>
        </is>
      </c>
      <c r="AB125" s="23" t="inlineStr">
        <is>
          <t>2026-06-05</t>
        </is>
      </c>
      <c r="AC125" s="23" t="inlineStr">
        <is>
          <t>Ready</t>
        </is>
      </c>
      <c r="AD125" s="23" t="inlineStr">
        <is>
          <t>Delivery paired with same order and same vehicle unless transshipment enabled</t>
        </is>
      </c>
    </row>
    <row r="126" ht="18" customHeight="1" s="17">
      <c r="A126" s="21" t="inlineStr">
        <is>
          <t>S2</t>
        </is>
      </c>
      <c r="B126" s="21" t="inlineStr">
        <is>
          <t>S2-ORD-033</t>
        </is>
      </c>
      <c r="C126" s="21" t="inlineStr">
        <is>
          <t>S2-ORD-033-P</t>
        </is>
      </c>
      <c r="D126" s="21" t="inlineStr">
        <is>
          <t>Pickup</t>
        </is>
      </c>
      <c r="E126" s="21" t="inlineStr">
        <is>
          <t>S2-ORD-033-D</t>
        </is>
      </c>
      <c r="F126" s="21" t="inlineStr">
        <is>
          <t>S2-ORD-033</t>
        </is>
      </c>
      <c r="G126" s="21" t="inlineStr">
        <is>
          <t>PK_HPL_LB</t>
        </is>
      </c>
      <c r="H126" s="21" t="inlineStr">
        <is>
          <t>HPL Depot Long Biên - 20 Thạch Bàn</t>
        </is>
      </c>
      <c r="I126" s="21" t="inlineStr">
        <is>
          <t>Hà Nội</t>
        </is>
      </c>
      <c r="J126" s="21" t="inlineStr">
        <is>
          <t>Long Biên</t>
        </is>
      </c>
      <c r="K126" s="36" t="n">
        <v>21.0261548385</v>
      </c>
      <c r="L126" s="36" t="n">
        <v>105.914182238</v>
      </c>
      <c r="M126" s="37" t="n">
        <v>420</v>
      </c>
      <c r="N126" s="37" t="n">
        <v>570</v>
      </c>
      <c r="O126" s="21" t="inlineStr">
        <is>
          <t>07:00</t>
        </is>
      </c>
      <c r="P126" s="21" t="inlineStr">
        <is>
          <t>09:30</t>
        </is>
      </c>
      <c r="Q126" s="22" t="n">
        <v>40</v>
      </c>
      <c r="R126" s="28" t="n">
        <v>4842</v>
      </c>
      <c r="S126" s="29" t="n">
        <v>10.99</v>
      </c>
      <c r="T126" s="21" t="inlineStr">
        <is>
          <t>5T</t>
        </is>
      </c>
      <c r="U126" s="21" t="inlineStr">
        <is>
          <t>8T</t>
        </is>
      </c>
      <c r="V126" s="21" t="inlineStr">
        <is>
          <t>Bắc Trung Bộ</t>
        </is>
      </c>
      <c r="W126" s="21" t="inlineStr">
        <is>
          <t>CR-BẮCT-04</t>
        </is>
      </c>
      <c r="X126" s="21" t="inlineStr">
        <is>
          <t>C - Có thể thương lượng</t>
        </is>
      </c>
      <c r="Y126" s="31" t="n">
        <v>3320000</v>
      </c>
      <c r="Z126" s="28" t="n">
        <v>80000</v>
      </c>
      <c r="AA126" s="21" t="inlineStr">
        <is>
          <t>Yes</t>
        </is>
      </c>
      <c r="AB126" s="21" t="inlineStr">
        <is>
          <t>2026-06-05</t>
        </is>
      </c>
      <c r="AC126" s="21" t="inlineStr">
        <is>
          <t>Ready</t>
        </is>
      </c>
      <c r="AD126" s="21" t="inlineStr">
        <is>
          <t>Pickup must happen before paired delivery</t>
        </is>
      </c>
    </row>
    <row r="127" ht="18" customHeight="1" s="17">
      <c r="A127" s="23" t="inlineStr">
        <is>
          <t>S2</t>
        </is>
      </c>
      <c r="B127" s="23" t="inlineStr">
        <is>
          <t>S2-ORD-033</t>
        </is>
      </c>
      <c r="C127" s="23" t="inlineStr">
        <is>
          <t>S2-ORD-033-D</t>
        </is>
      </c>
      <c r="D127" s="23" t="inlineStr">
        <is>
          <t>Delivery</t>
        </is>
      </c>
      <c r="E127" s="23" t="inlineStr">
        <is>
          <t>S2-ORD-033-P</t>
        </is>
      </c>
      <c r="F127" s="23" t="inlineStr">
        <is>
          <t>S2-ORD-033</t>
        </is>
      </c>
      <c r="G127" s="23" t="inlineStr">
        <is>
          <t>DL_NB_SIEUTHI</t>
        </is>
      </c>
      <c r="H127" s="23" t="inlineStr">
        <is>
          <t>Siêu thị Ninh Bình</t>
        </is>
      </c>
      <c r="I127" s="23" t="inlineStr">
        <is>
          <t>Ninh Bình</t>
        </is>
      </c>
      <c r="J127" s="23" t="inlineStr">
        <is>
          <t>Hoa Lư</t>
        </is>
      </c>
      <c r="K127" s="38" t="n">
        <v>20.250614</v>
      </c>
      <c r="L127" s="38" t="n">
        <v>105.974454</v>
      </c>
      <c r="M127" s="39" t="n">
        <v>722</v>
      </c>
      <c r="N127" s="39" t="n">
        <v>902</v>
      </c>
      <c r="O127" s="23" t="inlineStr">
        <is>
          <t>12:02</t>
        </is>
      </c>
      <c r="P127" s="23" t="inlineStr">
        <is>
          <t>15:02</t>
        </is>
      </c>
      <c r="Q127" s="24" t="n">
        <v>35</v>
      </c>
      <c r="R127" s="32" t="n">
        <v>-4842</v>
      </c>
      <c r="S127" s="33" t="n">
        <v>-10.99</v>
      </c>
      <c r="T127" s="23" t="inlineStr">
        <is>
          <t>5T</t>
        </is>
      </c>
      <c r="U127" s="23" t="inlineStr">
        <is>
          <t>8T</t>
        </is>
      </c>
      <c r="V127" s="23" t="inlineStr">
        <is>
          <t>Bắc Trung Bộ</t>
        </is>
      </c>
      <c r="W127" s="23" t="inlineStr">
        <is>
          <t>CR-BẮCT-04</t>
        </is>
      </c>
      <c r="X127" s="23" t="inlineStr">
        <is>
          <t>C - Có thể thương lượng</t>
        </is>
      </c>
      <c r="Y127" s="35" t="n">
        <v>0</v>
      </c>
      <c r="Z127" s="32" t="n">
        <v>80000</v>
      </c>
      <c r="AA127" s="23" t="inlineStr">
        <is>
          <t>Yes</t>
        </is>
      </c>
      <c r="AB127" s="23" t="inlineStr">
        <is>
          <t>2026-06-05</t>
        </is>
      </c>
      <c r="AC127" s="23" t="inlineStr">
        <is>
          <t>Ready</t>
        </is>
      </c>
      <c r="AD127" s="23" t="inlineStr">
        <is>
          <t>Delivery paired with same order and same vehicle unless transshipment enabled</t>
        </is>
      </c>
    </row>
    <row r="128" ht="18" customHeight="1" s="17">
      <c r="A128" s="21" t="inlineStr">
        <is>
          <t>S2</t>
        </is>
      </c>
      <c r="B128" s="21" t="inlineStr">
        <is>
          <t>S2-ORD-034</t>
        </is>
      </c>
      <c r="C128" s="21" t="inlineStr">
        <is>
          <t>S2-ORD-034-P</t>
        </is>
      </c>
      <c r="D128" s="21" t="inlineStr">
        <is>
          <t>Pickup</t>
        </is>
      </c>
      <c r="E128" s="21" t="inlineStr">
        <is>
          <t>S2-ORD-034-D</t>
        </is>
      </c>
      <c r="F128" s="21" t="inlineStr">
        <is>
          <t>S2-ORD-034</t>
        </is>
      </c>
      <c r="G128" s="21" t="inlineStr">
        <is>
          <t>PK_HP_DINHVU</t>
        </is>
      </c>
      <c r="H128" s="21" t="inlineStr">
        <is>
          <t>Kho Hải Phòng - Đình Vũ</t>
        </is>
      </c>
      <c r="I128" s="21" t="inlineStr">
        <is>
          <t>Hải Phòng</t>
        </is>
      </c>
      <c r="J128" s="21" t="inlineStr">
        <is>
          <t>Hải An</t>
        </is>
      </c>
      <c r="K128" s="36" t="n">
        <v>20.8425</v>
      </c>
      <c r="L128" s="36" t="n">
        <v>106.77</v>
      </c>
      <c r="M128" s="37" t="n">
        <v>510</v>
      </c>
      <c r="N128" s="37" t="n">
        <v>630</v>
      </c>
      <c r="O128" s="21" t="inlineStr">
        <is>
          <t>08:30</t>
        </is>
      </c>
      <c r="P128" s="21" t="inlineStr">
        <is>
          <t>10:30</t>
        </is>
      </c>
      <c r="Q128" s="22" t="n">
        <v>40</v>
      </c>
      <c r="R128" s="28" t="n">
        <v>3522</v>
      </c>
      <c r="S128" s="29" t="n">
        <v>8</v>
      </c>
      <c r="T128" s="21" t="inlineStr">
        <is>
          <t>5T</t>
        </is>
      </c>
      <c r="U128" s="21" t="inlineStr">
        <is>
          <t>8T</t>
        </is>
      </c>
      <c r="V128" s="21" t="inlineStr">
        <is>
          <t>Đông Bắc</t>
        </is>
      </c>
      <c r="W128" s="21" t="inlineStr">
        <is>
          <t>CR-ĐÔNG-05</t>
        </is>
      </c>
      <c r="X128" s="21" t="inlineStr">
        <is>
          <t>B - Thường</t>
        </is>
      </c>
      <c r="Y128" s="31" t="n">
        <v>2500000</v>
      </c>
      <c r="Z128" s="28" t="n">
        <v>80000</v>
      </c>
      <c r="AA128" s="21" t="inlineStr">
        <is>
          <t>Yes</t>
        </is>
      </c>
      <c r="AB128" s="21" t="inlineStr">
        <is>
          <t>2026-06-05</t>
        </is>
      </c>
      <c r="AC128" s="21" t="inlineStr">
        <is>
          <t>Ready</t>
        </is>
      </c>
      <c r="AD128" s="21" t="inlineStr">
        <is>
          <t>Pickup must happen before paired delivery</t>
        </is>
      </c>
    </row>
    <row r="129" ht="18" customHeight="1" s="17">
      <c r="A129" s="23" t="inlineStr">
        <is>
          <t>S2</t>
        </is>
      </c>
      <c r="B129" s="23" t="inlineStr">
        <is>
          <t>S2-ORD-034</t>
        </is>
      </c>
      <c r="C129" s="23" t="inlineStr">
        <is>
          <t>S2-ORD-034-D</t>
        </is>
      </c>
      <c r="D129" s="23" t="inlineStr">
        <is>
          <t>Delivery</t>
        </is>
      </c>
      <c r="E129" s="23" t="inlineStr">
        <is>
          <t>S2-ORD-034-P</t>
        </is>
      </c>
      <c r="F129" s="23" t="inlineStr">
        <is>
          <t>S2-ORD-034</t>
        </is>
      </c>
      <c r="G129" s="23" t="inlineStr">
        <is>
          <t>DL_BN_QUEVO_01</t>
        </is>
      </c>
      <c r="H129" s="23" t="inlineStr">
        <is>
          <t>VINMART Quế Võ</t>
        </is>
      </c>
      <c r="I129" s="23" t="inlineStr">
        <is>
          <t>Bắc Ninh</t>
        </is>
      </c>
      <c r="J129" s="23" t="inlineStr">
        <is>
          <t>Quế Võ</t>
        </is>
      </c>
      <c r="K129" s="38" t="n">
        <v>21.170139</v>
      </c>
      <c r="L129" s="38" t="n">
        <v>106.102396</v>
      </c>
      <c r="M129" s="39" t="n">
        <v>798</v>
      </c>
      <c r="N129" s="39" t="n">
        <v>978</v>
      </c>
      <c r="O129" s="23" t="inlineStr">
        <is>
          <t>13:18</t>
        </is>
      </c>
      <c r="P129" s="23" t="inlineStr">
        <is>
          <t>16:18</t>
        </is>
      </c>
      <c r="Q129" s="24" t="n">
        <v>35</v>
      </c>
      <c r="R129" s="32" t="n">
        <v>-3522</v>
      </c>
      <c r="S129" s="33" t="n">
        <v>-8</v>
      </c>
      <c r="T129" s="23" t="inlineStr">
        <is>
          <t>5T</t>
        </is>
      </c>
      <c r="U129" s="23" t="inlineStr">
        <is>
          <t>8T</t>
        </is>
      </c>
      <c r="V129" s="23" t="inlineStr">
        <is>
          <t>Đông Bắc</t>
        </is>
      </c>
      <c r="W129" s="23" t="inlineStr">
        <is>
          <t>CR-ĐÔNG-05</t>
        </is>
      </c>
      <c r="X129" s="23" t="inlineStr">
        <is>
          <t>B - Thường</t>
        </is>
      </c>
      <c r="Y129" s="35" t="n">
        <v>0</v>
      </c>
      <c r="Z129" s="32" t="n">
        <v>80000</v>
      </c>
      <c r="AA129" s="23" t="inlineStr">
        <is>
          <t>Yes</t>
        </is>
      </c>
      <c r="AB129" s="23" t="inlineStr">
        <is>
          <t>2026-06-05</t>
        </is>
      </c>
      <c r="AC129" s="23" t="inlineStr">
        <is>
          <t>Ready</t>
        </is>
      </c>
      <c r="AD129" s="23" t="inlineStr">
        <is>
          <t>Delivery paired with same order and same vehicle unless transshipment enabled</t>
        </is>
      </c>
    </row>
    <row r="130" ht="18" customHeight="1" s="17">
      <c r="A130" s="21" t="inlineStr">
        <is>
          <t>S2</t>
        </is>
      </c>
      <c r="B130" s="21" t="inlineStr">
        <is>
          <t>S2-ORD-035</t>
        </is>
      </c>
      <c r="C130" s="21" t="inlineStr">
        <is>
          <t>S2-ORD-035-P</t>
        </is>
      </c>
      <c r="D130" s="21" t="inlineStr">
        <is>
          <t>Pickup</t>
        </is>
      </c>
      <c r="E130" s="21" t="inlineStr">
        <is>
          <t>S2-ORD-035-D</t>
        </is>
      </c>
      <c r="F130" s="21" t="inlineStr">
        <is>
          <t>S2-ORD-035</t>
        </is>
      </c>
      <c r="G130" s="21" t="inlineStr">
        <is>
          <t>PK_HPL_LB</t>
        </is>
      </c>
      <c r="H130" s="21" t="inlineStr">
        <is>
          <t>HPL Depot Long Biên - 20 Thạch Bàn</t>
        </is>
      </c>
      <c r="I130" s="21" t="inlineStr">
        <is>
          <t>Hà Nội</t>
        </is>
      </c>
      <c r="J130" s="21" t="inlineStr">
        <is>
          <t>Long Biên</t>
        </is>
      </c>
      <c r="K130" s="36" t="n">
        <v>21.0261548385</v>
      </c>
      <c r="L130" s="36" t="n">
        <v>105.914182238</v>
      </c>
      <c r="M130" s="37" t="n">
        <v>450</v>
      </c>
      <c r="N130" s="37" t="n">
        <v>540</v>
      </c>
      <c r="O130" s="21" t="inlineStr">
        <is>
          <t>07:30</t>
        </is>
      </c>
      <c r="P130" s="21" t="inlineStr">
        <is>
          <t>09:00</t>
        </is>
      </c>
      <c r="Q130" s="22" t="n">
        <v>40</v>
      </c>
      <c r="R130" s="28" t="n">
        <v>1445</v>
      </c>
      <c r="S130" s="29" t="n">
        <v>7.19</v>
      </c>
      <c r="T130" s="21" t="inlineStr">
        <is>
          <t>5T</t>
        </is>
      </c>
      <c r="U130" s="21" t="inlineStr">
        <is>
          <t>1.25T</t>
        </is>
      </c>
      <c r="V130" s="21" t="inlineStr">
        <is>
          <t>Nội thành Hà Nội</t>
        </is>
      </c>
      <c r="W130" s="21" t="inlineStr">
        <is>
          <t>CR-NỘIT-01</t>
        </is>
      </c>
      <c r="X130" s="21" t="inlineStr">
        <is>
          <t>C - Có thể thương lượng</t>
        </is>
      </c>
      <c r="Y130" s="31" t="n">
        <v>600000</v>
      </c>
      <c r="Z130" s="28" t="n">
        <v>80000</v>
      </c>
      <c r="AA130" s="21" t="inlineStr">
        <is>
          <t>Yes</t>
        </is>
      </c>
      <c r="AB130" s="21" t="inlineStr">
        <is>
          <t>2026-06-05</t>
        </is>
      </c>
      <c r="AC130" s="21" t="inlineStr">
        <is>
          <t>Review</t>
        </is>
      </c>
      <c r="AD130" s="21" t="inlineStr">
        <is>
          <t>Pickup must happen before paired delivery</t>
        </is>
      </c>
    </row>
    <row r="131" ht="18" customHeight="1" s="17">
      <c r="A131" s="23" t="inlineStr">
        <is>
          <t>S2</t>
        </is>
      </c>
      <c r="B131" s="23" t="inlineStr">
        <is>
          <t>S2-ORD-035</t>
        </is>
      </c>
      <c r="C131" s="23" t="inlineStr">
        <is>
          <t>S2-ORD-035-D</t>
        </is>
      </c>
      <c r="D131" s="23" t="inlineStr">
        <is>
          <t>Delivery</t>
        </is>
      </c>
      <c r="E131" s="23" t="inlineStr">
        <is>
          <t>S2-ORD-035-P</t>
        </is>
      </c>
      <c r="F131" s="23" t="inlineStr">
        <is>
          <t>S2-ORD-035</t>
        </is>
      </c>
      <c r="G131" s="23" t="inlineStr">
        <is>
          <t>DL_HN_LOTTE_CG</t>
        </is>
      </c>
      <c r="H131" s="23" t="inlineStr">
        <is>
          <t>LOTTE MART Cầu Giấy</t>
        </is>
      </c>
      <c r="I131" s="23" t="inlineStr">
        <is>
          <t>Hà Nội</t>
        </is>
      </c>
      <c r="J131" s="23" t="inlineStr">
        <is>
          <t>Cầu Giấy</t>
        </is>
      </c>
      <c r="K131" s="38" t="n">
        <v>21.035513</v>
      </c>
      <c r="L131" s="38" t="n">
        <v>105.794064</v>
      </c>
      <c r="M131" s="39" t="n">
        <v>610</v>
      </c>
      <c r="N131" s="39" t="n">
        <v>790</v>
      </c>
      <c r="O131" s="23" t="inlineStr">
        <is>
          <t>10:10</t>
        </is>
      </c>
      <c r="P131" s="23" t="inlineStr">
        <is>
          <t>13:10</t>
        </is>
      </c>
      <c r="Q131" s="24" t="n">
        <v>45</v>
      </c>
      <c r="R131" s="32" t="n">
        <v>-1445</v>
      </c>
      <c r="S131" s="33" t="n">
        <v>-7.19</v>
      </c>
      <c r="T131" s="23" t="inlineStr">
        <is>
          <t>5T</t>
        </is>
      </c>
      <c r="U131" s="23" t="inlineStr">
        <is>
          <t>1.25T</t>
        </is>
      </c>
      <c r="V131" s="23" t="inlineStr">
        <is>
          <t>Nội thành Hà Nội</t>
        </is>
      </c>
      <c r="W131" s="23" t="inlineStr">
        <is>
          <t>CR-NỘIT-01</t>
        </is>
      </c>
      <c r="X131" s="23" t="inlineStr">
        <is>
          <t>C - Có thể thương lượng</t>
        </is>
      </c>
      <c r="Y131" s="35" t="n">
        <v>0</v>
      </c>
      <c r="Z131" s="32" t="n">
        <v>80000</v>
      </c>
      <c r="AA131" s="23" t="inlineStr">
        <is>
          <t>Yes</t>
        </is>
      </c>
      <c r="AB131" s="23" t="inlineStr">
        <is>
          <t>2026-06-05</t>
        </is>
      </c>
      <c r="AC131" s="23" t="inlineStr">
        <is>
          <t>Review</t>
        </is>
      </c>
      <c r="AD131" s="23" t="inlineStr">
        <is>
          <t>Delivery paired with same order and same vehicle unless transshipment enabled</t>
        </is>
      </c>
    </row>
    <row r="132" ht="18" customHeight="1" s="17">
      <c r="A132" s="21" t="inlineStr">
        <is>
          <t>S2</t>
        </is>
      </c>
      <c r="B132" s="21" t="inlineStr">
        <is>
          <t>S2-ORD-036</t>
        </is>
      </c>
      <c r="C132" s="21" t="inlineStr">
        <is>
          <t>S2-ORD-036-P</t>
        </is>
      </c>
      <c r="D132" s="21" t="inlineStr">
        <is>
          <t>Pickup</t>
        </is>
      </c>
      <c r="E132" s="21" t="inlineStr">
        <is>
          <t>S2-ORD-036-D</t>
        </is>
      </c>
      <c r="F132" s="21" t="inlineStr">
        <is>
          <t>S2-ORD-036</t>
        </is>
      </c>
      <c r="G132" s="21" t="inlineStr">
        <is>
          <t>PK_LINFOX_VSIP</t>
        </is>
      </c>
      <c r="H132" s="21" t="inlineStr">
        <is>
          <t>Kho Linfox KCN VSIP Bắc Ninh</t>
        </is>
      </c>
      <c r="I132" s="21" t="inlineStr">
        <is>
          <t>Bắc Ninh</t>
        </is>
      </c>
      <c r="J132" s="21" t="inlineStr">
        <is>
          <t>Từ Sơn</t>
        </is>
      </c>
      <c r="K132" s="36" t="n">
        <v>21.082707</v>
      </c>
      <c r="L132" s="36" t="n">
        <v>105.997949</v>
      </c>
      <c r="M132" s="37" t="n">
        <v>480</v>
      </c>
      <c r="N132" s="37" t="n">
        <v>600</v>
      </c>
      <c r="O132" s="21" t="inlineStr">
        <is>
          <t>08:00</t>
        </is>
      </c>
      <c r="P132" s="21" t="inlineStr">
        <is>
          <t>10:00</t>
        </is>
      </c>
      <c r="Q132" s="22" t="n">
        <v>25</v>
      </c>
      <c r="R132" s="28" t="n">
        <v>1006</v>
      </c>
      <c r="S132" s="29" t="n">
        <v>7.73</v>
      </c>
      <c r="T132" s="21" t="inlineStr">
        <is>
          <t>1.25T</t>
        </is>
      </c>
      <c r="U132" s="21" t="inlineStr">
        <is>
          <t>1.25T</t>
        </is>
      </c>
      <c r="V132" s="21" t="inlineStr">
        <is>
          <t>Nội thành Hà Nội</t>
        </is>
      </c>
      <c r="W132" s="21" t="inlineStr">
        <is>
          <t>CR-NỘIT-02</t>
        </is>
      </c>
      <c r="X132" s="21" t="inlineStr">
        <is>
          <t>B - Thường</t>
        </is>
      </c>
      <c r="Y132" s="31" t="n">
        <v>930000</v>
      </c>
      <c r="Z132" s="28" t="n">
        <v>80000</v>
      </c>
      <c r="AA132" s="21" t="inlineStr">
        <is>
          <t>Yes</t>
        </is>
      </c>
      <c r="AB132" s="21" t="inlineStr">
        <is>
          <t>2026-06-05</t>
        </is>
      </c>
      <c r="AC132" s="21" t="inlineStr">
        <is>
          <t>Ready</t>
        </is>
      </c>
      <c r="AD132" s="21" t="inlineStr">
        <is>
          <t>Pickup must happen before paired delivery</t>
        </is>
      </c>
    </row>
    <row r="133" ht="18" customHeight="1" s="17">
      <c r="A133" s="23" t="inlineStr">
        <is>
          <t>S2</t>
        </is>
      </c>
      <c r="B133" s="23" t="inlineStr">
        <is>
          <t>S2-ORD-036</t>
        </is>
      </c>
      <c r="C133" s="23" t="inlineStr">
        <is>
          <t>S2-ORD-036-D</t>
        </is>
      </c>
      <c r="D133" s="23" t="inlineStr">
        <is>
          <t>Delivery</t>
        </is>
      </c>
      <c r="E133" s="23" t="inlineStr">
        <is>
          <t>S2-ORD-036-P</t>
        </is>
      </c>
      <c r="F133" s="23" t="inlineStr">
        <is>
          <t>S2-ORD-036</t>
        </is>
      </c>
      <c r="G133" s="23" t="inlineStr">
        <is>
          <t>DL_HN_TIMESCITY</t>
        </is>
      </c>
      <c r="H133" s="23" t="inlineStr">
        <is>
          <t>VINMART Times City</t>
        </is>
      </c>
      <c r="I133" s="23" t="inlineStr">
        <is>
          <t>Hà Nội</t>
        </is>
      </c>
      <c r="J133" s="23" t="inlineStr">
        <is>
          <t>Hai Bà Trưng</t>
        </is>
      </c>
      <c r="K133" s="38" t="n">
        <v>20.994022</v>
      </c>
      <c r="L133" s="38" t="n">
        <v>105.869639</v>
      </c>
      <c r="M133" s="39" t="n">
        <v>634</v>
      </c>
      <c r="N133" s="39" t="n">
        <v>754</v>
      </c>
      <c r="O133" s="23" t="inlineStr">
        <is>
          <t>10:34</t>
        </is>
      </c>
      <c r="P133" s="23" t="inlineStr">
        <is>
          <t>12:34</t>
        </is>
      </c>
      <c r="Q133" s="24" t="n">
        <v>30</v>
      </c>
      <c r="R133" s="32" t="n">
        <v>-1006</v>
      </c>
      <c r="S133" s="33" t="n">
        <v>-7.73</v>
      </c>
      <c r="T133" s="23" t="inlineStr">
        <is>
          <t>1.25T</t>
        </is>
      </c>
      <c r="U133" s="23" t="inlineStr">
        <is>
          <t>1.25T</t>
        </is>
      </c>
      <c r="V133" s="23" t="inlineStr">
        <is>
          <t>Nội thành Hà Nội</t>
        </is>
      </c>
      <c r="W133" s="23" t="inlineStr">
        <is>
          <t>CR-NỘIT-02</t>
        </is>
      </c>
      <c r="X133" s="23" t="inlineStr">
        <is>
          <t>B - Thường</t>
        </is>
      </c>
      <c r="Y133" s="35" t="n">
        <v>0</v>
      </c>
      <c r="Z133" s="32" t="n">
        <v>80000</v>
      </c>
      <c r="AA133" s="23" t="inlineStr">
        <is>
          <t>Yes</t>
        </is>
      </c>
      <c r="AB133" s="23" t="inlineStr">
        <is>
          <t>2026-06-05</t>
        </is>
      </c>
      <c r="AC133" s="23" t="inlineStr">
        <is>
          <t>Ready</t>
        </is>
      </c>
      <c r="AD133" s="23" t="inlineStr">
        <is>
          <t>Delivery paired with same order and same vehicle unless transshipment enabled</t>
        </is>
      </c>
    </row>
    <row r="134" ht="18" customHeight="1" s="17">
      <c r="A134" s="21" t="inlineStr">
        <is>
          <t>S2</t>
        </is>
      </c>
      <c r="B134" s="21" t="inlineStr">
        <is>
          <t>S2-ORD-037</t>
        </is>
      </c>
      <c r="C134" s="21" t="inlineStr">
        <is>
          <t>S2-ORD-037-P</t>
        </is>
      </c>
      <c r="D134" s="21" t="inlineStr">
        <is>
          <t>Pickup</t>
        </is>
      </c>
      <c r="E134" s="21" t="inlineStr">
        <is>
          <t>S2-ORD-037-D</t>
        </is>
      </c>
      <c r="F134" s="21" t="inlineStr">
        <is>
          <t>S2-ORD-037</t>
        </is>
      </c>
      <c r="G134" s="21" t="inlineStr">
        <is>
          <t>PK_LINFOX_VSIP</t>
        </is>
      </c>
      <c r="H134" s="21" t="inlineStr">
        <is>
          <t>Kho Linfox KCN VSIP Bắc Ninh</t>
        </is>
      </c>
      <c r="I134" s="21" t="inlineStr">
        <is>
          <t>Bắc Ninh</t>
        </is>
      </c>
      <c r="J134" s="21" t="inlineStr">
        <is>
          <t>Từ Sơn</t>
        </is>
      </c>
      <c r="K134" s="36" t="n">
        <v>21.082707</v>
      </c>
      <c r="L134" s="36" t="n">
        <v>105.997949</v>
      </c>
      <c r="M134" s="37" t="n">
        <v>480</v>
      </c>
      <c r="N134" s="37" t="n">
        <v>630</v>
      </c>
      <c r="O134" s="21" t="inlineStr">
        <is>
          <t>08:00</t>
        </is>
      </c>
      <c r="P134" s="21" t="inlineStr">
        <is>
          <t>10:30</t>
        </is>
      </c>
      <c r="Q134" s="22" t="n">
        <v>40</v>
      </c>
      <c r="R134" s="28" t="n">
        <v>6467</v>
      </c>
      <c r="S134" s="29" t="n">
        <v>25.04</v>
      </c>
      <c r="T134" s="21" t="inlineStr">
        <is>
          <t>8T</t>
        </is>
      </c>
      <c r="U134" s="21" t="inlineStr">
        <is>
          <t>5T</t>
        </is>
      </c>
      <c r="V134" s="21" t="inlineStr">
        <is>
          <t>Đông Bắc</t>
        </is>
      </c>
      <c r="W134" s="21" t="inlineStr">
        <is>
          <t>CR-ĐÔNG-03</t>
        </is>
      </c>
      <c r="X134" s="21" t="inlineStr">
        <is>
          <t>C - Có thể thương lượng</t>
        </is>
      </c>
      <c r="Y134" s="31" t="n">
        <v>4040000</v>
      </c>
      <c r="Z134" s="28" t="n">
        <v>80000</v>
      </c>
      <c r="AA134" s="21" t="inlineStr">
        <is>
          <t>Yes</t>
        </is>
      </c>
      <c r="AB134" s="21" t="inlineStr">
        <is>
          <t>2026-06-05</t>
        </is>
      </c>
      <c r="AC134" s="21" t="inlineStr">
        <is>
          <t>Review</t>
        </is>
      </c>
      <c r="AD134" s="21" t="inlineStr">
        <is>
          <t>Pickup must happen before paired delivery</t>
        </is>
      </c>
    </row>
    <row r="135" ht="18" customHeight="1" s="17">
      <c r="A135" s="23" t="inlineStr">
        <is>
          <t>S2</t>
        </is>
      </c>
      <c r="B135" s="23" t="inlineStr">
        <is>
          <t>S2-ORD-037</t>
        </is>
      </c>
      <c r="C135" s="23" t="inlineStr">
        <is>
          <t>S2-ORD-037-D</t>
        </is>
      </c>
      <c r="D135" s="23" t="inlineStr">
        <is>
          <t>Delivery</t>
        </is>
      </c>
      <c r="E135" s="23" t="inlineStr">
        <is>
          <t>S2-ORD-037-P</t>
        </is>
      </c>
      <c r="F135" s="23" t="inlineStr">
        <is>
          <t>S2-ORD-037</t>
        </is>
      </c>
      <c r="G135" s="23" t="inlineStr">
        <is>
          <t>DL_HP_HONGBANG</t>
        </is>
      </c>
      <c r="H135" s="23" t="inlineStr">
        <is>
          <t>MM Hồng Bàng</t>
        </is>
      </c>
      <c r="I135" s="23" t="inlineStr">
        <is>
          <t>Hải Phòng</t>
        </is>
      </c>
      <c r="J135" s="23" t="inlineStr">
        <is>
          <t>Hồng Bàng</t>
        </is>
      </c>
      <c r="K135" s="38" t="n">
        <v>20.856112</v>
      </c>
      <c r="L135" s="38" t="n">
        <v>106.682239</v>
      </c>
      <c r="M135" s="39" t="n">
        <v>736</v>
      </c>
      <c r="N135" s="39" t="n">
        <v>886</v>
      </c>
      <c r="O135" s="23" t="inlineStr">
        <is>
          <t>12:16</t>
        </is>
      </c>
      <c r="P135" s="23" t="inlineStr">
        <is>
          <t>14:46</t>
        </is>
      </c>
      <c r="Q135" s="24" t="n">
        <v>45</v>
      </c>
      <c r="R135" s="32" t="n">
        <v>-6467</v>
      </c>
      <c r="S135" s="33" t="n">
        <v>-25.04</v>
      </c>
      <c r="T135" s="23" t="inlineStr">
        <is>
          <t>8T</t>
        </is>
      </c>
      <c r="U135" s="23" t="inlineStr">
        <is>
          <t>5T</t>
        </is>
      </c>
      <c r="V135" s="23" t="inlineStr">
        <is>
          <t>Đông Bắc</t>
        </is>
      </c>
      <c r="W135" s="23" t="inlineStr">
        <is>
          <t>CR-ĐÔNG-03</t>
        </is>
      </c>
      <c r="X135" s="23" t="inlineStr">
        <is>
          <t>C - Có thể thương lượng</t>
        </is>
      </c>
      <c r="Y135" s="35" t="n">
        <v>0</v>
      </c>
      <c r="Z135" s="32" t="n">
        <v>80000</v>
      </c>
      <c r="AA135" s="23" t="inlineStr">
        <is>
          <t>Yes</t>
        </is>
      </c>
      <c r="AB135" s="23" t="inlineStr">
        <is>
          <t>2026-06-05</t>
        </is>
      </c>
      <c r="AC135" s="23" t="inlineStr">
        <is>
          <t>Review</t>
        </is>
      </c>
      <c r="AD135" s="23" t="inlineStr">
        <is>
          <t>Delivery paired with same order and same vehicle unless transshipment enabled</t>
        </is>
      </c>
    </row>
    <row r="136" ht="18" customHeight="1" s="17">
      <c r="A136" s="21" t="inlineStr">
        <is>
          <t>S2</t>
        </is>
      </c>
      <c r="B136" s="21" t="inlineStr">
        <is>
          <t>S2-ORD-038</t>
        </is>
      </c>
      <c r="C136" s="21" t="inlineStr">
        <is>
          <t>S2-ORD-038-P</t>
        </is>
      </c>
      <c r="D136" s="21" t="inlineStr">
        <is>
          <t>Pickup</t>
        </is>
      </c>
      <c r="E136" s="21" t="inlineStr">
        <is>
          <t>S2-ORD-038-D</t>
        </is>
      </c>
      <c r="F136" s="21" t="inlineStr">
        <is>
          <t>S2-ORD-038</t>
        </is>
      </c>
      <c r="G136" s="21" t="inlineStr">
        <is>
          <t>PK_NA_BACVINH</t>
        </is>
      </c>
      <c r="H136" s="21" t="inlineStr">
        <is>
          <t>Kho DC Vinh - KCN Bắc Vinh</t>
        </is>
      </c>
      <c r="I136" s="21" t="inlineStr">
        <is>
          <t>Nghệ An</t>
        </is>
      </c>
      <c r="J136" s="21" t="inlineStr">
        <is>
          <t>Vinh</t>
        </is>
      </c>
      <c r="K136" s="36" t="n">
        <v>18.733</v>
      </c>
      <c r="L136" s="36" t="n">
        <v>105.681</v>
      </c>
      <c r="M136" s="37" t="n">
        <v>420</v>
      </c>
      <c r="N136" s="37" t="n">
        <v>540</v>
      </c>
      <c r="O136" s="21" t="inlineStr">
        <is>
          <t>07:00</t>
        </is>
      </c>
      <c r="P136" s="21" t="inlineStr">
        <is>
          <t>09:00</t>
        </is>
      </c>
      <c r="Q136" s="22" t="n">
        <v>40</v>
      </c>
      <c r="R136" s="28" t="n">
        <v>2506</v>
      </c>
      <c r="S136" s="29" t="n">
        <v>4.08</v>
      </c>
      <c r="T136" s="21" t="inlineStr">
        <is>
          <t>5T</t>
        </is>
      </c>
      <c r="U136" s="21" t="inlineStr">
        <is>
          <t>8T</t>
        </is>
      </c>
      <c r="V136" s="21" t="inlineStr">
        <is>
          <t>Bắc Trung Bộ</t>
        </is>
      </c>
      <c r="W136" s="21" t="inlineStr">
        <is>
          <t>CR-BẮCT-04</t>
        </is>
      </c>
      <c r="X136" s="21" t="inlineStr">
        <is>
          <t>B - Thường</t>
        </is>
      </c>
      <c r="Y136" s="31" t="n">
        <v>4760000</v>
      </c>
      <c r="Z136" s="28" t="n">
        <v>80000</v>
      </c>
      <c r="AA136" s="21" t="inlineStr">
        <is>
          <t>Yes</t>
        </is>
      </c>
      <c r="AB136" s="21" t="inlineStr">
        <is>
          <t>2026-06-05</t>
        </is>
      </c>
      <c r="AC136" s="21" t="inlineStr">
        <is>
          <t>Ready</t>
        </is>
      </c>
      <c r="AD136" s="21" t="inlineStr">
        <is>
          <t>Pickup must happen before paired delivery</t>
        </is>
      </c>
    </row>
    <row r="137" ht="18" customHeight="1" s="17">
      <c r="A137" s="23" t="inlineStr">
        <is>
          <t>S2</t>
        </is>
      </c>
      <c r="B137" s="23" t="inlineStr">
        <is>
          <t>S2-ORD-038</t>
        </is>
      </c>
      <c r="C137" s="23" t="inlineStr">
        <is>
          <t>S2-ORD-038-D</t>
        </is>
      </c>
      <c r="D137" s="23" t="inlineStr">
        <is>
          <t>Delivery</t>
        </is>
      </c>
      <c r="E137" s="23" t="inlineStr">
        <is>
          <t>S2-ORD-038-P</t>
        </is>
      </c>
      <c r="F137" s="23" t="inlineStr">
        <is>
          <t>S2-ORD-038</t>
        </is>
      </c>
      <c r="G137" s="23" t="inlineStr">
        <is>
          <t>DL_HN_GO_HANAM</t>
        </is>
      </c>
      <c r="H137" s="23" t="inlineStr">
        <is>
          <t>GO! Hà Nam</t>
        </is>
      </c>
      <c r="I137" s="23" t="inlineStr">
        <is>
          <t>Ninh Bình</t>
        </is>
      </c>
      <c r="J137" s="23" t="inlineStr">
        <is>
          <t>Phủ Lý</t>
        </is>
      </c>
      <c r="K137" s="38" t="n">
        <v>20.541</v>
      </c>
      <c r="L137" s="38" t="n">
        <v>105.913</v>
      </c>
      <c r="M137" s="39" t="n">
        <v>796</v>
      </c>
      <c r="N137" s="39" t="n">
        <v>916</v>
      </c>
      <c r="O137" s="23" t="inlineStr">
        <is>
          <t>13:16</t>
        </is>
      </c>
      <c r="P137" s="23" t="inlineStr">
        <is>
          <t>15:16</t>
        </is>
      </c>
      <c r="Q137" s="24" t="n">
        <v>45</v>
      </c>
      <c r="R137" s="32" t="n">
        <v>-2506</v>
      </c>
      <c r="S137" s="33" t="n">
        <v>-4.08</v>
      </c>
      <c r="T137" s="23" t="inlineStr">
        <is>
          <t>5T</t>
        </is>
      </c>
      <c r="U137" s="23" t="inlineStr">
        <is>
          <t>8T</t>
        </is>
      </c>
      <c r="V137" s="23" t="inlineStr">
        <is>
          <t>Bắc Trung Bộ</t>
        </is>
      </c>
      <c r="W137" s="23" t="inlineStr">
        <is>
          <t>CR-BẮCT-04</t>
        </is>
      </c>
      <c r="X137" s="23" t="inlineStr">
        <is>
          <t>B - Thường</t>
        </is>
      </c>
      <c r="Y137" s="35" t="n">
        <v>0</v>
      </c>
      <c r="Z137" s="32" t="n">
        <v>80000</v>
      </c>
      <c r="AA137" s="23" t="inlineStr">
        <is>
          <t>Yes</t>
        </is>
      </c>
      <c r="AB137" s="23" t="inlineStr">
        <is>
          <t>2026-06-05</t>
        </is>
      </c>
      <c r="AC137" s="23" t="inlineStr">
        <is>
          <t>Ready</t>
        </is>
      </c>
      <c r="AD137" s="23" t="inlineStr">
        <is>
          <t>Delivery paired with same order and same vehicle unless transshipment enabled</t>
        </is>
      </c>
    </row>
    <row r="138" ht="18" customHeight="1" s="17">
      <c r="A138" s="21" t="inlineStr">
        <is>
          <t>S2</t>
        </is>
      </c>
      <c r="B138" s="21" t="inlineStr">
        <is>
          <t>S2-ORD-039</t>
        </is>
      </c>
      <c r="C138" s="21" t="inlineStr">
        <is>
          <t>S2-ORD-039-P</t>
        </is>
      </c>
      <c r="D138" s="21" t="inlineStr">
        <is>
          <t>Pickup</t>
        </is>
      </c>
      <c r="E138" s="21" t="inlineStr">
        <is>
          <t>S2-ORD-039-D</t>
        </is>
      </c>
      <c r="F138" s="21" t="inlineStr">
        <is>
          <t>S2-ORD-039</t>
        </is>
      </c>
      <c r="G138" s="21" t="inlineStr">
        <is>
          <t>PK_HP_DINHVU</t>
        </is>
      </c>
      <c r="H138" s="21" t="inlineStr">
        <is>
          <t>Kho Hải Phòng - Đình Vũ</t>
        </is>
      </c>
      <c r="I138" s="21" t="inlineStr">
        <is>
          <t>Hải Phòng</t>
        </is>
      </c>
      <c r="J138" s="21" t="inlineStr">
        <is>
          <t>Hải An</t>
        </is>
      </c>
      <c r="K138" s="36" t="n">
        <v>20.8425</v>
      </c>
      <c r="L138" s="36" t="n">
        <v>106.77</v>
      </c>
      <c r="M138" s="37" t="n">
        <v>510</v>
      </c>
      <c r="N138" s="37" t="n">
        <v>660</v>
      </c>
      <c r="O138" s="21" t="inlineStr">
        <is>
          <t>08:30</t>
        </is>
      </c>
      <c r="P138" s="21" t="inlineStr">
        <is>
          <t>11:00</t>
        </is>
      </c>
      <c r="Q138" s="22" t="n">
        <v>40</v>
      </c>
      <c r="R138" s="28" t="n">
        <v>2471</v>
      </c>
      <c r="S138" s="29" t="n">
        <v>7.1</v>
      </c>
      <c r="T138" s="21" t="inlineStr">
        <is>
          <t>5T</t>
        </is>
      </c>
      <c r="U138" s="21" t="inlineStr">
        <is>
          <t>8T</t>
        </is>
      </c>
      <c r="V138" s="21" t="inlineStr">
        <is>
          <t>Đông Bắc</t>
        </is>
      </c>
      <c r="W138" s="21" t="inlineStr">
        <is>
          <t>CR-ĐÔNG-05</t>
        </is>
      </c>
      <c r="X138" s="21" t="inlineStr">
        <is>
          <t>C - Có thể thương lượng</t>
        </is>
      </c>
      <c r="Y138" s="31" t="n">
        <v>870000</v>
      </c>
      <c r="Z138" s="28" t="n">
        <v>80000</v>
      </c>
      <c r="AA138" s="21" t="inlineStr">
        <is>
          <t>Yes</t>
        </is>
      </c>
      <c r="AB138" s="21" t="inlineStr">
        <is>
          <t>2026-06-05</t>
        </is>
      </c>
      <c r="AC138" s="21" t="inlineStr">
        <is>
          <t>Ready</t>
        </is>
      </c>
      <c r="AD138" s="21" t="inlineStr">
        <is>
          <t>Pickup must happen before paired delivery</t>
        </is>
      </c>
    </row>
    <row r="139" ht="18" customHeight="1" s="17">
      <c r="A139" s="23" t="inlineStr">
        <is>
          <t>S2</t>
        </is>
      </c>
      <c r="B139" s="23" t="inlineStr">
        <is>
          <t>S2-ORD-039</t>
        </is>
      </c>
      <c r="C139" s="23" t="inlineStr">
        <is>
          <t>S2-ORD-039-D</t>
        </is>
      </c>
      <c r="D139" s="23" t="inlineStr">
        <is>
          <t>Delivery</t>
        </is>
      </c>
      <c r="E139" s="23" t="inlineStr">
        <is>
          <t>S2-ORD-039-P</t>
        </is>
      </c>
      <c r="F139" s="23" t="inlineStr">
        <is>
          <t>S2-ORD-039</t>
        </is>
      </c>
      <c r="G139" s="23" t="inlineStr">
        <is>
          <t>DL_QN_UONGBI</t>
        </is>
      </c>
      <c r="H139" s="23" t="inlineStr">
        <is>
          <t>VINMART Uông Bí</t>
        </is>
      </c>
      <c r="I139" s="23" t="inlineStr">
        <is>
          <t>Quảng Ninh</t>
        </is>
      </c>
      <c r="J139" s="23" t="inlineStr">
        <is>
          <t>Uông Bí</t>
        </is>
      </c>
      <c r="K139" s="38" t="n">
        <v>21.031495</v>
      </c>
      <c r="L139" s="38" t="n">
        <v>106.76688</v>
      </c>
      <c r="M139" s="39" t="n">
        <v>614</v>
      </c>
      <c r="N139" s="39" t="n">
        <v>794</v>
      </c>
      <c r="O139" s="23" t="inlineStr">
        <is>
          <t>10:14</t>
        </is>
      </c>
      <c r="P139" s="23" t="inlineStr">
        <is>
          <t>13:14</t>
        </is>
      </c>
      <c r="Q139" s="24" t="n">
        <v>35</v>
      </c>
      <c r="R139" s="32" t="n">
        <v>-2471</v>
      </c>
      <c r="S139" s="33" t="n">
        <v>-7.1</v>
      </c>
      <c r="T139" s="23" t="inlineStr">
        <is>
          <t>5T</t>
        </is>
      </c>
      <c r="U139" s="23" t="inlineStr">
        <is>
          <t>8T</t>
        </is>
      </c>
      <c r="V139" s="23" t="inlineStr">
        <is>
          <t>Đông Bắc</t>
        </is>
      </c>
      <c r="W139" s="23" t="inlineStr">
        <is>
          <t>CR-ĐÔNG-05</t>
        </is>
      </c>
      <c r="X139" s="23" t="inlineStr">
        <is>
          <t>C - Có thể thương lượng</t>
        </is>
      </c>
      <c r="Y139" s="35" t="n">
        <v>0</v>
      </c>
      <c r="Z139" s="32" t="n">
        <v>80000</v>
      </c>
      <c r="AA139" s="23" t="inlineStr">
        <is>
          <t>Yes</t>
        </is>
      </c>
      <c r="AB139" s="23" t="inlineStr">
        <is>
          <t>2026-06-05</t>
        </is>
      </c>
      <c r="AC139" s="23" t="inlineStr">
        <is>
          <t>Ready</t>
        </is>
      </c>
      <c r="AD139" s="23" t="inlineStr">
        <is>
          <t>Delivery paired with same order and same vehicle unless transshipment enabled</t>
        </is>
      </c>
    </row>
    <row r="140" ht="18" customHeight="1" s="17">
      <c r="A140" s="21" t="inlineStr">
        <is>
          <t>S2</t>
        </is>
      </c>
      <c r="B140" s="21" t="inlineStr">
        <is>
          <t>S2-ORD-040</t>
        </is>
      </c>
      <c r="C140" s="21" t="inlineStr">
        <is>
          <t>S2-ORD-040-P</t>
        </is>
      </c>
      <c r="D140" s="21" t="inlineStr">
        <is>
          <t>Pickup</t>
        </is>
      </c>
      <c r="E140" s="21" t="inlineStr">
        <is>
          <t>S2-ORD-040-D</t>
        </is>
      </c>
      <c r="F140" s="21" t="inlineStr">
        <is>
          <t>S2-ORD-040</t>
        </is>
      </c>
      <c r="G140" s="21" t="inlineStr">
        <is>
          <t>PK_LINFOX_VSIP</t>
        </is>
      </c>
      <c r="H140" s="21" t="inlineStr">
        <is>
          <t>Kho Linfox KCN VSIP Bắc Ninh</t>
        </is>
      </c>
      <c r="I140" s="21" t="inlineStr">
        <is>
          <t>Bắc Ninh</t>
        </is>
      </c>
      <c r="J140" s="21" t="inlineStr">
        <is>
          <t>Từ Sơn</t>
        </is>
      </c>
      <c r="K140" s="36" t="n">
        <v>21.082707</v>
      </c>
      <c r="L140" s="36" t="n">
        <v>105.997949</v>
      </c>
      <c r="M140" s="37" t="n">
        <v>510</v>
      </c>
      <c r="N140" s="37" t="n">
        <v>600</v>
      </c>
      <c r="O140" s="21" t="inlineStr">
        <is>
          <t>08:30</t>
        </is>
      </c>
      <c r="P140" s="21" t="inlineStr">
        <is>
          <t>10:00</t>
        </is>
      </c>
      <c r="Q140" s="22" t="n">
        <v>25</v>
      </c>
      <c r="R140" s="28" t="n">
        <v>455</v>
      </c>
      <c r="S140" s="29" t="n">
        <v>0.84</v>
      </c>
      <c r="T140" s="21" t="inlineStr">
        <is>
          <t>5 tạ</t>
        </is>
      </c>
      <c r="U140" s="21" t="inlineStr">
        <is>
          <t>1.25T</t>
        </is>
      </c>
      <c r="V140" s="21" t="inlineStr">
        <is>
          <t>Nội thành Hà Nội</t>
        </is>
      </c>
      <c r="W140" s="21" t="inlineStr">
        <is>
          <t>CR-NỘIT-01</t>
        </is>
      </c>
      <c r="X140" s="21" t="inlineStr">
        <is>
          <t>B - Thường</t>
        </is>
      </c>
      <c r="Y140" s="31" t="n">
        <v>500000</v>
      </c>
      <c r="Z140" s="28" t="n">
        <v>80000</v>
      </c>
      <c r="AA140" s="21" t="inlineStr">
        <is>
          <t>Yes</t>
        </is>
      </c>
      <c r="AB140" s="21" t="inlineStr">
        <is>
          <t>2026-06-05</t>
        </is>
      </c>
      <c r="AC140" s="21" t="inlineStr">
        <is>
          <t>Ready</t>
        </is>
      </c>
      <c r="AD140" s="21" t="inlineStr">
        <is>
          <t>Pickup must happen before paired delivery</t>
        </is>
      </c>
    </row>
    <row r="141" ht="18" customHeight="1" s="17">
      <c r="A141" s="23" t="inlineStr">
        <is>
          <t>S2</t>
        </is>
      </c>
      <c r="B141" s="23" t="inlineStr">
        <is>
          <t>S2-ORD-040</t>
        </is>
      </c>
      <c r="C141" s="23" t="inlineStr">
        <is>
          <t>S2-ORD-040-D</t>
        </is>
      </c>
      <c r="D141" s="23" t="inlineStr">
        <is>
          <t>Delivery</t>
        </is>
      </c>
      <c r="E141" s="23" t="inlineStr">
        <is>
          <t>S2-ORD-040-P</t>
        </is>
      </c>
      <c r="F141" s="23" t="inlineStr">
        <is>
          <t>S2-ORD-040</t>
        </is>
      </c>
      <c r="G141" s="23" t="inlineStr">
        <is>
          <t>DL_HN_TIMESCITY</t>
        </is>
      </c>
      <c r="H141" s="23" t="inlineStr">
        <is>
          <t>VINMART Times City</t>
        </is>
      </c>
      <c r="I141" s="23" t="inlineStr">
        <is>
          <t>Hà Nội</t>
        </is>
      </c>
      <c r="J141" s="23" t="inlineStr">
        <is>
          <t>Hai Bà Trưng</t>
        </is>
      </c>
      <c r="K141" s="38" t="n">
        <v>20.994022</v>
      </c>
      <c r="L141" s="38" t="n">
        <v>105.869639</v>
      </c>
      <c r="M141" s="39" t="n">
        <v>662</v>
      </c>
      <c r="N141" s="39" t="n">
        <v>812</v>
      </c>
      <c r="O141" s="23" t="inlineStr">
        <is>
          <t>11:02</t>
        </is>
      </c>
      <c r="P141" s="23" t="inlineStr">
        <is>
          <t>13:32</t>
        </is>
      </c>
      <c r="Q141" s="24" t="n">
        <v>30</v>
      </c>
      <c r="R141" s="32" t="n">
        <v>-455</v>
      </c>
      <c r="S141" s="33" t="n">
        <v>-0.84</v>
      </c>
      <c r="T141" s="23" t="inlineStr">
        <is>
          <t>5 tạ</t>
        </is>
      </c>
      <c r="U141" s="23" t="inlineStr">
        <is>
          <t>1.25T</t>
        </is>
      </c>
      <c r="V141" s="23" t="inlineStr">
        <is>
          <t>Nội thành Hà Nội</t>
        </is>
      </c>
      <c r="W141" s="23" t="inlineStr">
        <is>
          <t>CR-NỘIT-01</t>
        </is>
      </c>
      <c r="X141" s="23" t="inlineStr">
        <is>
          <t>B - Thường</t>
        </is>
      </c>
      <c r="Y141" s="35" t="n">
        <v>0</v>
      </c>
      <c r="Z141" s="32" t="n">
        <v>80000</v>
      </c>
      <c r="AA141" s="23" t="inlineStr">
        <is>
          <t>Yes</t>
        </is>
      </c>
      <c r="AB141" s="23" t="inlineStr">
        <is>
          <t>2026-06-05</t>
        </is>
      </c>
      <c r="AC141" s="23" t="inlineStr">
        <is>
          <t>Ready</t>
        </is>
      </c>
      <c r="AD141" s="23" t="inlineStr">
        <is>
          <t>Delivery paired with same order and same vehicle unless transshipment enabled</t>
        </is>
      </c>
    </row>
    <row r="142" ht="18" customHeight="1" s="17">
      <c r="A142" s="21" t="inlineStr">
        <is>
          <t>S2</t>
        </is>
      </c>
      <c r="B142" s="21" t="inlineStr">
        <is>
          <t>S2-ORD-041</t>
        </is>
      </c>
      <c r="C142" s="21" t="inlineStr">
        <is>
          <t>S2-ORD-041-P</t>
        </is>
      </c>
      <c r="D142" s="21" t="inlineStr">
        <is>
          <t>Pickup</t>
        </is>
      </c>
      <c r="E142" s="21" t="inlineStr">
        <is>
          <t>S2-ORD-041-D</t>
        </is>
      </c>
      <c r="F142" s="21" t="inlineStr">
        <is>
          <t>S2-ORD-041</t>
        </is>
      </c>
      <c r="G142" s="21" t="inlineStr">
        <is>
          <t>PK_HY_MYHAO</t>
        </is>
      </c>
      <c r="H142" s="21" t="inlineStr">
        <is>
          <t>Kho/Nhà máy khách hàng Mỹ Hào</t>
        </is>
      </c>
      <c r="I142" s="21" t="inlineStr">
        <is>
          <t>Hưng Yên</t>
        </is>
      </c>
      <c r="J142" s="21" t="inlineStr">
        <is>
          <t>Mỹ Hào</t>
        </is>
      </c>
      <c r="K142" s="36" t="n">
        <v>20.9329</v>
      </c>
      <c r="L142" s="36" t="n">
        <v>106.065</v>
      </c>
      <c r="M142" s="37" t="n">
        <v>480</v>
      </c>
      <c r="N142" s="37" t="n">
        <v>570</v>
      </c>
      <c r="O142" s="21" t="inlineStr">
        <is>
          <t>08:00</t>
        </is>
      </c>
      <c r="P142" s="21" t="inlineStr">
        <is>
          <t>09:30</t>
        </is>
      </c>
      <c r="Q142" s="22" t="n">
        <v>25</v>
      </c>
      <c r="R142" s="28" t="n">
        <v>1130</v>
      </c>
      <c r="S142" s="29" t="n">
        <v>2.33</v>
      </c>
      <c r="T142" s="21" t="inlineStr">
        <is>
          <t>1.25T</t>
        </is>
      </c>
      <c r="U142" s="21" t="inlineStr">
        <is>
          <t>1.25T</t>
        </is>
      </c>
      <c r="V142" s="21" t="inlineStr">
        <is>
          <t>Nội thành Hà Nội</t>
        </is>
      </c>
      <c r="W142" s="21" t="inlineStr">
        <is>
          <t>CR-NỘIT-02</t>
        </is>
      </c>
      <c r="X142" s="21" t="inlineStr">
        <is>
          <t>A - SLA chặt</t>
        </is>
      </c>
      <c r="Y142" s="31" t="n">
        <v>800000</v>
      </c>
      <c r="Z142" s="28" t="n">
        <v>150000</v>
      </c>
      <c r="AA142" s="21" t="inlineStr">
        <is>
          <t>Yes</t>
        </is>
      </c>
      <c r="AB142" s="21" t="inlineStr">
        <is>
          <t>2026-06-05</t>
        </is>
      </c>
      <c r="AC142" s="21" t="inlineStr">
        <is>
          <t>Ready</t>
        </is>
      </c>
      <c r="AD142" s="21" t="inlineStr">
        <is>
          <t>Pickup must happen before paired delivery</t>
        </is>
      </c>
    </row>
    <row r="143" ht="18" customHeight="1" s="17">
      <c r="A143" s="23" t="inlineStr">
        <is>
          <t>S2</t>
        </is>
      </c>
      <c r="B143" s="23" t="inlineStr">
        <is>
          <t>S2-ORD-041</t>
        </is>
      </c>
      <c r="C143" s="23" t="inlineStr">
        <is>
          <t>S2-ORD-041-D</t>
        </is>
      </c>
      <c r="D143" s="23" t="inlineStr">
        <is>
          <t>Delivery</t>
        </is>
      </c>
      <c r="E143" s="23" t="inlineStr">
        <is>
          <t>S2-ORD-041-P</t>
        </is>
      </c>
      <c r="F143" s="23" t="inlineStr">
        <is>
          <t>S2-ORD-041</t>
        </is>
      </c>
      <c r="G143" s="23" t="inlineStr">
        <is>
          <t>DL_HN_PNT</t>
        </is>
      </c>
      <c r="H143" s="23" t="inlineStr">
        <is>
          <t>VINMART Phạm Ngọc Thạch</t>
        </is>
      </c>
      <c r="I143" s="23" t="inlineStr">
        <is>
          <t>Hà Nội</t>
        </is>
      </c>
      <c r="J143" s="23" t="inlineStr">
        <is>
          <t>Đống Đa</t>
        </is>
      </c>
      <c r="K143" s="38" t="n">
        <v>21.006268</v>
      </c>
      <c r="L143" s="38" t="n">
        <v>105.831931</v>
      </c>
      <c r="M143" s="39" t="n">
        <v>682</v>
      </c>
      <c r="N143" s="39" t="n">
        <v>772</v>
      </c>
      <c r="O143" s="23" t="inlineStr">
        <is>
          <t>11:22</t>
        </is>
      </c>
      <c r="P143" s="23" t="inlineStr">
        <is>
          <t>12:52</t>
        </is>
      </c>
      <c r="Q143" s="24" t="n">
        <v>20</v>
      </c>
      <c r="R143" s="32" t="n">
        <v>-1130</v>
      </c>
      <c r="S143" s="33" t="n">
        <v>-2.33</v>
      </c>
      <c r="T143" s="23" t="inlineStr">
        <is>
          <t>1.25T</t>
        </is>
      </c>
      <c r="U143" s="23" t="inlineStr">
        <is>
          <t>1.25T</t>
        </is>
      </c>
      <c r="V143" s="23" t="inlineStr">
        <is>
          <t>Nội thành Hà Nội</t>
        </is>
      </c>
      <c r="W143" s="23" t="inlineStr">
        <is>
          <t>CR-NỘIT-02</t>
        </is>
      </c>
      <c r="X143" s="23" t="inlineStr">
        <is>
          <t>A - SLA chặt</t>
        </is>
      </c>
      <c r="Y143" s="35" t="n">
        <v>0</v>
      </c>
      <c r="Z143" s="32" t="n">
        <v>150000</v>
      </c>
      <c r="AA143" s="23" t="inlineStr">
        <is>
          <t>Yes</t>
        </is>
      </c>
      <c r="AB143" s="23" t="inlineStr">
        <is>
          <t>2026-06-05</t>
        </is>
      </c>
      <c r="AC143" s="23" t="inlineStr">
        <is>
          <t>Ready</t>
        </is>
      </c>
      <c r="AD143" s="23" t="inlineStr">
        <is>
          <t>Delivery paired with same order and same vehicle unless transshipment enabled</t>
        </is>
      </c>
    </row>
    <row r="144" ht="18" customHeight="1" s="17">
      <c r="A144" s="21" t="inlineStr">
        <is>
          <t>S2</t>
        </is>
      </c>
      <c r="B144" s="21" t="inlineStr">
        <is>
          <t>S2-ORD-042</t>
        </is>
      </c>
      <c r="C144" s="21" t="inlineStr">
        <is>
          <t>S2-ORD-042-P</t>
        </is>
      </c>
      <c r="D144" s="21" t="inlineStr">
        <is>
          <t>Pickup</t>
        </is>
      </c>
      <c r="E144" s="21" t="inlineStr">
        <is>
          <t>S2-ORD-042-D</t>
        </is>
      </c>
      <c r="F144" s="21" t="inlineStr">
        <is>
          <t>S2-ORD-042</t>
        </is>
      </c>
      <c r="G144" s="21" t="inlineStr">
        <is>
          <t>PK_HPL_LB</t>
        </is>
      </c>
      <c r="H144" s="21" t="inlineStr">
        <is>
          <t>HPL Depot Long Biên - 20 Thạch Bàn</t>
        </is>
      </c>
      <c r="I144" s="21" t="inlineStr">
        <is>
          <t>Hà Nội</t>
        </is>
      </c>
      <c r="J144" s="21" t="inlineStr">
        <is>
          <t>Long Biên</t>
        </is>
      </c>
      <c r="K144" s="36" t="n">
        <v>21.0261548385</v>
      </c>
      <c r="L144" s="36" t="n">
        <v>105.914182238</v>
      </c>
      <c r="M144" s="37" t="n">
        <v>510</v>
      </c>
      <c r="N144" s="37" t="n">
        <v>630</v>
      </c>
      <c r="O144" s="21" t="inlineStr">
        <is>
          <t>08:30</t>
        </is>
      </c>
      <c r="P144" s="21" t="inlineStr">
        <is>
          <t>10:30</t>
        </is>
      </c>
      <c r="Q144" s="22" t="n">
        <v>40</v>
      </c>
      <c r="R144" s="28" t="n">
        <v>2498</v>
      </c>
      <c r="S144" s="29" t="n">
        <v>6.61</v>
      </c>
      <c r="T144" s="21" t="inlineStr">
        <is>
          <t>5T</t>
        </is>
      </c>
      <c r="U144" s="21" t="inlineStr">
        <is>
          <t>8T</t>
        </is>
      </c>
      <c r="V144" s="21" t="inlineStr">
        <is>
          <t>Đông Nam Hà Nội</t>
        </is>
      </c>
      <c r="W144" s="21" t="inlineStr">
        <is>
          <t>CR-ĐÔNG-03</t>
        </is>
      </c>
      <c r="X144" s="21" t="inlineStr">
        <is>
          <t>C - Có thể thương lượng</t>
        </is>
      </c>
      <c r="Y144" s="31" t="n">
        <v>2020000</v>
      </c>
      <c r="Z144" s="28" t="n">
        <v>80000</v>
      </c>
      <c r="AA144" s="21" t="inlineStr">
        <is>
          <t>Yes</t>
        </is>
      </c>
      <c r="AB144" s="21" t="inlineStr">
        <is>
          <t>2026-06-05</t>
        </is>
      </c>
      <c r="AC144" s="21" t="inlineStr">
        <is>
          <t>Ready</t>
        </is>
      </c>
      <c r="AD144" s="21" t="inlineStr">
        <is>
          <t>Pickup must happen before paired delivery</t>
        </is>
      </c>
    </row>
    <row r="145" ht="18" customHeight="1" s="17">
      <c r="A145" s="23" t="inlineStr">
        <is>
          <t>S2</t>
        </is>
      </c>
      <c r="B145" s="23" t="inlineStr">
        <is>
          <t>S2-ORD-042</t>
        </is>
      </c>
      <c r="C145" s="23" t="inlineStr">
        <is>
          <t>S2-ORD-042-D</t>
        </is>
      </c>
      <c r="D145" s="23" t="inlineStr">
        <is>
          <t>Delivery</t>
        </is>
      </c>
      <c r="E145" s="23" t="inlineStr">
        <is>
          <t>S2-ORD-042-P</t>
        </is>
      </c>
      <c r="F145" s="23" t="inlineStr">
        <is>
          <t>S2-ORD-042</t>
        </is>
      </c>
      <c r="G145" s="23" t="inlineStr">
        <is>
          <t>DL_TB_SIEUTHI</t>
        </is>
      </c>
      <c r="H145" s="23" t="inlineStr">
        <is>
          <t>Siêu thị Thái Bình</t>
        </is>
      </c>
      <c r="I145" s="23" t="inlineStr">
        <is>
          <t>Hưng Yên</t>
        </is>
      </c>
      <c r="J145" s="23" t="inlineStr">
        <is>
          <t>Thái Bình</t>
        </is>
      </c>
      <c r="K145" s="38" t="n">
        <v>20.446344</v>
      </c>
      <c r="L145" s="38" t="n">
        <v>106.336582</v>
      </c>
      <c r="M145" s="39" t="n">
        <v>716</v>
      </c>
      <c r="N145" s="39" t="n">
        <v>866</v>
      </c>
      <c r="O145" s="23" t="inlineStr">
        <is>
          <t>11:56</t>
        </is>
      </c>
      <c r="P145" s="23" t="inlineStr">
        <is>
          <t>14:26</t>
        </is>
      </c>
      <c r="Q145" s="24" t="n">
        <v>35</v>
      </c>
      <c r="R145" s="32" t="n">
        <v>-2498</v>
      </c>
      <c r="S145" s="33" t="n">
        <v>-6.61</v>
      </c>
      <c r="T145" s="23" t="inlineStr">
        <is>
          <t>5T</t>
        </is>
      </c>
      <c r="U145" s="23" t="inlineStr">
        <is>
          <t>8T</t>
        </is>
      </c>
      <c r="V145" s="23" t="inlineStr">
        <is>
          <t>Đông Nam Hà Nội</t>
        </is>
      </c>
      <c r="W145" s="23" t="inlineStr">
        <is>
          <t>CR-ĐÔNG-03</t>
        </is>
      </c>
      <c r="X145" s="23" t="inlineStr">
        <is>
          <t>C - Có thể thương lượng</t>
        </is>
      </c>
      <c r="Y145" s="35" t="n">
        <v>0</v>
      </c>
      <c r="Z145" s="32" t="n">
        <v>80000</v>
      </c>
      <c r="AA145" s="23" t="inlineStr">
        <is>
          <t>Yes</t>
        </is>
      </c>
      <c r="AB145" s="23" t="inlineStr">
        <is>
          <t>2026-06-05</t>
        </is>
      </c>
      <c r="AC145" s="23" t="inlineStr">
        <is>
          <t>Ready</t>
        </is>
      </c>
      <c r="AD145" s="23" t="inlineStr">
        <is>
          <t>Delivery paired with same order and same vehicle unless transshipment enabled</t>
        </is>
      </c>
    </row>
    <row r="146" ht="18" customHeight="1" s="17">
      <c r="A146" s="21" t="inlineStr">
        <is>
          <t>S2</t>
        </is>
      </c>
      <c r="B146" s="21" t="inlineStr">
        <is>
          <t>S2-ORD-043</t>
        </is>
      </c>
      <c r="C146" s="21" t="inlineStr">
        <is>
          <t>S2-ORD-043-P</t>
        </is>
      </c>
      <c r="D146" s="21" t="inlineStr">
        <is>
          <t>Pickup</t>
        </is>
      </c>
      <c r="E146" s="21" t="inlineStr">
        <is>
          <t>S2-ORD-043-D</t>
        </is>
      </c>
      <c r="F146" s="21" t="inlineStr">
        <is>
          <t>S2-ORD-043</t>
        </is>
      </c>
      <c r="G146" s="21" t="inlineStr">
        <is>
          <t>PK_HPL_LB</t>
        </is>
      </c>
      <c r="H146" s="21" t="inlineStr">
        <is>
          <t>HPL Depot Long Biên - 20 Thạch Bàn</t>
        </is>
      </c>
      <c r="I146" s="21" t="inlineStr">
        <is>
          <t>Hà Nội</t>
        </is>
      </c>
      <c r="J146" s="21" t="inlineStr">
        <is>
          <t>Long Biên</t>
        </is>
      </c>
      <c r="K146" s="36" t="n">
        <v>21.0261548385</v>
      </c>
      <c r="L146" s="36" t="n">
        <v>105.914182238</v>
      </c>
      <c r="M146" s="37" t="n">
        <v>420</v>
      </c>
      <c r="N146" s="37" t="n">
        <v>510</v>
      </c>
      <c r="O146" s="21" t="inlineStr">
        <is>
          <t>07:00</t>
        </is>
      </c>
      <c r="P146" s="21" t="inlineStr">
        <is>
          <t>08:30</t>
        </is>
      </c>
      <c r="Q146" s="22" t="n">
        <v>25</v>
      </c>
      <c r="R146" s="28" t="n">
        <v>1070</v>
      </c>
      <c r="S146" s="29" t="n">
        <v>2.13</v>
      </c>
      <c r="T146" s="21" t="inlineStr">
        <is>
          <t>1.25T</t>
        </is>
      </c>
      <c r="U146" s="21" t="inlineStr">
        <is>
          <t>1.25T</t>
        </is>
      </c>
      <c r="V146" s="21" t="inlineStr">
        <is>
          <t>Nội thành Hà Nội</t>
        </is>
      </c>
      <c r="W146" s="21" t="inlineStr">
        <is>
          <t>CR-NỘIT-04</t>
        </is>
      </c>
      <c r="X146" s="21" t="inlineStr">
        <is>
          <t>A - SLA chặt</t>
        </is>
      </c>
      <c r="Y146" s="31" t="n">
        <v>550000</v>
      </c>
      <c r="Z146" s="28" t="n">
        <v>150000</v>
      </c>
      <c r="AA146" s="21" t="inlineStr">
        <is>
          <t>Yes</t>
        </is>
      </c>
      <c r="AB146" s="21" t="inlineStr">
        <is>
          <t>2026-06-05</t>
        </is>
      </c>
      <c r="AC146" s="21" t="inlineStr">
        <is>
          <t>Ready</t>
        </is>
      </c>
      <c r="AD146" s="21" t="inlineStr">
        <is>
          <t>Pickup must happen before paired delivery</t>
        </is>
      </c>
    </row>
    <row r="147" ht="18" customHeight="1" s="17">
      <c r="A147" s="23" t="inlineStr">
        <is>
          <t>S2</t>
        </is>
      </c>
      <c r="B147" s="23" t="inlineStr">
        <is>
          <t>S2-ORD-043</t>
        </is>
      </c>
      <c r="C147" s="23" t="inlineStr">
        <is>
          <t>S2-ORD-043-D</t>
        </is>
      </c>
      <c r="D147" s="23" t="inlineStr">
        <is>
          <t>Delivery</t>
        </is>
      </c>
      <c r="E147" s="23" t="inlineStr">
        <is>
          <t>S2-ORD-043-P</t>
        </is>
      </c>
      <c r="F147" s="23" t="inlineStr">
        <is>
          <t>S2-ORD-043</t>
        </is>
      </c>
      <c r="G147" s="23" t="inlineStr">
        <is>
          <t>DL_HN_THAIDUONG</t>
        </is>
      </c>
      <c r="H147" s="23" t="inlineStr">
        <is>
          <t>Thái Dương</t>
        </is>
      </c>
      <c r="I147" s="23" t="inlineStr">
        <is>
          <t>Hà Nội</t>
        </is>
      </c>
      <c r="J147" s="23" t="inlineStr">
        <is>
          <t>Hà Nội</t>
        </is>
      </c>
      <c r="K147" s="38" t="n">
        <v>20.929215</v>
      </c>
      <c r="L147" s="38" t="n">
        <v>105.869998</v>
      </c>
      <c r="M147" s="39" t="n">
        <v>561</v>
      </c>
      <c r="N147" s="39" t="n">
        <v>651</v>
      </c>
      <c r="O147" s="23" t="inlineStr">
        <is>
          <t>09:21</t>
        </is>
      </c>
      <c r="P147" s="23" t="inlineStr">
        <is>
          <t>10:51</t>
        </is>
      </c>
      <c r="Q147" s="24" t="n">
        <v>20</v>
      </c>
      <c r="R147" s="32" t="n">
        <v>-1070</v>
      </c>
      <c r="S147" s="33" t="n">
        <v>-2.13</v>
      </c>
      <c r="T147" s="23" t="inlineStr">
        <is>
          <t>1.25T</t>
        </is>
      </c>
      <c r="U147" s="23" t="inlineStr">
        <is>
          <t>1.25T</t>
        </is>
      </c>
      <c r="V147" s="23" t="inlineStr">
        <is>
          <t>Nội thành Hà Nội</t>
        </is>
      </c>
      <c r="W147" s="23" t="inlineStr">
        <is>
          <t>CR-NỘIT-04</t>
        </is>
      </c>
      <c r="X147" s="23" t="inlineStr">
        <is>
          <t>A - SLA chặt</t>
        </is>
      </c>
      <c r="Y147" s="35" t="n">
        <v>0</v>
      </c>
      <c r="Z147" s="32" t="n">
        <v>150000</v>
      </c>
      <c r="AA147" s="23" t="inlineStr">
        <is>
          <t>Yes</t>
        </is>
      </c>
      <c r="AB147" s="23" t="inlineStr">
        <is>
          <t>2026-06-05</t>
        </is>
      </c>
      <c r="AC147" s="23" t="inlineStr">
        <is>
          <t>Ready</t>
        </is>
      </c>
      <c r="AD147" s="23" t="inlineStr">
        <is>
          <t>Delivery paired with same order and same vehicle unless transshipment enabled</t>
        </is>
      </c>
    </row>
    <row r="148" ht="18" customHeight="1" s="17">
      <c r="A148" s="21" t="inlineStr">
        <is>
          <t>S2</t>
        </is>
      </c>
      <c r="B148" s="21" t="inlineStr">
        <is>
          <t>S2-ORD-044</t>
        </is>
      </c>
      <c r="C148" s="21" t="inlineStr">
        <is>
          <t>S2-ORD-044-P</t>
        </is>
      </c>
      <c r="D148" s="21" t="inlineStr">
        <is>
          <t>Pickup</t>
        </is>
      </c>
      <c r="E148" s="21" t="inlineStr">
        <is>
          <t>S2-ORD-044-D</t>
        </is>
      </c>
      <c r="F148" s="21" t="inlineStr">
        <is>
          <t>S2-ORD-044</t>
        </is>
      </c>
      <c r="G148" s="21" t="inlineStr">
        <is>
          <t>PK_HPL_LB</t>
        </is>
      </c>
      <c r="H148" s="21" t="inlineStr">
        <is>
          <t>HPL Depot Long Biên - 20 Thạch Bàn</t>
        </is>
      </c>
      <c r="I148" s="21" t="inlineStr">
        <is>
          <t>Hà Nội</t>
        </is>
      </c>
      <c r="J148" s="21" t="inlineStr">
        <is>
          <t>Long Biên</t>
        </is>
      </c>
      <c r="K148" s="36" t="n">
        <v>21.0261548385</v>
      </c>
      <c r="L148" s="36" t="n">
        <v>105.914182238</v>
      </c>
      <c r="M148" s="37" t="n">
        <v>510</v>
      </c>
      <c r="N148" s="37" t="n">
        <v>630</v>
      </c>
      <c r="O148" s="21" t="inlineStr">
        <is>
          <t>08:30</t>
        </is>
      </c>
      <c r="P148" s="21" t="inlineStr">
        <is>
          <t>10:30</t>
        </is>
      </c>
      <c r="Q148" s="22" t="n">
        <v>40</v>
      </c>
      <c r="R148" s="28" t="n">
        <v>1169</v>
      </c>
      <c r="S148" s="29" t="n">
        <v>12.57</v>
      </c>
      <c r="T148" s="21" t="inlineStr">
        <is>
          <t>5T</t>
        </is>
      </c>
      <c r="U148" s="21" t="inlineStr">
        <is>
          <t>1.25T</t>
        </is>
      </c>
      <c r="V148" s="21" t="inlineStr">
        <is>
          <t>Nội thành Hà Nội</t>
        </is>
      </c>
      <c r="W148" s="21" t="inlineStr">
        <is>
          <t>CR-NỘIT-05</t>
        </is>
      </c>
      <c r="X148" s="21" t="inlineStr">
        <is>
          <t>B - Thường</t>
        </is>
      </c>
      <c r="Y148" s="31" t="n">
        <v>910000</v>
      </c>
      <c r="Z148" s="28" t="n">
        <v>80000</v>
      </c>
      <c r="AA148" s="21" t="inlineStr">
        <is>
          <t>Yes</t>
        </is>
      </c>
      <c r="AB148" s="21" t="inlineStr">
        <is>
          <t>2026-06-05</t>
        </is>
      </c>
      <c r="AC148" s="21" t="inlineStr">
        <is>
          <t>Review</t>
        </is>
      </c>
      <c r="AD148" s="21" t="inlineStr">
        <is>
          <t>Pickup must happen before paired delivery</t>
        </is>
      </c>
    </row>
    <row r="149" ht="18" customHeight="1" s="17">
      <c r="A149" s="23" t="inlineStr">
        <is>
          <t>S2</t>
        </is>
      </c>
      <c r="B149" s="23" t="inlineStr">
        <is>
          <t>S2-ORD-044</t>
        </is>
      </c>
      <c r="C149" s="23" t="inlineStr">
        <is>
          <t>S2-ORD-044-D</t>
        </is>
      </c>
      <c r="D149" s="23" t="inlineStr">
        <is>
          <t>Delivery</t>
        </is>
      </c>
      <c r="E149" s="23" t="inlineStr">
        <is>
          <t>S2-ORD-044-P</t>
        </is>
      </c>
      <c r="F149" s="23" t="inlineStr">
        <is>
          <t>S2-ORD-044</t>
        </is>
      </c>
      <c r="G149" s="23" t="inlineStr">
        <is>
          <t>DL_HN_VUTRONGPHUNG</t>
        </is>
      </c>
      <c r="H149" s="23" t="inlineStr">
        <is>
          <t>VINMART Vũ Trọng Phụng</t>
        </is>
      </c>
      <c r="I149" s="23" t="inlineStr">
        <is>
          <t>Hà Nội</t>
        </is>
      </c>
      <c r="J149" s="23" t="inlineStr">
        <is>
          <t>Thanh Xuân</t>
        </is>
      </c>
      <c r="K149" s="38" t="n">
        <v>20.997621</v>
      </c>
      <c r="L149" s="38" t="n">
        <v>105.809443</v>
      </c>
      <c r="M149" s="39" t="n">
        <v>696</v>
      </c>
      <c r="N149" s="39" t="n">
        <v>876</v>
      </c>
      <c r="O149" s="23" t="inlineStr">
        <is>
          <t>11:36</t>
        </is>
      </c>
      <c r="P149" s="23" t="inlineStr">
        <is>
          <t>14:36</t>
        </is>
      </c>
      <c r="Q149" s="24" t="n">
        <v>35</v>
      </c>
      <c r="R149" s="32" t="n">
        <v>-1169</v>
      </c>
      <c r="S149" s="33" t="n">
        <v>-12.57</v>
      </c>
      <c r="T149" s="23" t="inlineStr">
        <is>
          <t>5T</t>
        </is>
      </c>
      <c r="U149" s="23" t="inlineStr">
        <is>
          <t>1.25T</t>
        </is>
      </c>
      <c r="V149" s="23" t="inlineStr">
        <is>
          <t>Nội thành Hà Nội</t>
        </is>
      </c>
      <c r="W149" s="23" t="inlineStr">
        <is>
          <t>CR-NỘIT-05</t>
        </is>
      </c>
      <c r="X149" s="23" t="inlineStr">
        <is>
          <t>B - Thường</t>
        </is>
      </c>
      <c r="Y149" s="35" t="n">
        <v>0</v>
      </c>
      <c r="Z149" s="32" t="n">
        <v>80000</v>
      </c>
      <c r="AA149" s="23" t="inlineStr">
        <is>
          <t>Yes</t>
        </is>
      </c>
      <c r="AB149" s="23" t="inlineStr">
        <is>
          <t>2026-06-05</t>
        </is>
      </c>
      <c r="AC149" s="23" t="inlineStr">
        <is>
          <t>Review</t>
        </is>
      </c>
      <c r="AD149" s="23" t="inlineStr">
        <is>
          <t>Delivery paired with same order and same vehicle unless transshipment enabled</t>
        </is>
      </c>
    </row>
    <row r="150" ht="18" customHeight="1" s="17">
      <c r="A150" s="21" t="inlineStr">
        <is>
          <t>S3</t>
        </is>
      </c>
      <c r="B150" s="21" t="inlineStr">
        <is>
          <t>S3-ORD-001</t>
        </is>
      </c>
      <c r="C150" s="21" t="inlineStr">
        <is>
          <t>S3-ORD-001-P</t>
        </is>
      </c>
      <c r="D150" s="21" t="inlineStr">
        <is>
          <t>Pickup</t>
        </is>
      </c>
      <c r="E150" s="21" t="inlineStr">
        <is>
          <t>S3-ORD-001-D</t>
        </is>
      </c>
      <c r="F150" s="21" t="inlineStr">
        <is>
          <t>S3-ORD-001</t>
        </is>
      </c>
      <c r="G150" s="21" t="inlineStr">
        <is>
          <t>PK_LINFOX_VSIP</t>
        </is>
      </c>
      <c r="H150" s="21" t="inlineStr">
        <is>
          <t>Kho Linfox KCN VSIP Bắc Ninh</t>
        </is>
      </c>
      <c r="I150" s="21" t="inlineStr">
        <is>
          <t>Bắc Ninh</t>
        </is>
      </c>
      <c r="J150" s="21" t="inlineStr">
        <is>
          <t>Từ Sơn</t>
        </is>
      </c>
      <c r="K150" s="36" t="n">
        <v>21.082707</v>
      </c>
      <c r="L150" s="36" t="n">
        <v>105.997949</v>
      </c>
      <c r="M150" s="37" t="n">
        <v>420</v>
      </c>
      <c r="N150" s="37" t="n">
        <v>540</v>
      </c>
      <c r="O150" s="21" t="inlineStr">
        <is>
          <t>07:00</t>
        </is>
      </c>
      <c r="P150" s="21" t="inlineStr">
        <is>
          <t>09:00</t>
        </is>
      </c>
      <c r="Q150" s="22" t="n">
        <v>25</v>
      </c>
      <c r="R150" s="28" t="n">
        <v>497</v>
      </c>
      <c r="S150" s="29" t="n">
        <v>0.9</v>
      </c>
      <c r="T150" s="21" t="inlineStr">
        <is>
          <t>5 tạ</t>
        </is>
      </c>
      <c r="U150" s="21" t="inlineStr">
        <is>
          <t>1.25T</t>
        </is>
      </c>
      <c r="V150" s="21" t="inlineStr">
        <is>
          <t>Nội thành Hà Nội</t>
        </is>
      </c>
      <c r="W150" s="21" t="inlineStr">
        <is>
          <t>CR-NỘIT-02</t>
        </is>
      </c>
      <c r="X150" s="21" t="inlineStr">
        <is>
          <t>B - Thường</t>
        </is>
      </c>
      <c r="Y150" s="31" t="n">
        <v>510000</v>
      </c>
      <c r="Z150" s="28" t="n">
        <v>80000</v>
      </c>
      <c r="AA150" s="21" t="inlineStr">
        <is>
          <t>Yes</t>
        </is>
      </c>
      <c r="AB150" s="21" t="inlineStr">
        <is>
          <t>2026-06-05</t>
        </is>
      </c>
      <c r="AC150" s="21" t="inlineStr">
        <is>
          <t>Ready</t>
        </is>
      </c>
      <c r="AD150" s="21" t="inlineStr">
        <is>
          <t>Pickup must happen before paired delivery</t>
        </is>
      </c>
    </row>
    <row r="151" ht="18" customHeight="1" s="17">
      <c r="A151" s="23" t="inlineStr">
        <is>
          <t>S3</t>
        </is>
      </c>
      <c r="B151" s="23" t="inlineStr">
        <is>
          <t>S3-ORD-001</t>
        </is>
      </c>
      <c r="C151" s="23" t="inlineStr">
        <is>
          <t>S3-ORD-001-D</t>
        </is>
      </c>
      <c r="D151" s="23" t="inlineStr">
        <is>
          <t>Delivery</t>
        </is>
      </c>
      <c r="E151" s="23" t="inlineStr">
        <is>
          <t>S3-ORD-001-P</t>
        </is>
      </c>
      <c r="F151" s="23" t="inlineStr">
        <is>
          <t>S3-ORD-001</t>
        </is>
      </c>
      <c r="G151" s="23" t="inlineStr">
        <is>
          <t>DL_HN_VOTHISAU</t>
        </is>
      </c>
      <c r="H151" s="23" t="inlineStr">
        <is>
          <t>VINMART Võ Thị Sáu</t>
        </is>
      </c>
      <c r="I151" s="23" t="inlineStr">
        <is>
          <t>Hà Nội</t>
        </is>
      </c>
      <c r="J151" s="23" t="inlineStr">
        <is>
          <t>Hai Bà Trưng</t>
        </is>
      </c>
      <c r="K151" s="38" t="n">
        <v>21.00441</v>
      </c>
      <c r="L151" s="38" t="n">
        <v>105.855148</v>
      </c>
      <c r="M151" s="39" t="n">
        <v>511</v>
      </c>
      <c r="N151" s="39" t="n">
        <v>691</v>
      </c>
      <c r="O151" s="23" t="inlineStr">
        <is>
          <t>08:31</t>
        </is>
      </c>
      <c r="P151" s="23" t="inlineStr">
        <is>
          <t>11:31</t>
        </is>
      </c>
      <c r="Q151" s="24" t="n">
        <v>20</v>
      </c>
      <c r="R151" s="32" t="n">
        <v>-497</v>
      </c>
      <c r="S151" s="33" t="n">
        <v>-0.9</v>
      </c>
      <c r="T151" s="23" t="inlineStr">
        <is>
          <t>5 tạ</t>
        </is>
      </c>
      <c r="U151" s="23" t="inlineStr">
        <is>
          <t>1.25T</t>
        </is>
      </c>
      <c r="V151" s="23" t="inlineStr">
        <is>
          <t>Nội thành Hà Nội</t>
        </is>
      </c>
      <c r="W151" s="23" t="inlineStr">
        <is>
          <t>CR-NỘIT-02</t>
        </is>
      </c>
      <c r="X151" s="23" t="inlineStr">
        <is>
          <t>B - Thường</t>
        </is>
      </c>
      <c r="Y151" s="35" t="n">
        <v>0</v>
      </c>
      <c r="Z151" s="32" t="n">
        <v>80000</v>
      </c>
      <c r="AA151" s="23" t="inlineStr">
        <is>
          <t>Yes</t>
        </is>
      </c>
      <c r="AB151" s="23" t="inlineStr">
        <is>
          <t>2026-06-05</t>
        </is>
      </c>
      <c r="AC151" s="23" t="inlineStr">
        <is>
          <t>Ready</t>
        </is>
      </c>
      <c r="AD151" s="23" t="inlineStr">
        <is>
          <t>Delivery paired with same order and same vehicle unless transshipment enabled</t>
        </is>
      </c>
    </row>
    <row r="152" ht="18" customHeight="1" s="17">
      <c r="A152" s="21" t="inlineStr">
        <is>
          <t>S3</t>
        </is>
      </c>
      <c r="B152" s="21" t="inlineStr">
        <is>
          <t>S3-ORD-002</t>
        </is>
      </c>
      <c r="C152" s="21" t="inlineStr">
        <is>
          <t>S3-ORD-002-P</t>
        </is>
      </c>
      <c r="D152" s="21" t="inlineStr">
        <is>
          <t>Pickup</t>
        </is>
      </c>
      <c r="E152" s="21" t="inlineStr">
        <is>
          <t>S3-ORD-002-D</t>
        </is>
      </c>
      <c r="F152" s="21" t="inlineStr">
        <is>
          <t>S3-ORD-002</t>
        </is>
      </c>
      <c r="G152" s="21" t="inlineStr">
        <is>
          <t>PK_LINFOX_VSIP</t>
        </is>
      </c>
      <c r="H152" s="21" t="inlineStr">
        <is>
          <t>Kho Linfox KCN VSIP Bắc Ninh</t>
        </is>
      </c>
      <c r="I152" s="21" t="inlineStr">
        <is>
          <t>Bắc Ninh</t>
        </is>
      </c>
      <c r="J152" s="21" t="inlineStr">
        <is>
          <t>Từ Sơn</t>
        </is>
      </c>
      <c r="K152" s="36" t="n">
        <v>21.082707</v>
      </c>
      <c r="L152" s="36" t="n">
        <v>105.997949</v>
      </c>
      <c r="M152" s="37" t="n">
        <v>450</v>
      </c>
      <c r="N152" s="37" t="n">
        <v>600</v>
      </c>
      <c r="O152" s="21" t="inlineStr">
        <is>
          <t>07:30</t>
        </is>
      </c>
      <c r="P152" s="21" t="inlineStr">
        <is>
          <t>10:00</t>
        </is>
      </c>
      <c r="Q152" s="22" t="n">
        <v>25</v>
      </c>
      <c r="R152" s="28" t="n">
        <v>481</v>
      </c>
      <c r="S152" s="29" t="n">
        <v>1.21</v>
      </c>
      <c r="T152" s="21" t="inlineStr">
        <is>
          <t>5 tạ</t>
        </is>
      </c>
      <c r="U152" s="21" t="inlineStr">
        <is>
          <t>1.25T</t>
        </is>
      </c>
      <c r="V152" s="21" t="inlineStr">
        <is>
          <t>Nội thành Hà Nội</t>
        </is>
      </c>
      <c r="W152" s="21" t="inlineStr">
        <is>
          <t>CR-NỘIT-03</t>
        </is>
      </c>
      <c r="X152" s="21" t="inlineStr">
        <is>
          <t>C - Có thể thương lượng</t>
        </is>
      </c>
      <c r="Y152" s="31" t="n">
        <v>530000</v>
      </c>
      <c r="Z152" s="28" t="n">
        <v>80000</v>
      </c>
      <c r="AA152" s="21" t="inlineStr">
        <is>
          <t>Yes</t>
        </is>
      </c>
      <c r="AB152" s="21" t="inlineStr">
        <is>
          <t>2026-06-05</t>
        </is>
      </c>
      <c r="AC152" s="21" t="inlineStr">
        <is>
          <t>Ready</t>
        </is>
      </c>
      <c r="AD152" s="21" t="inlineStr">
        <is>
          <t>Pickup must happen before paired delivery</t>
        </is>
      </c>
    </row>
    <row r="153" ht="18" customHeight="1" s="17">
      <c r="A153" s="23" t="inlineStr">
        <is>
          <t>S3</t>
        </is>
      </c>
      <c r="B153" s="23" t="inlineStr">
        <is>
          <t>S3-ORD-002</t>
        </is>
      </c>
      <c r="C153" s="23" t="inlineStr">
        <is>
          <t>S3-ORD-002-D</t>
        </is>
      </c>
      <c r="D153" s="23" t="inlineStr">
        <is>
          <t>Delivery</t>
        </is>
      </c>
      <c r="E153" s="23" t="inlineStr">
        <is>
          <t>S3-ORD-002-P</t>
        </is>
      </c>
      <c r="F153" s="23" t="inlineStr">
        <is>
          <t>S3-ORD-002</t>
        </is>
      </c>
      <c r="G153" s="23" t="inlineStr">
        <is>
          <t>DL_HN_ROYAL</t>
        </is>
      </c>
      <c r="H153" s="23" t="inlineStr">
        <is>
          <t>VINMART Royal City</t>
        </is>
      </c>
      <c r="I153" s="23" t="inlineStr">
        <is>
          <t>Hà Nội</t>
        </is>
      </c>
      <c r="J153" s="23" t="inlineStr">
        <is>
          <t>Thanh Xuân</t>
        </is>
      </c>
      <c r="K153" s="38" t="n">
        <v>21.003388</v>
      </c>
      <c r="L153" s="38" t="n">
        <v>105.816212</v>
      </c>
      <c r="M153" s="39" t="n">
        <v>618</v>
      </c>
      <c r="N153" s="39" t="n">
        <v>708</v>
      </c>
      <c r="O153" s="23" t="inlineStr">
        <is>
          <t>10:18</t>
        </is>
      </c>
      <c r="P153" s="23" t="inlineStr">
        <is>
          <t>11:48</t>
        </is>
      </c>
      <c r="Q153" s="24" t="n">
        <v>30</v>
      </c>
      <c r="R153" s="32" t="n">
        <v>-481</v>
      </c>
      <c r="S153" s="33" t="n">
        <v>-1.21</v>
      </c>
      <c r="T153" s="23" t="inlineStr">
        <is>
          <t>5 tạ</t>
        </is>
      </c>
      <c r="U153" s="23" t="inlineStr">
        <is>
          <t>1.25T</t>
        </is>
      </c>
      <c r="V153" s="23" t="inlineStr">
        <is>
          <t>Nội thành Hà Nội</t>
        </is>
      </c>
      <c r="W153" s="23" t="inlineStr">
        <is>
          <t>CR-NỘIT-03</t>
        </is>
      </c>
      <c r="X153" s="23" t="inlineStr">
        <is>
          <t>C - Có thể thương lượng</t>
        </is>
      </c>
      <c r="Y153" s="35" t="n">
        <v>0</v>
      </c>
      <c r="Z153" s="32" t="n">
        <v>80000</v>
      </c>
      <c r="AA153" s="23" t="inlineStr">
        <is>
          <t>Yes</t>
        </is>
      </c>
      <c r="AB153" s="23" t="inlineStr">
        <is>
          <t>2026-06-05</t>
        </is>
      </c>
      <c r="AC153" s="23" t="inlineStr">
        <is>
          <t>Ready</t>
        </is>
      </c>
      <c r="AD153" s="23" t="inlineStr">
        <is>
          <t>Delivery paired with same order and same vehicle unless transshipment enabled</t>
        </is>
      </c>
    </row>
    <row r="154" ht="18" customHeight="1" s="17">
      <c r="A154" s="21" t="inlineStr">
        <is>
          <t>S3</t>
        </is>
      </c>
      <c r="B154" s="21" t="inlineStr">
        <is>
          <t>S3-ORD-003</t>
        </is>
      </c>
      <c r="C154" s="21" t="inlineStr">
        <is>
          <t>S3-ORD-003-P</t>
        </is>
      </c>
      <c r="D154" s="21" t="inlineStr">
        <is>
          <t>Pickup</t>
        </is>
      </c>
      <c r="E154" s="21" t="inlineStr">
        <is>
          <t>S3-ORD-003-D</t>
        </is>
      </c>
      <c r="F154" s="21" t="inlineStr">
        <is>
          <t>S3-ORD-003</t>
        </is>
      </c>
      <c r="G154" s="21" t="inlineStr">
        <is>
          <t>PK_HPL_LB</t>
        </is>
      </c>
      <c r="H154" s="21" t="inlineStr">
        <is>
          <t>HPL Depot Long Biên - 20 Thạch Bàn</t>
        </is>
      </c>
      <c r="I154" s="21" t="inlineStr">
        <is>
          <t>Hà Nội</t>
        </is>
      </c>
      <c r="J154" s="21" t="inlineStr">
        <is>
          <t>Long Biên</t>
        </is>
      </c>
      <c r="K154" s="36" t="n">
        <v>21.0261548385</v>
      </c>
      <c r="L154" s="36" t="n">
        <v>105.914182238</v>
      </c>
      <c r="M154" s="37" t="n">
        <v>540</v>
      </c>
      <c r="N154" s="37" t="n">
        <v>660</v>
      </c>
      <c r="O154" s="21" t="inlineStr">
        <is>
          <t>09:00</t>
        </is>
      </c>
      <c r="P154" s="21" t="inlineStr">
        <is>
          <t>11:00</t>
        </is>
      </c>
      <c r="Q154" s="22" t="n">
        <v>120</v>
      </c>
      <c r="R154" s="28" t="n">
        <v>6568</v>
      </c>
      <c r="S154" s="29" t="n">
        <v>49.49</v>
      </c>
      <c r="T154" s="21" t="inlineStr">
        <is>
          <t>3 chân</t>
        </is>
      </c>
      <c r="U154" s="21" t="inlineStr">
        <is>
          <t>8T</t>
        </is>
      </c>
      <c r="V154" s="21" t="inlineStr">
        <is>
          <t>Đông Bắc</t>
        </is>
      </c>
      <c r="W154" s="21" t="inlineStr">
        <is>
          <t>CR-ĐÔNG-04</t>
        </is>
      </c>
      <c r="X154" s="21" t="inlineStr">
        <is>
          <t>B - Thường</t>
        </is>
      </c>
      <c r="Y154" s="31" t="n">
        <v>6960000</v>
      </c>
      <c r="Z154" s="28" t="n">
        <v>80000</v>
      </c>
      <c r="AA154" s="21" t="inlineStr">
        <is>
          <t>Yes</t>
        </is>
      </c>
      <c r="AB154" s="21" t="inlineStr">
        <is>
          <t>2026-06-05</t>
        </is>
      </c>
      <c r="AC154" s="21" t="inlineStr">
        <is>
          <t>Review</t>
        </is>
      </c>
      <c r="AD154" s="21" t="inlineStr">
        <is>
          <t>Pickup must happen before paired delivery</t>
        </is>
      </c>
    </row>
    <row r="155" ht="18" customHeight="1" s="17">
      <c r="A155" s="23" t="inlineStr">
        <is>
          <t>S3</t>
        </is>
      </c>
      <c r="B155" s="23" t="inlineStr">
        <is>
          <t>S3-ORD-003</t>
        </is>
      </c>
      <c r="C155" s="23" t="inlineStr">
        <is>
          <t>S3-ORD-003-D</t>
        </is>
      </c>
      <c r="D155" s="23" t="inlineStr">
        <is>
          <t>Delivery</t>
        </is>
      </c>
      <c r="E155" s="23" t="inlineStr">
        <is>
          <t>S3-ORD-003-P</t>
        </is>
      </c>
      <c r="F155" s="23" t="inlineStr">
        <is>
          <t>S3-ORD-003</t>
        </is>
      </c>
      <c r="G155" s="23" t="inlineStr">
        <is>
          <t>DL_QN_HALONG</t>
        </is>
      </c>
      <c r="H155" s="23" t="inlineStr">
        <is>
          <t>MM Hạ Long</t>
        </is>
      </c>
      <c r="I155" s="23" t="inlineStr">
        <is>
          <t>Quảng Ninh</t>
        </is>
      </c>
      <c r="J155" s="23" t="inlineStr">
        <is>
          <t>Hạ Long</t>
        </is>
      </c>
      <c r="K155" s="38" t="n">
        <v>20.95129</v>
      </c>
      <c r="L155" s="38" t="n">
        <v>107.08008</v>
      </c>
      <c r="M155" s="39" t="n">
        <v>903</v>
      </c>
      <c r="N155" s="39" t="n">
        <v>993</v>
      </c>
      <c r="O155" s="23" t="inlineStr">
        <is>
          <t>15:03</t>
        </is>
      </c>
      <c r="P155" s="23" t="inlineStr">
        <is>
          <t>16:33</t>
        </is>
      </c>
      <c r="Q155" s="24" t="n">
        <v>100</v>
      </c>
      <c r="R155" s="32" t="n">
        <v>-6568</v>
      </c>
      <c r="S155" s="33" t="n">
        <v>-49.49</v>
      </c>
      <c r="T155" s="23" t="inlineStr">
        <is>
          <t>3 chân</t>
        </is>
      </c>
      <c r="U155" s="23" t="inlineStr">
        <is>
          <t>8T</t>
        </is>
      </c>
      <c r="V155" s="23" t="inlineStr">
        <is>
          <t>Đông Bắc</t>
        </is>
      </c>
      <c r="W155" s="23" t="inlineStr">
        <is>
          <t>CR-ĐÔNG-04</t>
        </is>
      </c>
      <c r="X155" s="23" t="inlineStr">
        <is>
          <t>B - Thường</t>
        </is>
      </c>
      <c r="Y155" s="35" t="n">
        <v>0</v>
      </c>
      <c r="Z155" s="32" t="n">
        <v>80000</v>
      </c>
      <c r="AA155" s="23" t="inlineStr">
        <is>
          <t>Yes</t>
        </is>
      </c>
      <c r="AB155" s="23" t="inlineStr">
        <is>
          <t>2026-06-05</t>
        </is>
      </c>
      <c r="AC155" s="23" t="inlineStr">
        <is>
          <t>Review</t>
        </is>
      </c>
      <c r="AD155" s="23" t="inlineStr">
        <is>
          <t>Delivery paired with same order and same vehicle unless transshipment enabled</t>
        </is>
      </c>
    </row>
    <row r="156" ht="18" customHeight="1" s="17">
      <c r="A156" s="21" t="inlineStr">
        <is>
          <t>S3</t>
        </is>
      </c>
      <c r="B156" s="21" t="inlineStr">
        <is>
          <t>S3-ORD-004</t>
        </is>
      </c>
      <c r="C156" s="21" t="inlineStr">
        <is>
          <t>S3-ORD-004-P</t>
        </is>
      </c>
      <c r="D156" s="21" t="inlineStr">
        <is>
          <t>Pickup</t>
        </is>
      </c>
      <c r="E156" s="21" t="inlineStr">
        <is>
          <t>S3-ORD-004-D</t>
        </is>
      </c>
      <c r="F156" s="21" t="inlineStr">
        <is>
          <t>S3-ORD-004</t>
        </is>
      </c>
      <c r="G156" s="21" t="inlineStr">
        <is>
          <t>PK_TH_QX</t>
        </is>
      </c>
      <c r="H156" s="21" t="inlineStr">
        <is>
          <t>Kho DC Thanh Hóa - Quảng Xương</t>
        </is>
      </c>
      <c r="I156" s="21" t="inlineStr">
        <is>
          <t>Thanh Hóa</t>
        </is>
      </c>
      <c r="J156" s="21" t="inlineStr">
        <is>
          <t>Quảng Xương</t>
        </is>
      </c>
      <c r="K156" s="36" t="n">
        <v>19.731</v>
      </c>
      <c r="L156" s="36" t="n">
        <v>105.815</v>
      </c>
      <c r="M156" s="37" t="n">
        <v>420</v>
      </c>
      <c r="N156" s="37" t="n">
        <v>540</v>
      </c>
      <c r="O156" s="21" t="inlineStr">
        <is>
          <t>07:00</t>
        </is>
      </c>
      <c r="P156" s="21" t="inlineStr">
        <is>
          <t>09:00</t>
        </is>
      </c>
      <c r="Q156" s="22" t="n">
        <v>120</v>
      </c>
      <c r="R156" s="28" t="n">
        <v>10489</v>
      </c>
      <c r="S156" s="29" t="n">
        <v>23.77</v>
      </c>
      <c r="T156" s="21" t="inlineStr">
        <is>
          <t>3 chân</t>
        </is>
      </c>
      <c r="U156" s="21" t="inlineStr">
        <is>
          <t>5T</t>
        </is>
      </c>
      <c r="V156" s="21" t="inlineStr">
        <is>
          <t>Bắc Trung Bộ</t>
        </is>
      </c>
      <c r="W156" s="21" t="inlineStr">
        <is>
          <t>CR-BẮCT-05</t>
        </is>
      </c>
      <c r="X156" s="21" t="inlineStr">
        <is>
          <t>A - SLA chặt</t>
        </is>
      </c>
      <c r="Y156" s="31" t="n">
        <v>1510000</v>
      </c>
      <c r="Z156" s="28" t="n">
        <v>150000</v>
      </c>
      <c r="AA156" s="21" t="inlineStr">
        <is>
          <t>Yes</t>
        </is>
      </c>
      <c r="AB156" s="21" t="inlineStr">
        <is>
          <t>2026-06-05</t>
        </is>
      </c>
      <c r="AC156" s="21" t="inlineStr">
        <is>
          <t>Review</t>
        </is>
      </c>
      <c r="AD156" s="21" t="inlineStr">
        <is>
          <t>Pickup must happen before paired delivery</t>
        </is>
      </c>
    </row>
    <row r="157" ht="18" customHeight="1" s="17">
      <c r="A157" s="23" t="inlineStr">
        <is>
          <t>S3</t>
        </is>
      </c>
      <c r="B157" s="23" t="inlineStr">
        <is>
          <t>S3-ORD-004</t>
        </is>
      </c>
      <c r="C157" s="23" t="inlineStr">
        <is>
          <t>S3-ORD-004-D</t>
        </is>
      </c>
      <c r="D157" s="23" t="inlineStr">
        <is>
          <t>Delivery</t>
        </is>
      </c>
      <c r="E157" s="23" t="inlineStr">
        <is>
          <t>S3-ORD-004-P</t>
        </is>
      </c>
      <c r="F157" s="23" t="inlineStr">
        <is>
          <t>S3-ORD-004</t>
        </is>
      </c>
      <c r="G157" s="23" t="inlineStr">
        <is>
          <t>DL_TH_SIEUTHI</t>
        </is>
      </c>
      <c r="H157" s="23" t="inlineStr">
        <is>
          <t>Siêu thị Thanh Hóa</t>
        </is>
      </c>
      <c r="I157" s="23" t="inlineStr">
        <is>
          <t>Thanh Hóa</t>
        </is>
      </c>
      <c r="J157" s="23" t="inlineStr">
        <is>
          <t>Hạc Thành</t>
        </is>
      </c>
      <c r="K157" s="38" t="n">
        <v>19.8076</v>
      </c>
      <c r="L157" s="38" t="n">
        <v>105.77639</v>
      </c>
      <c r="M157" s="39" t="n">
        <v>646</v>
      </c>
      <c r="N157" s="39" t="n">
        <v>766</v>
      </c>
      <c r="O157" s="23" t="inlineStr">
        <is>
          <t>10:46</t>
        </is>
      </c>
      <c r="P157" s="23" t="inlineStr">
        <is>
          <t>12:46</t>
        </is>
      </c>
      <c r="Q157" s="24" t="n">
        <v>100</v>
      </c>
      <c r="R157" s="32" t="n">
        <v>-10489</v>
      </c>
      <c r="S157" s="33" t="n">
        <v>-23.77</v>
      </c>
      <c r="T157" s="23" t="inlineStr">
        <is>
          <t>3 chân</t>
        </is>
      </c>
      <c r="U157" s="23" t="inlineStr">
        <is>
          <t>5T</t>
        </is>
      </c>
      <c r="V157" s="23" t="inlineStr">
        <is>
          <t>Bắc Trung Bộ</t>
        </is>
      </c>
      <c r="W157" s="23" t="inlineStr">
        <is>
          <t>CR-BẮCT-05</t>
        </is>
      </c>
      <c r="X157" s="23" t="inlineStr">
        <is>
          <t>A - SLA chặt</t>
        </is>
      </c>
      <c r="Y157" s="35" t="n">
        <v>0</v>
      </c>
      <c r="Z157" s="32" t="n">
        <v>150000</v>
      </c>
      <c r="AA157" s="23" t="inlineStr">
        <is>
          <t>Yes</t>
        </is>
      </c>
      <c r="AB157" s="23" t="inlineStr">
        <is>
          <t>2026-06-05</t>
        </is>
      </c>
      <c r="AC157" s="23" t="inlineStr">
        <is>
          <t>Review</t>
        </is>
      </c>
      <c r="AD157" s="23" t="inlineStr">
        <is>
          <t>Delivery paired with same order and same vehicle unless transshipment enabled</t>
        </is>
      </c>
    </row>
    <row r="158" ht="18" customHeight="1" s="17">
      <c r="A158" s="21" t="inlineStr">
        <is>
          <t>S3</t>
        </is>
      </c>
      <c r="B158" s="21" t="inlineStr">
        <is>
          <t>S3-ORD-005</t>
        </is>
      </c>
      <c r="C158" s="21" t="inlineStr">
        <is>
          <t>S3-ORD-005-P</t>
        </is>
      </c>
      <c r="D158" s="21" t="inlineStr">
        <is>
          <t>Pickup</t>
        </is>
      </c>
      <c r="E158" s="21" t="inlineStr">
        <is>
          <t>S3-ORD-005-D</t>
        </is>
      </c>
      <c r="F158" s="21" t="inlineStr">
        <is>
          <t>S3-ORD-005</t>
        </is>
      </c>
      <c r="G158" s="21" t="inlineStr">
        <is>
          <t>PK_HY_MYHAO</t>
        </is>
      </c>
      <c r="H158" s="21" t="inlineStr">
        <is>
          <t>Kho/Nhà máy khách hàng Mỹ Hào</t>
        </is>
      </c>
      <c r="I158" s="21" t="inlineStr">
        <is>
          <t>Hưng Yên</t>
        </is>
      </c>
      <c r="J158" s="21" t="inlineStr">
        <is>
          <t>Mỹ Hào</t>
        </is>
      </c>
      <c r="K158" s="36" t="n">
        <v>20.9329</v>
      </c>
      <c r="L158" s="36" t="n">
        <v>106.065</v>
      </c>
      <c r="M158" s="37" t="n">
        <v>510</v>
      </c>
      <c r="N158" s="37" t="n">
        <v>600</v>
      </c>
      <c r="O158" s="21" t="inlineStr">
        <is>
          <t>08:30</t>
        </is>
      </c>
      <c r="P158" s="21" t="inlineStr">
        <is>
          <t>10:00</t>
        </is>
      </c>
      <c r="Q158" s="22" t="n">
        <v>40</v>
      </c>
      <c r="R158" s="28" t="n">
        <v>1455</v>
      </c>
      <c r="S158" s="29" t="n">
        <v>6.44</v>
      </c>
      <c r="T158" s="21" t="inlineStr">
        <is>
          <t>5T</t>
        </is>
      </c>
      <c r="U158" s="21" t="inlineStr">
        <is>
          <t>1.25T</t>
        </is>
      </c>
      <c r="V158" s="21" t="inlineStr">
        <is>
          <t>Nội thành Hà Nội</t>
        </is>
      </c>
      <c r="W158" s="21" t="inlineStr">
        <is>
          <t>CR-NỘIT-01</t>
        </is>
      </c>
      <c r="X158" s="21" t="inlineStr">
        <is>
          <t>B - Thường</t>
        </is>
      </c>
      <c r="Y158" s="31" t="n">
        <v>920000</v>
      </c>
      <c r="Z158" s="28" t="n">
        <v>80000</v>
      </c>
      <c r="AA158" s="21" t="inlineStr">
        <is>
          <t>Yes</t>
        </is>
      </c>
      <c r="AB158" s="21" t="inlineStr">
        <is>
          <t>2026-06-05</t>
        </is>
      </c>
      <c r="AC158" s="21" t="inlineStr">
        <is>
          <t>Review</t>
        </is>
      </c>
      <c r="AD158" s="21" t="inlineStr">
        <is>
          <t>Pickup must happen before paired delivery</t>
        </is>
      </c>
    </row>
    <row r="159" ht="18" customHeight="1" s="17">
      <c r="A159" s="23" t="inlineStr">
        <is>
          <t>S3</t>
        </is>
      </c>
      <c r="B159" s="23" t="inlineStr">
        <is>
          <t>S3-ORD-005</t>
        </is>
      </c>
      <c r="C159" s="23" t="inlineStr">
        <is>
          <t>S3-ORD-005-D</t>
        </is>
      </c>
      <c r="D159" s="23" t="inlineStr">
        <is>
          <t>Delivery</t>
        </is>
      </c>
      <c r="E159" s="23" t="inlineStr">
        <is>
          <t>S3-ORD-005-P</t>
        </is>
      </c>
      <c r="F159" s="23" t="inlineStr">
        <is>
          <t>S3-ORD-005</t>
        </is>
      </c>
      <c r="G159" s="23" t="inlineStr">
        <is>
          <t>DL_HN_LOTTE_BD</t>
        </is>
      </c>
      <c r="H159" s="23" t="inlineStr">
        <is>
          <t>LOTTE MART Ba Đình</t>
        </is>
      </c>
      <c r="I159" s="23" t="inlineStr">
        <is>
          <t>Hà Nội</t>
        </is>
      </c>
      <c r="J159" s="23" t="inlineStr">
        <is>
          <t>Ba Đình</t>
        </is>
      </c>
      <c r="K159" s="38" t="n">
        <v>21.032177</v>
      </c>
      <c r="L159" s="38" t="n">
        <v>105.812441</v>
      </c>
      <c r="M159" s="39" t="n">
        <v>591</v>
      </c>
      <c r="N159" s="39" t="n">
        <v>741</v>
      </c>
      <c r="O159" s="23" t="inlineStr">
        <is>
          <t>09:51</t>
        </is>
      </c>
      <c r="P159" s="23" t="inlineStr">
        <is>
          <t>12:21</t>
        </is>
      </c>
      <c r="Q159" s="24" t="n">
        <v>45</v>
      </c>
      <c r="R159" s="32" t="n">
        <v>-1455</v>
      </c>
      <c r="S159" s="33" t="n">
        <v>-6.44</v>
      </c>
      <c r="T159" s="23" t="inlineStr">
        <is>
          <t>5T</t>
        </is>
      </c>
      <c r="U159" s="23" t="inlineStr">
        <is>
          <t>1.25T</t>
        </is>
      </c>
      <c r="V159" s="23" t="inlineStr">
        <is>
          <t>Nội thành Hà Nội</t>
        </is>
      </c>
      <c r="W159" s="23" t="inlineStr">
        <is>
          <t>CR-NỘIT-01</t>
        </is>
      </c>
      <c r="X159" s="23" t="inlineStr">
        <is>
          <t>B - Thường</t>
        </is>
      </c>
      <c r="Y159" s="35" t="n">
        <v>0</v>
      </c>
      <c r="Z159" s="32" t="n">
        <v>80000</v>
      </c>
      <c r="AA159" s="23" t="inlineStr">
        <is>
          <t>Yes</t>
        </is>
      </c>
      <c r="AB159" s="23" t="inlineStr">
        <is>
          <t>2026-06-05</t>
        </is>
      </c>
      <c r="AC159" s="23" t="inlineStr">
        <is>
          <t>Review</t>
        </is>
      </c>
      <c r="AD159" s="23" t="inlineStr">
        <is>
          <t>Delivery paired with same order and same vehicle unless transshipment enabled</t>
        </is>
      </c>
    </row>
    <row r="160" ht="18" customHeight="1" s="17">
      <c r="A160" s="21" t="inlineStr">
        <is>
          <t>S3</t>
        </is>
      </c>
      <c r="B160" s="21" t="inlineStr">
        <is>
          <t>S3-ORD-006</t>
        </is>
      </c>
      <c r="C160" s="21" t="inlineStr">
        <is>
          <t>S3-ORD-006-P</t>
        </is>
      </c>
      <c r="D160" s="21" t="inlineStr">
        <is>
          <t>Pickup</t>
        </is>
      </c>
      <c r="E160" s="21" t="inlineStr">
        <is>
          <t>S3-ORD-006-D</t>
        </is>
      </c>
      <c r="F160" s="21" t="inlineStr">
        <is>
          <t>S3-ORD-006</t>
        </is>
      </c>
      <c r="G160" s="21" t="inlineStr">
        <is>
          <t>PK_HY_MYHAO</t>
        </is>
      </c>
      <c r="H160" s="21" t="inlineStr">
        <is>
          <t>Kho/Nhà máy khách hàng Mỹ Hào</t>
        </is>
      </c>
      <c r="I160" s="21" t="inlineStr">
        <is>
          <t>Hưng Yên</t>
        </is>
      </c>
      <c r="J160" s="21" t="inlineStr">
        <is>
          <t>Mỹ Hào</t>
        </is>
      </c>
      <c r="K160" s="36" t="n">
        <v>20.9329</v>
      </c>
      <c r="L160" s="36" t="n">
        <v>106.065</v>
      </c>
      <c r="M160" s="37" t="n">
        <v>510</v>
      </c>
      <c r="N160" s="37" t="n">
        <v>600</v>
      </c>
      <c r="O160" s="21" t="inlineStr">
        <is>
          <t>08:30</t>
        </is>
      </c>
      <c r="P160" s="21" t="inlineStr">
        <is>
          <t>10:00</t>
        </is>
      </c>
      <c r="Q160" s="22" t="n">
        <v>25</v>
      </c>
      <c r="R160" s="28" t="n">
        <v>642</v>
      </c>
      <c r="S160" s="29" t="n">
        <v>1.64</v>
      </c>
      <c r="T160" s="21" t="inlineStr">
        <is>
          <t>1.25T</t>
        </is>
      </c>
      <c r="U160" s="21" t="inlineStr">
        <is>
          <t>1.25T</t>
        </is>
      </c>
      <c r="V160" s="21" t="inlineStr">
        <is>
          <t>Nội thành Hà Nội</t>
        </is>
      </c>
      <c r="W160" s="21" t="inlineStr">
        <is>
          <t>CR-NỘIT-02</t>
        </is>
      </c>
      <c r="X160" s="21" t="inlineStr">
        <is>
          <t>A - SLA chặt</t>
        </is>
      </c>
      <c r="Y160" s="31" t="n">
        <v>570000</v>
      </c>
      <c r="Z160" s="28" t="n">
        <v>150000</v>
      </c>
      <c r="AA160" s="21" t="inlineStr">
        <is>
          <t>Yes</t>
        </is>
      </c>
      <c r="AB160" s="21" t="inlineStr">
        <is>
          <t>2026-06-05</t>
        </is>
      </c>
      <c r="AC160" s="21" t="inlineStr">
        <is>
          <t>Ready</t>
        </is>
      </c>
      <c r="AD160" s="21" t="inlineStr">
        <is>
          <t>Pickup must happen before paired delivery</t>
        </is>
      </c>
    </row>
    <row r="161" ht="18" customHeight="1" s="17">
      <c r="A161" s="23" t="inlineStr">
        <is>
          <t>S3</t>
        </is>
      </c>
      <c r="B161" s="23" t="inlineStr">
        <is>
          <t>S3-ORD-006</t>
        </is>
      </c>
      <c r="C161" s="23" t="inlineStr">
        <is>
          <t>S3-ORD-006-D</t>
        </is>
      </c>
      <c r="D161" s="23" t="inlineStr">
        <is>
          <t>Delivery</t>
        </is>
      </c>
      <c r="E161" s="23" t="inlineStr">
        <is>
          <t>S3-ORD-006-P</t>
        </is>
      </c>
      <c r="F161" s="23" t="inlineStr">
        <is>
          <t>S3-ORD-006</t>
        </is>
      </c>
      <c r="G161" s="23" t="inlineStr">
        <is>
          <t>DL_HN_VOTHISAU</t>
        </is>
      </c>
      <c r="H161" s="23" t="inlineStr">
        <is>
          <t>VINMART Võ Thị Sáu</t>
        </is>
      </c>
      <c r="I161" s="23" t="inlineStr">
        <is>
          <t>Hà Nội</t>
        </is>
      </c>
      <c r="J161" s="23" t="inlineStr">
        <is>
          <t>Hai Bà Trưng</t>
        </is>
      </c>
      <c r="K161" s="38" t="n">
        <v>21.00441</v>
      </c>
      <c r="L161" s="38" t="n">
        <v>105.855148</v>
      </c>
      <c r="M161" s="39" t="n">
        <v>714</v>
      </c>
      <c r="N161" s="39" t="n">
        <v>834</v>
      </c>
      <c r="O161" s="23" t="inlineStr">
        <is>
          <t>11:54</t>
        </is>
      </c>
      <c r="P161" s="23" t="inlineStr">
        <is>
          <t>13:54</t>
        </is>
      </c>
      <c r="Q161" s="24" t="n">
        <v>20</v>
      </c>
      <c r="R161" s="32" t="n">
        <v>-642</v>
      </c>
      <c r="S161" s="33" t="n">
        <v>-1.64</v>
      </c>
      <c r="T161" s="23" t="inlineStr">
        <is>
          <t>1.25T</t>
        </is>
      </c>
      <c r="U161" s="23" t="inlineStr">
        <is>
          <t>1.25T</t>
        </is>
      </c>
      <c r="V161" s="23" t="inlineStr">
        <is>
          <t>Nội thành Hà Nội</t>
        </is>
      </c>
      <c r="W161" s="23" t="inlineStr">
        <is>
          <t>CR-NỘIT-02</t>
        </is>
      </c>
      <c r="X161" s="23" t="inlineStr">
        <is>
          <t>A - SLA chặt</t>
        </is>
      </c>
      <c r="Y161" s="35" t="n">
        <v>0</v>
      </c>
      <c r="Z161" s="32" t="n">
        <v>150000</v>
      </c>
      <c r="AA161" s="23" t="inlineStr">
        <is>
          <t>Yes</t>
        </is>
      </c>
      <c r="AB161" s="23" t="inlineStr">
        <is>
          <t>2026-06-05</t>
        </is>
      </c>
      <c r="AC161" s="23" t="inlineStr">
        <is>
          <t>Ready</t>
        </is>
      </c>
      <c r="AD161" s="23" t="inlineStr">
        <is>
          <t>Delivery paired with same order and same vehicle unless transshipment enabled</t>
        </is>
      </c>
    </row>
    <row r="162" ht="18" customHeight="1" s="17">
      <c r="A162" s="21" t="inlineStr">
        <is>
          <t>S3</t>
        </is>
      </c>
      <c r="B162" s="21" t="inlineStr">
        <is>
          <t>S3-ORD-007</t>
        </is>
      </c>
      <c r="C162" s="21" t="inlineStr">
        <is>
          <t>S3-ORD-007-P</t>
        </is>
      </c>
      <c r="D162" s="21" t="inlineStr">
        <is>
          <t>Pickup</t>
        </is>
      </c>
      <c r="E162" s="21" t="inlineStr">
        <is>
          <t>S3-ORD-007-D</t>
        </is>
      </c>
      <c r="F162" s="21" t="inlineStr">
        <is>
          <t>S3-ORD-007</t>
        </is>
      </c>
      <c r="G162" s="21" t="inlineStr">
        <is>
          <t>PK_HY_MYHAO</t>
        </is>
      </c>
      <c r="H162" s="21" t="inlineStr">
        <is>
          <t>Kho/Nhà máy khách hàng Mỹ Hào</t>
        </is>
      </c>
      <c r="I162" s="21" t="inlineStr">
        <is>
          <t>Hưng Yên</t>
        </is>
      </c>
      <c r="J162" s="21" t="inlineStr">
        <is>
          <t>Mỹ Hào</t>
        </is>
      </c>
      <c r="K162" s="36" t="n">
        <v>20.9329</v>
      </c>
      <c r="L162" s="36" t="n">
        <v>106.065</v>
      </c>
      <c r="M162" s="37" t="n">
        <v>450</v>
      </c>
      <c r="N162" s="37" t="n">
        <v>600</v>
      </c>
      <c r="O162" s="21" t="inlineStr">
        <is>
          <t>07:30</t>
        </is>
      </c>
      <c r="P162" s="21" t="inlineStr">
        <is>
          <t>10:00</t>
        </is>
      </c>
      <c r="Q162" s="22" t="n">
        <v>25</v>
      </c>
      <c r="R162" s="28" t="n">
        <v>400</v>
      </c>
      <c r="S162" s="29" t="n">
        <v>0.71</v>
      </c>
      <c r="T162" s="21" t="inlineStr">
        <is>
          <t>5 tạ</t>
        </is>
      </c>
      <c r="U162" s="21" t="inlineStr">
        <is>
          <t>1.25T</t>
        </is>
      </c>
      <c r="V162" s="21" t="inlineStr">
        <is>
          <t>Nội thành Hà Nội</t>
        </is>
      </c>
      <c r="W162" s="21" t="inlineStr">
        <is>
          <t>CR-NỘIT-03</t>
        </is>
      </c>
      <c r="X162" s="21" t="inlineStr">
        <is>
          <t>C - Có thể thương lượng</t>
        </is>
      </c>
      <c r="Y162" s="31" t="n">
        <v>670000</v>
      </c>
      <c r="Z162" s="28" t="n">
        <v>80000</v>
      </c>
      <c r="AA162" s="21" t="inlineStr">
        <is>
          <t>Yes</t>
        </is>
      </c>
      <c r="AB162" s="21" t="inlineStr">
        <is>
          <t>2026-06-05</t>
        </is>
      </c>
      <c r="AC162" s="21" t="inlineStr">
        <is>
          <t>Ready</t>
        </is>
      </c>
      <c r="AD162" s="21" t="inlineStr">
        <is>
          <t>Pickup must happen before paired delivery</t>
        </is>
      </c>
    </row>
    <row r="163" ht="18" customHeight="1" s="17">
      <c r="A163" s="23" t="inlineStr">
        <is>
          <t>S3</t>
        </is>
      </c>
      <c r="B163" s="23" t="inlineStr">
        <is>
          <t>S3-ORD-007</t>
        </is>
      </c>
      <c r="C163" s="23" t="inlineStr">
        <is>
          <t>S3-ORD-007-D</t>
        </is>
      </c>
      <c r="D163" s="23" t="inlineStr">
        <is>
          <t>Delivery</t>
        </is>
      </c>
      <c r="E163" s="23" t="inlineStr">
        <is>
          <t>S3-ORD-007-P</t>
        </is>
      </c>
      <c r="F163" s="23" t="inlineStr">
        <is>
          <t>S3-ORD-007</t>
        </is>
      </c>
      <c r="G163" s="23" t="inlineStr">
        <is>
          <t>DL_HN_ROYAL</t>
        </is>
      </c>
      <c r="H163" s="23" t="inlineStr">
        <is>
          <t>VINMART Royal City</t>
        </is>
      </c>
      <c r="I163" s="23" t="inlineStr">
        <is>
          <t>Hà Nội</t>
        </is>
      </c>
      <c r="J163" s="23" t="inlineStr">
        <is>
          <t>Thanh Xuân</t>
        </is>
      </c>
      <c r="K163" s="38" t="n">
        <v>21.003388</v>
      </c>
      <c r="L163" s="38" t="n">
        <v>105.816212</v>
      </c>
      <c r="M163" s="39" t="n">
        <v>626</v>
      </c>
      <c r="N163" s="39" t="n">
        <v>746</v>
      </c>
      <c r="O163" s="23" t="inlineStr">
        <is>
          <t>10:26</t>
        </is>
      </c>
      <c r="P163" s="23" t="inlineStr">
        <is>
          <t>12:26</t>
        </is>
      </c>
      <c r="Q163" s="24" t="n">
        <v>30</v>
      </c>
      <c r="R163" s="32" t="n">
        <v>-400</v>
      </c>
      <c r="S163" s="33" t="n">
        <v>-0.71</v>
      </c>
      <c r="T163" s="23" t="inlineStr">
        <is>
          <t>5 tạ</t>
        </is>
      </c>
      <c r="U163" s="23" t="inlineStr">
        <is>
          <t>1.25T</t>
        </is>
      </c>
      <c r="V163" s="23" t="inlineStr">
        <is>
          <t>Nội thành Hà Nội</t>
        </is>
      </c>
      <c r="W163" s="23" t="inlineStr">
        <is>
          <t>CR-NỘIT-03</t>
        </is>
      </c>
      <c r="X163" s="23" t="inlineStr">
        <is>
          <t>C - Có thể thương lượng</t>
        </is>
      </c>
      <c r="Y163" s="35" t="n">
        <v>0</v>
      </c>
      <c r="Z163" s="32" t="n">
        <v>80000</v>
      </c>
      <c r="AA163" s="23" t="inlineStr">
        <is>
          <t>Yes</t>
        </is>
      </c>
      <c r="AB163" s="23" t="inlineStr">
        <is>
          <t>2026-06-05</t>
        </is>
      </c>
      <c r="AC163" s="23" t="inlineStr">
        <is>
          <t>Ready</t>
        </is>
      </c>
      <c r="AD163" s="23" t="inlineStr">
        <is>
          <t>Delivery paired with same order and same vehicle unless transshipment enabled</t>
        </is>
      </c>
    </row>
    <row r="164" ht="18" customHeight="1" s="17">
      <c r="A164" s="21" t="inlineStr">
        <is>
          <t>S3</t>
        </is>
      </c>
      <c r="B164" s="21" t="inlineStr">
        <is>
          <t>S3-ORD-008</t>
        </is>
      </c>
      <c r="C164" s="21" t="inlineStr">
        <is>
          <t>S3-ORD-008-P</t>
        </is>
      </c>
      <c r="D164" s="21" t="inlineStr">
        <is>
          <t>Pickup</t>
        </is>
      </c>
      <c r="E164" s="21" t="inlineStr">
        <is>
          <t>S3-ORD-008-D</t>
        </is>
      </c>
      <c r="F164" s="21" t="inlineStr">
        <is>
          <t>S3-ORD-008</t>
        </is>
      </c>
      <c r="G164" s="21" t="inlineStr">
        <is>
          <t>PK_HPL_LB</t>
        </is>
      </c>
      <c r="H164" s="21" t="inlineStr">
        <is>
          <t>HPL Depot Long Biên - 20 Thạch Bàn</t>
        </is>
      </c>
      <c r="I164" s="21" t="inlineStr">
        <is>
          <t>Hà Nội</t>
        </is>
      </c>
      <c r="J164" s="21" t="inlineStr">
        <is>
          <t>Long Biên</t>
        </is>
      </c>
      <c r="K164" s="36" t="n">
        <v>21.0261548385</v>
      </c>
      <c r="L164" s="36" t="n">
        <v>105.914182238</v>
      </c>
      <c r="M164" s="37" t="n">
        <v>420</v>
      </c>
      <c r="N164" s="37" t="n">
        <v>510</v>
      </c>
      <c r="O164" s="21" t="inlineStr">
        <is>
          <t>07:00</t>
        </is>
      </c>
      <c r="P164" s="21" t="inlineStr">
        <is>
          <t>08:30</t>
        </is>
      </c>
      <c r="Q164" s="22" t="n">
        <v>120</v>
      </c>
      <c r="R164" s="28" t="n">
        <v>7895</v>
      </c>
      <c r="S164" s="29" t="n">
        <v>151.81</v>
      </c>
      <c r="T164" s="21" t="inlineStr">
        <is>
          <t>Container</t>
        </is>
      </c>
      <c r="U164" s="21" t="inlineStr">
        <is>
          <t>8T</t>
        </is>
      </c>
      <c r="V164" s="21" t="inlineStr">
        <is>
          <t>Bắc Trung Bộ</t>
        </is>
      </c>
      <c r="W164" s="21" t="inlineStr">
        <is>
          <t>CR-BẮCT-04</t>
        </is>
      </c>
      <c r="X164" s="21" t="inlineStr">
        <is>
          <t>B - Thường</t>
        </is>
      </c>
      <c r="Y164" s="31" t="n">
        <v>5410000</v>
      </c>
      <c r="Z164" s="28" t="n">
        <v>80000</v>
      </c>
      <c r="AA164" s="21" t="inlineStr">
        <is>
          <t>Yes</t>
        </is>
      </c>
      <c r="AB164" s="21" t="inlineStr">
        <is>
          <t>2026-06-05</t>
        </is>
      </c>
      <c r="AC164" s="21" t="inlineStr">
        <is>
          <t>Review</t>
        </is>
      </c>
      <c r="AD164" s="21" t="inlineStr">
        <is>
          <t>Pickup must happen before paired delivery</t>
        </is>
      </c>
    </row>
    <row r="165" ht="18" customHeight="1" s="17">
      <c r="A165" s="23" t="inlineStr">
        <is>
          <t>S3</t>
        </is>
      </c>
      <c r="B165" s="23" t="inlineStr">
        <is>
          <t>S3-ORD-008</t>
        </is>
      </c>
      <c r="C165" s="23" t="inlineStr">
        <is>
          <t>S3-ORD-008-D</t>
        </is>
      </c>
      <c r="D165" s="23" t="inlineStr">
        <is>
          <t>Delivery</t>
        </is>
      </c>
      <c r="E165" s="23" t="inlineStr">
        <is>
          <t>S3-ORD-008-P</t>
        </is>
      </c>
      <c r="F165" s="23" t="inlineStr">
        <is>
          <t>S3-ORD-008</t>
        </is>
      </c>
      <c r="G165" s="23" t="inlineStr">
        <is>
          <t>DL_NB_SIEUTHI</t>
        </is>
      </c>
      <c r="H165" s="23" t="inlineStr">
        <is>
          <t>Siêu thị Ninh Bình</t>
        </is>
      </c>
      <c r="I165" s="23" t="inlineStr">
        <is>
          <t>Ninh Bình</t>
        </is>
      </c>
      <c r="J165" s="23" t="inlineStr">
        <is>
          <t>Hoa Lư</t>
        </is>
      </c>
      <c r="K165" s="38" t="n">
        <v>20.250614</v>
      </c>
      <c r="L165" s="38" t="n">
        <v>105.974454</v>
      </c>
      <c r="M165" s="39" t="n">
        <v>710</v>
      </c>
      <c r="N165" s="39" t="n">
        <v>890</v>
      </c>
      <c r="O165" s="23" t="inlineStr">
        <is>
          <t>11:50</t>
        </is>
      </c>
      <c r="P165" s="23" t="inlineStr">
        <is>
          <t>14:50</t>
        </is>
      </c>
      <c r="Q165" s="24" t="n">
        <v>90</v>
      </c>
      <c r="R165" s="32" t="n">
        <v>-7895</v>
      </c>
      <c r="S165" s="33" t="n">
        <v>-151.81</v>
      </c>
      <c r="T165" s="23" t="inlineStr">
        <is>
          <t>Container</t>
        </is>
      </c>
      <c r="U165" s="23" t="inlineStr">
        <is>
          <t>8T</t>
        </is>
      </c>
      <c r="V165" s="23" t="inlineStr">
        <is>
          <t>Bắc Trung Bộ</t>
        </is>
      </c>
      <c r="W165" s="23" t="inlineStr">
        <is>
          <t>CR-BẮCT-04</t>
        </is>
      </c>
      <c r="X165" s="23" t="inlineStr">
        <is>
          <t>B - Thường</t>
        </is>
      </c>
      <c r="Y165" s="35" t="n">
        <v>0</v>
      </c>
      <c r="Z165" s="32" t="n">
        <v>80000</v>
      </c>
      <c r="AA165" s="23" t="inlineStr">
        <is>
          <t>Yes</t>
        </is>
      </c>
      <c r="AB165" s="23" t="inlineStr">
        <is>
          <t>2026-06-05</t>
        </is>
      </c>
      <c r="AC165" s="23" t="inlineStr">
        <is>
          <t>Review</t>
        </is>
      </c>
      <c r="AD165" s="23" t="inlineStr">
        <is>
          <t>Delivery paired with same order and same vehicle unless transshipment enabled</t>
        </is>
      </c>
    </row>
    <row r="166" ht="18" customHeight="1" s="17">
      <c r="A166" s="21" t="inlineStr">
        <is>
          <t>S3</t>
        </is>
      </c>
      <c r="B166" s="21" t="inlineStr">
        <is>
          <t>S3-ORD-009</t>
        </is>
      </c>
      <c r="C166" s="21" t="inlineStr">
        <is>
          <t>S3-ORD-009-P</t>
        </is>
      </c>
      <c r="D166" s="21" t="inlineStr">
        <is>
          <t>Pickup</t>
        </is>
      </c>
      <c r="E166" s="21" t="inlineStr">
        <is>
          <t>S3-ORD-009-D</t>
        </is>
      </c>
      <c r="F166" s="21" t="inlineStr">
        <is>
          <t>S3-ORD-009</t>
        </is>
      </c>
      <c r="G166" s="21" t="inlineStr">
        <is>
          <t>PK_LINFOX_VSIP</t>
        </is>
      </c>
      <c r="H166" s="21" t="inlineStr">
        <is>
          <t>Kho Linfox KCN VSIP Bắc Ninh</t>
        </is>
      </c>
      <c r="I166" s="21" t="inlineStr">
        <is>
          <t>Bắc Ninh</t>
        </is>
      </c>
      <c r="J166" s="21" t="inlineStr">
        <is>
          <t>Từ Sơn</t>
        </is>
      </c>
      <c r="K166" s="36" t="n">
        <v>21.082707</v>
      </c>
      <c r="L166" s="36" t="n">
        <v>105.997949</v>
      </c>
      <c r="M166" s="37" t="n">
        <v>480</v>
      </c>
      <c r="N166" s="37" t="n">
        <v>600</v>
      </c>
      <c r="O166" s="21" t="inlineStr">
        <is>
          <t>08:00</t>
        </is>
      </c>
      <c r="P166" s="21" t="inlineStr">
        <is>
          <t>10:00</t>
        </is>
      </c>
      <c r="Q166" s="22" t="n">
        <v>25</v>
      </c>
      <c r="R166" s="28" t="n">
        <v>730</v>
      </c>
      <c r="S166" s="29" t="n">
        <v>1.55</v>
      </c>
      <c r="T166" s="21" t="inlineStr">
        <is>
          <t>1.25T</t>
        </is>
      </c>
      <c r="U166" s="21" t="inlineStr">
        <is>
          <t>1.25T</t>
        </is>
      </c>
      <c r="V166" s="21" t="inlineStr">
        <is>
          <t>Nội thành Hà Nội</t>
        </is>
      </c>
      <c r="W166" s="21" t="inlineStr">
        <is>
          <t>CR-NỘIT-05</t>
        </is>
      </c>
      <c r="X166" s="21" t="inlineStr">
        <is>
          <t>C - Có thể thương lượng</t>
        </is>
      </c>
      <c r="Y166" s="31" t="n">
        <v>730000</v>
      </c>
      <c r="Z166" s="28" t="n">
        <v>80000</v>
      </c>
      <c r="AA166" s="21" t="inlineStr">
        <is>
          <t>Yes</t>
        </is>
      </c>
      <c r="AB166" s="21" t="inlineStr">
        <is>
          <t>2026-06-05</t>
        </is>
      </c>
      <c r="AC166" s="21" t="inlineStr">
        <is>
          <t>Ready</t>
        </is>
      </c>
      <c r="AD166" s="21" t="inlineStr">
        <is>
          <t>Pickup must happen before paired delivery</t>
        </is>
      </c>
    </row>
    <row r="167" ht="18" customHeight="1" s="17">
      <c r="A167" s="23" t="inlineStr">
        <is>
          <t>S3</t>
        </is>
      </c>
      <c r="B167" s="23" t="inlineStr">
        <is>
          <t>S3-ORD-009</t>
        </is>
      </c>
      <c r="C167" s="23" t="inlineStr">
        <is>
          <t>S3-ORD-009-D</t>
        </is>
      </c>
      <c r="D167" s="23" t="inlineStr">
        <is>
          <t>Delivery</t>
        </is>
      </c>
      <c r="E167" s="23" t="inlineStr">
        <is>
          <t>S3-ORD-009-P</t>
        </is>
      </c>
      <c r="F167" s="23" t="inlineStr">
        <is>
          <t>S3-ORD-009</t>
        </is>
      </c>
      <c r="G167" s="23" t="inlineStr">
        <is>
          <t>DL_HN_MINHTUAN</t>
        </is>
      </c>
      <c r="H167" s="23" t="inlineStr">
        <is>
          <t>Minh Tuấn</t>
        </is>
      </c>
      <c r="I167" s="23" t="inlineStr">
        <is>
          <t>Hà Nội</t>
        </is>
      </c>
      <c r="J167" s="23" t="inlineStr">
        <is>
          <t>Hà Nội</t>
        </is>
      </c>
      <c r="K167" s="38" t="n">
        <v>20.954079</v>
      </c>
      <c r="L167" s="38" t="n">
        <v>105.837255</v>
      </c>
      <c r="M167" s="39" t="n">
        <v>652</v>
      </c>
      <c r="N167" s="39" t="n">
        <v>802</v>
      </c>
      <c r="O167" s="23" t="inlineStr">
        <is>
          <t>10:52</t>
        </is>
      </c>
      <c r="P167" s="23" t="inlineStr">
        <is>
          <t>13:22</t>
        </is>
      </c>
      <c r="Q167" s="24" t="n">
        <v>20</v>
      </c>
      <c r="R167" s="32" t="n">
        <v>-730</v>
      </c>
      <c r="S167" s="33" t="n">
        <v>-1.55</v>
      </c>
      <c r="T167" s="23" t="inlineStr">
        <is>
          <t>1.25T</t>
        </is>
      </c>
      <c r="U167" s="23" t="inlineStr">
        <is>
          <t>1.25T</t>
        </is>
      </c>
      <c r="V167" s="23" t="inlineStr">
        <is>
          <t>Nội thành Hà Nội</t>
        </is>
      </c>
      <c r="W167" s="23" t="inlineStr">
        <is>
          <t>CR-NỘIT-05</t>
        </is>
      </c>
      <c r="X167" s="23" t="inlineStr">
        <is>
          <t>C - Có thể thương lượng</t>
        </is>
      </c>
      <c r="Y167" s="35" t="n">
        <v>0</v>
      </c>
      <c r="Z167" s="32" t="n">
        <v>80000</v>
      </c>
      <c r="AA167" s="23" t="inlineStr">
        <is>
          <t>Yes</t>
        </is>
      </c>
      <c r="AB167" s="23" t="inlineStr">
        <is>
          <t>2026-06-05</t>
        </is>
      </c>
      <c r="AC167" s="23" t="inlineStr">
        <is>
          <t>Ready</t>
        </is>
      </c>
      <c r="AD167" s="23" t="inlineStr">
        <is>
          <t>Delivery paired with same order and same vehicle unless transshipment enabled</t>
        </is>
      </c>
    </row>
    <row r="168" ht="18" customHeight="1" s="17">
      <c r="A168" s="21" t="inlineStr">
        <is>
          <t>S3</t>
        </is>
      </c>
      <c r="B168" s="21" t="inlineStr">
        <is>
          <t>S3-ORD-010</t>
        </is>
      </c>
      <c r="C168" s="21" t="inlineStr">
        <is>
          <t>S3-ORD-010-P</t>
        </is>
      </c>
      <c r="D168" s="21" t="inlineStr">
        <is>
          <t>Pickup</t>
        </is>
      </c>
      <c r="E168" s="21" t="inlineStr">
        <is>
          <t>S3-ORD-010-D</t>
        </is>
      </c>
      <c r="F168" s="21" t="inlineStr">
        <is>
          <t>S3-ORD-010</t>
        </is>
      </c>
      <c r="G168" s="21" t="inlineStr">
        <is>
          <t>PK_LINFOX_VSIP</t>
        </is>
      </c>
      <c r="H168" s="21" t="inlineStr">
        <is>
          <t>Kho Linfox KCN VSIP Bắc Ninh</t>
        </is>
      </c>
      <c r="I168" s="21" t="inlineStr">
        <is>
          <t>Bắc Ninh</t>
        </is>
      </c>
      <c r="J168" s="21" t="inlineStr">
        <is>
          <t>Từ Sơn</t>
        </is>
      </c>
      <c r="K168" s="36" t="n">
        <v>21.082707</v>
      </c>
      <c r="L168" s="36" t="n">
        <v>105.997949</v>
      </c>
      <c r="M168" s="37" t="n">
        <v>420</v>
      </c>
      <c r="N168" s="37" t="n">
        <v>540</v>
      </c>
      <c r="O168" s="21" t="inlineStr">
        <is>
          <t>07:00</t>
        </is>
      </c>
      <c r="P168" s="21" t="inlineStr">
        <is>
          <t>09:00</t>
        </is>
      </c>
      <c r="Q168" s="22" t="n">
        <v>40</v>
      </c>
      <c r="R168" s="28" t="n">
        <v>1566</v>
      </c>
      <c r="S168" s="29" t="n">
        <v>4</v>
      </c>
      <c r="T168" s="21" t="inlineStr">
        <is>
          <t>5T</t>
        </is>
      </c>
      <c r="U168" s="21" t="inlineStr">
        <is>
          <t>1.25T</t>
        </is>
      </c>
      <c r="V168" s="21" t="inlineStr">
        <is>
          <t>Nội thành Hà Nội</t>
        </is>
      </c>
      <c r="W168" s="21" t="inlineStr">
        <is>
          <t>CR-NỘIT-01</t>
        </is>
      </c>
      <c r="X168" s="21" t="inlineStr">
        <is>
          <t>C - Có thể thương lượng</t>
        </is>
      </c>
      <c r="Y168" s="31" t="n">
        <v>940000</v>
      </c>
      <c r="Z168" s="28" t="n">
        <v>80000</v>
      </c>
      <c r="AA168" s="21" t="inlineStr">
        <is>
          <t>Yes</t>
        </is>
      </c>
      <c r="AB168" s="21" t="inlineStr">
        <is>
          <t>2026-06-05</t>
        </is>
      </c>
      <c r="AC168" s="21" t="inlineStr">
        <is>
          <t>Review</t>
        </is>
      </c>
      <c r="AD168" s="21" t="inlineStr">
        <is>
          <t>Pickup must happen before paired delivery</t>
        </is>
      </c>
    </row>
    <row r="169" ht="18" customHeight="1" s="17">
      <c r="A169" s="23" t="inlineStr">
        <is>
          <t>S3</t>
        </is>
      </c>
      <c r="B169" s="23" t="inlineStr">
        <is>
          <t>S3-ORD-010</t>
        </is>
      </c>
      <c r="C169" s="23" t="inlineStr">
        <is>
          <t>S3-ORD-010-D</t>
        </is>
      </c>
      <c r="D169" s="23" t="inlineStr">
        <is>
          <t>Delivery</t>
        </is>
      </c>
      <c r="E169" s="23" t="inlineStr">
        <is>
          <t>S3-ORD-010-P</t>
        </is>
      </c>
      <c r="F169" s="23" t="inlineStr">
        <is>
          <t>S3-ORD-010</t>
        </is>
      </c>
      <c r="G169" s="23" t="inlineStr">
        <is>
          <t>DL_HN_AKJUKY</t>
        </is>
      </c>
      <c r="H169" s="23" t="inlineStr">
        <is>
          <t>AKJUKY</t>
        </is>
      </c>
      <c r="I169" s="23" t="inlineStr">
        <is>
          <t>Hà Nội</t>
        </is>
      </c>
      <c r="J169" s="23" t="inlineStr">
        <is>
          <t>Long Biên</t>
        </is>
      </c>
      <c r="K169" s="38" t="n">
        <v>21.063695</v>
      </c>
      <c r="L169" s="38" t="n">
        <v>105.889986</v>
      </c>
      <c r="M169" s="39" t="n">
        <v>603</v>
      </c>
      <c r="N169" s="39" t="n">
        <v>783</v>
      </c>
      <c r="O169" s="23" t="inlineStr">
        <is>
          <t>10:03</t>
        </is>
      </c>
      <c r="P169" s="23" t="inlineStr">
        <is>
          <t>13:03</t>
        </is>
      </c>
      <c r="Q169" s="24" t="n">
        <v>35</v>
      </c>
      <c r="R169" s="32" t="n">
        <v>-1566</v>
      </c>
      <c r="S169" s="33" t="n">
        <v>-4</v>
      </c>
      <c r="T169" s="23" t="inlineStr">
        <is>
          <t>5T</t>
        </is>
      </c>
      <c r="U169" s="23" t="inlineStr">
        <is>
          <t>1.25T</t>
        </is>
      </c>
      <c r="V169" s="23" t="inlineStr">
        <is>
          <t>Nội thành Hà Nội</t>
        </is>
      </c>
      <c r="W169" s="23" t="inlineStr">
        <is>
          <t>CR-NỘIT-01</t>
        </is>
      </c>
      <c r="X169" s="23" t="inlineStr">
        <is>
          <t>C - Có thể thương lượng</t>
        </is>
      </c>
      <c r="Y169" s="35" t="n">
        <v>0</v>
      </c>
      <c r="Z169" s="32" t="n">
        <v>80000</v>
      </c>
      <c r="AA169" s="23" t="inlineStr">
        <is>
          <t>Yes</t>
        </is>
      </c>
      <c r="AB169" s="23" t="inlineStr">
        <is>
          <t>2026-06-05</t>
        </is>
      </c>
      <c r="AC169" s="23" t="inlineStr">
        <is>
          <t>Review</t>
        </is>
      </c>
      <c r="AD169" s="23" t="inlineStr">
        <is>
          <t>Delivery paired with same order and same vehicle unless transshipment enabled</t>
        </is>
      </c>
    </row>
    <row r="170" ht="18" customHeight="1" s="17">
      <c r="A170" s="21" t="inlineStr">
        <is>
          <t>S3</t>
        </is>
      </c>
      <c r="B170" s="21" t="inlineStr">
        <is>
          <t>S3-ORD-011</t>
        </is>
      </c>
      <c r="C170" s="21" t="inlineStr">
        <is>
          <t>S3-ORD-011-P</t>
        </is>
      </c>
      <c r="D170" s="21" t="inlineStr">
        <is>
          <t>Pickup</t>
        </is>
      </c>
      <c r="E170" s="21" t="inlineStr">
        <is>
          <t>S3-ORD-011-D</t>
        </is>
      </c>
      <c r="F170" s="21" t="inlineStr">
        <is>
          <t>S3-ORD-011</t>
        </is>
      </c>
      <c r="G170" s="21" t="inlineStr">
        <is>
          <t>PK_LINFOX_VSIP</t>
        </is>
      </c>
      <c r="H170" s="21" t="inlineStr">
        <is>
          <t>Kho Linfox KCN VSIP Bắc Ninh</t>
        </is>
      </c>
      <c r="I170" s="21" t="inlineStr">
        <is>
          <t>Bắc Ninh</t>
        </is>
      </c>
      <c r="J170" s="21" t="inlineStr">
        <is>
          <t>Từ Sơn</t>
        </is>
      </c>
      <c r="K170" s="36" t="n">
        <v>21.082707</v>
      </c>
      <c r="L170" s="36" t="n">
        <v>105.997949</v>
      </c>
      <c r="M170" s="37" t="n">
        <v>510</v>
      </c>
      <c r="N170" s="37" t="n">
        <v>600</v>
      </c>
      <c r="O170" s="21" t="inlineStr">
        <is>
          <t>08:30</t>
        </is>
      </c>
      <c r="P170" s="21" t="inlineStr">
        <is>
          <t>10:00</t>
        </is>
      </c>
      <c r="Q170" s="22" t="n">
        <v>40</v>
      </c>
      <c r="R170" s="28" t="n">
        <v>1606</v>
      </c>
      <c r="S170" s="29" t="n">
        <v>4.1</v>
      </c>
      <c r="T170" s="21" t="inlineStr">
        <is>
          <t>5T</t>
        </is>
      </c>
      <c r="U170" s="21" t="inlineStr">
        <is>
          <t>1.25T</t>
        </is>
      </c>
      <c r="V170" s="21" t="inlineStr">
        <is>
          <t>Nội thành Hà Nội</t>
        </is>
      </c>
      <c r="W170" s="21" t="inlineStr">
        <is>
          <t>CR-NỘIT-02</t>
        </is>
      </c>
      <c r="X170" s="21" t="inlineStr">
        <is>
          <t>B - Thường</t>
        </is>
      </c>
      <c r="Y170" s="31" t="n">
        <v>860000</v>
      </c>
      <c r="Z170" s="28" t="n">
        <v>80000</v>
      </c>
      <c r="AA170" s="21" t="inlineStr">
        <is>
          <t>Yes</t>
        </is>
      </c>
      <c r="AB170" s="21" t="inlineStr">
        <is>
          <t>2026-06-05</t>
        </is>
      </c>
      <c r="AC170" s="21" t="inlineStr">
        <is>
          <t>Review</t>
        </is>
      </c>
      <c r="AD170" s="21" t="inlineStr">
        <is>
          <t>Pickup must happen before paired delivery</t>
        </is>
      </c>
    </row>
    <row r="171" ht="18" customHeight="1" s="17">
      <c r="A171" s="23" t="inlineStr">
        <is>
          <t>S3</t>
        </is>
      </c>
      <c r="B171" s="23" t="inlineStr">
        <is>
          <t>S3-ORD-011</t>
        </is>
      </c>
      <c r="C171" s="23" t="inlineStr">
        <is>
          <t>S3-ORD-011-D</t>
        </is>
      </c>
      <c r="D171" s="23" t="inlineStr">
        <is>
          <t>Delivery</t>
        </is>
      </c>
      <c r="E171" s="23" t="inlineStr">
        <is>
          <t>S3-ORD-011-P</t>
        </is>
      </c>
      <c r="F171" s="23" t="inlineStr">
        <is>
          <t>S3-ORD-011</t>
        </is>
      </c>
      <c r="G171" s="23" t="inlineStr">
        <is>
          <t>DL_HN_PNT</t>
        </is>
      </c>
      <c r="H171" s="23" t="inlineStr">
        <is>
          <t>VINMART Phạm Ngọc Thạch</t>
        </is>
      </c>
      <c r="I171" s="23" t="inlineStr">
        <is>
          <t>Hà Nội</t>
        </is>
      </c>
      <c r="J171" s="23" t="inlineStr">
        <is>
          <t>Đống Đa</t>
        </is>
      </c>
      <c r="K171" s="38" t="n">
        <v>21.006268</v>
      </c>
      <c r="L171" s="38" t="n">
        <v>105.831931</v>
      </c>
      <c r="M171" s="39" t="n">
        <v>689</v>
      </c>
      <c r="N171" s="39" t="n">
        <v>869</v>
      </c>
      <c r="O171" s="23" t="inlineStr">
        <is>
          <t>11:29</t>
        </is>
      </c>
      <c r="P171" s="23" t="inlineStr">
        <is>
          <t>14:29</t>
        </is>
      </c>
      <c r="Q171" s="24" t="n">
        <v>35</v>
      </c>
      <c r="R171" s="32" t="n">
        <v>-1606</v>
      </c>
      <c r="S171" s="33" t="n">
        <v>-4.1</v>
      </c>
      <c r="T171" s="23" t="inlineStr">
        <is>
          <t>5T</t>
        </is>
      </c>
      <c r="U171" s="23" t="inlineStr">
        <is>
          <t>1.25T</t>
        </is>
      </c>
      <c r="V171" s="23" t="inlineStr">
        <is>
          <t>Nội thành Hà Nội</t>
        </is>
      </c>
      <c r="W171" s="23" t="inlineStr">
        <is>
          <t>CR-NỘIT-02</t>
        </is>
      </c>
      <c r="X171" s="23" t="inlineStr">
        <is>
          <t>B - Thường</t>
        </is>
      </c>
      <c r="Y171" s="35" t="n">
        <v>0</v>
      </c>
      <c r="Z171" s="32" t="n">
        <v>80000</v>
      </c>
      <c r="AA171" s="23" t="inlineStr">
        <is>
          <t>Yes</t>
        </is>
      </c>
      <c r="AB171" s="23" t="inlineStr">
        <is>
          <t>2026-06-05</t>
        </is>
      </c>
      <c r="AC171" s="23" t="inlineStr">
        <is>
          <t>Review</t>
        </is>
      </c>
      <c r="AD171" s="23" t="inlineStr">
        <is>
          <t>Delivery paired with same order and same vehicle unless transshipment enabled</t>
        </is>
      </c>
    </row>
    <row r="172" ht="18" customHeight="1" s="17">
      <c r="A172" s="21" t="inlineStr">
        <is>
          <t>S3</t>
        </is>
      </c>
      <c r="B172" s="21" t="inlineStr">
        <is>
          <t>S3-ORD-012</t>
        </is>
      </c>
      <c r="C172" s="21" t="inlineStr">
        <is>
          <t>S3-ORD-012-P</t>
        </is>
      </c>
      <c r="D172" s="21" t="inlineStr">
        <is>
          <t>Pickup</t>
        </is>
      </c>
      <c r="E172" s="21" t="inlineStr">
        <is>
          <t>S3-ORD-012-D</t>
        </is>
      </c>
      <c r="F172" s="21" t="inlineStr">
        <is>
          <t>S3-ORD-012</t>
        </is>
      </c>
      <c r="G172" s="21" t="inlineStr">
        <is>
          <t>PK_HPL_LB</t>
        </is>
      </c>
      <c r="H172" s="21" t="inlineStr">
        <is>
          <t>HPL Depot Long Biên - 20 Thạch Bàn</t>
        </is>
      </c>
      <c r="I172" s="21" t="inlineStr">
        <is>
          <t>Hà Nội</t>
        </is>
      </c>
      <c r="J172" s="21" t="inlineStr">
        <is>
          <t>Long Biên</t>
        </is>
      </c>
      <c r="K172" s="36" t="n">
        <v>21.0261548385</v>
      </c>
      <c r="L172" s="36" t="n">
        <v>105.914182238</v>
      </c>
      <c r="M172" s="37" t="n">
        <v>540</v>
      </c>
      <c r="N172" s="37" t="n">
        <v>690</v>
      </c>
      <c r="O172" s="21" t="inlineStr">
        <is>
          <t>09:00</t>
        </is>
      </c>
      <c r="P172" s="21" t="inlineStr">
        <is>
          <t>11:30</t>
        </is>
      </c>
      <c r="Q172" s="22" t="n">
        <v>40</v>
      </c>
      <c r="R172" s="28" t="n">
        <v>4877</v>
      </c>
      <c r="S172" s="29" t="n">
        <v>9.960000000000001</v>
      </c>
      <c r="T172" s="21" t="inlineStr">
        <is>
          <t>5T</t>
        </is>
      </c>
      <c r="U172" s="21" t="inlineStr">
        <is>
          <t>8T</t>
        </is>
      </c>
      <c r="V172" s="21" t="inlineStr">
        <is>
          <t>Đông Bắc</t>
        </is>
      </c>
      <c r="W172" s="21" t="inlineStr">
        <is>
          <t>CR-ĐÔNG-03</t>
        </is>
      </c>
      <c r="X172" s="21" t="inlineStr">
        <is>
          <t>C - Có thể thương lượng</t>
        </is>
      </c>
      <c r="Y172" s="31" t="n">
        <v>2170000</v>
      </c>
      <c r="Z172" s="28" t="n">
        <v>80000</v>
      </c>
      <c r="AA172" s="21" t="inlineStr">
        <is>
          <t>Yes</t>
        </is>
      </c>
      <c r="AB172" s="21" t="inlineStr">
        <is>
          <t>2026-06-05</t>
        </is>
      </c>
      <c r="AC172" s="21" t="inlineStr">
        <is>
          <t>Ready</t>
        </is>
      </c>
      <c r="AD172" s="21" t="inlineStr">
        <is>
          <t>Pickup must happen before paired delivery</t>
        </is>
      </c>
    </row>
    <row r="173" ht="18" customHeight="1" s="17">
      <c r="A173" s="23" t="inlineStr">
        <is>
          <t>S3</t>
        </is>
      </c>
      <c r="B173" s="23" t="inlineStr">
        <is>
          <t>S3-ORD-012</t>
        </is>
      </c>
      <c r="C173" s="23" t="inlineStr">
        <is>
          <t>S3-ORD-012-D</t>
        </is>
      </c>
      <c r="D173" s="23" t="inlineStr">
        <is>
          <t>Delivery</t>
        </is>
      </c>
      <c r="E173" s="23" t="inlineStr">
        <is>
          <t>S3-ORD-012-P</t>
        </is>
      </c>
      <c r="F173" s="23" t="inlineStr">
        <is>
          <t>S3-ORD-012</t>
        </is>
      </c>
      <c r="G173" s="23" t="inlineStr">
        <is>
          <t>DL_HD_SIEUTHI</t>
        </is>
      </c>
      <c r="H173" s="23" t="inlineStr">
        <is>
          <t>Siêu thị Hải Dương</t>
        </is>
      </c>
      <c r="I173" s="23" t="inlineStr">
        <is>
          <t>Hải Phòng</t>
        </is>
      </c>
      <c r="J173" s="23" t="inlineStr">
        <is>
          <t>Hải Dương</t>
        </is>
      </c>
      <c r="K173" s="38" t="n">
        <v>20.937341</v>
      </c>
      <c r="L173" s="38" t="n">
        <v>106.314555</v>
      </c>
      <c r="M173" s="39" t="n">
        <v>712</v>
      </c>
      <c r="N173" s="39" t="n">
        <v>832</v>
      </c>
      <c r="O173" s="23" t="inlineStr">
        <is>
          <t>11:52</t>
        </is>
      </c>
      <c r="P173" s="23" t="inlineStr">
        <is>
          <t>13:52</t>
        </is>
      </c>
      <c r="Q173" s="24" t="n">
        <v>35</v>
      </c>
      <c r="R173" s="32" t="n">
        <v>-4877</v>
      </c>
      <c r="S173" s="33" t="n">
        <v>-9.960000000000001</v>
      </c>
      <c r="T173" s="23" t="inlineStr">
        <is>
          <t>5T</t>
        </is>
      </c>
      <c r="U173" s="23" t="inlineStr">
        <is>
          <t>8T</t>
        </is>
      </c>
      <c r="V173" s="23" t="inlineStr">
        <is>
          <t>Đông Bắc</t>
        </is>
      </c>
      <c r="W173" s="23" t="inlineStr">
        <is>
          <t>CR-ĐÔNG-03</t>
        </is>
      </c>
      <c r="X173" s="23" t="inlineStr">
        <is>
          <t>C - Có thể thương lượng</t>
        </is>
      </c>
      <c r="Y173" s="35" t="n">
        <v>0</v>
      </c>
      <c r="Z173" s="32" t="n">
        <v>80000</v>
      </c>
      <c r="AA173" s="23" t="inlineStr">
        <is>
          <t>Yes</t>
        </is>
      </c>
      <c r="AB173" s="23" t="inlineStr">
        <is>
          <t>2026-06-05</t>
        </is>
      </c>
      <c r="AC173" s="23" t="inlineStr">
        <is>
          <t>Ready</t>
        </is>
      </c>
      <c r="AD173" s="23" t="inlineStr">
        <is>
          <t>Delivery paired with same order and same vehicle unless transshipment enabled</t>
        </is>
      </c>
    </row>
    <row r="174" ht="18" customHeight="1" s="17">
      <c r="A174" s="21" t="inlineStr">
        <is>
          <t>S3</t>
        </is>
      </c>
      <c r="B174" s="21" t="inlineStr">
        <is>
          <t>S3-ORD-013</t>
        </is>
      </c>
      <c r="C174" s="21" t="inlineStr">
        <is>
          <t>S3-ORD-013-P</t>
        </is>
      </c>
      <c r="D174" s="21" t="inlineStr">
        <is>
          <t>Pickup</t>
        </is>
      </c>
      <c r="E174" s="21" t="inlineStr">
        <is>
          <t>S3-ORD-013-D</t>
        </is>
      </c>
      <c r="F174" s="21" t="inlineStr">
        <is>
          <t>S3-ORD-013</t>
        </is>
      </c>
      <c r="G174" s="21" t="inlineStr">
        <is>
          <t>PK_TH_QX</t>
        </is>
      </c>
      <c r="H174" s="21" t="inlineStr">
        <is>
          <t>Kho DC Thanh Hóa - Quảng Xương</t>
        </is>
      </c>
      <c r="I174" s="21" t="inlineStr">
        <is>
          <t>Thanh Hóa</t>
        </is>
      </c>
      <c r="J174" s="21" t="inlineStr">
        <is>
          <t>Quảng Xương</t>
        </is>
      </c>
      <c r="K174" s="36" t="n">
        <v>19.731</v>
      </c>
      <c r="L174" s="36" t="n">
        <v>105.815</v>
      </c>
      <c r="M174" s="37" t="n">
        <v>540</v>
      </c>
      <c r="N174" s="37" t="n">
        <v>660</v>
      </c>
      <c r="O174" s="21" t="inlineStr">
        <is>
          <t>09:00</t>
        </is>
      </c>
      <c r="P174" s="21" t="inlineStr">
        <is>
          <t>11:00</t>
        </is>
      </c>
      <c r="Q174" s="22" t="n">
        <v>120</v>
      </c>
      <c r="R174" s="28" t="n">
        <v>9506</v>
      </c>
      <c r="S174" s="29" t="n">
        <v>30.41</v>
      </c>
      <c r="T174" s="21" t="inlineStr">
        <is>
          <t>3 chân</t>
        </is>
      </c>
      <c r="U174" s="21" t="inlineStr">
        <is>
          <t>3 chân</t>
        </is>
      </c>
      <c r="V174" s="21" t="inlineStr">
        <is>
          <t>Bắc Trung Bộ</t>
        </is>
      </c>
      <c r="W174" s="21" t="inlineStr">
        <is>
          <t>CR-BẮCT-04</t>
        </is>
      </c>
      <c r="X174" s="21" t="inlineStr">
        <is>
          <t>A - SLA chặt</t>
        </is>
      </c>
      <c r="Y174" s="31" t="n">
        <v>620000</v>
      </c>
      <c r="Z174" s="28" t="n">
        <v>150000</v>
      </c>
      <c r="AA174" s="21" t="inlineStr">
        <is>
          <t>Yes</t>
        </is>
      </c>
      <c r="AB174" s="21" t="inlineStr">
        <is>
          <t>2026-06-05</t>
        </is>
      </c>
      <c r="AC174" s="21" t="inlineStr">
        <is>
          <t>Ready</t>
        </is>
      </c>
      <c r="AD174" s="21" t="inlineStr">
        <is>
          <t>Pickup must happen before paired delivery</t>
        </is>
      </c>
    </row>
    <row r="175" ht="18" customHeight="1" s="17">
      <c r="A175" s="23" t="inlineStr">
        <is>
          <t>S3</t>
        </is>
      </c>
      <c r="B175" s="23" t="inlineStr">
        <is>
          <t>S3-ORD-013</t>
        </is>
      </c>
      <c r="C175" s="23" t="inlineStr">
        <is>
          <t>S3-ORD-013-D</t>
        </is>
      </c>
      <c r="D175" s="23" t="inlineStr">
        <is>
          <t>Delivery</t>
        </is>
      </c>
      <c r="E175" s="23" t="inlineStr">
        <is>
          <t>S3-ORD-013-P</t>
        </is>
      </c>
      <c r="F175" s="23" t="inlineStr">
        <is>
          <t>S3-ORD-013</t>
        </is>
      </c>
      <c r="G175" s="23" t="inlineStr">
        <is>
          <t>DL_TH_BHX_QX</t>
        </is>
      </c>
      <c r="H175" s="23" t="inlineStr">
        <is>
          <t>BHX Thanh Hóa - Kho DC Quảng Xương</t>
        </is>
      </c>
      <c r="I175" s="23" t="inlineStr">
        <is>
          <t>Thanh Hóa</t>
        </is>
      </c>
      <c r="J175" s="23" t="inlineStr">
        <is>
          <t>Quảng Xương</t>
        </is>
      </c>
      <c r="K175" s="38" t="n">
        <v>19.731</v>
      </c>
      <c r="L175" s="38" t="n">
        <v>105.815</v>
      </c>
      <c r="M175" s="39" t="n">
        <v>744</v>
      </c>
      <c r="N175" s="39" t="n">
        <v>894</v>
      </c>
      <c r="O175" s="23" t="inlineStr">
        <is>
          <t>12:24</t>
        </is>
      </c>
      <c r="P175" s="23" t="inlineStr">
        <is>
          <t>14:54</t>
        </is>
      </c>
      <c r="Q175" s="24" t="n">
        <v>90</v>
      </c>
      <c r="R175" s="32" t="n">
        <v>-9506</v>
      </c>
      <c r="S175" s="33" t="n">
        <v>-30.41</v>
      </c>
      <c r="T175" s="23" t="inlineStr">
        <is>
          <t>3 chân</t>
        </is>
      </c>
      <c r="U175" s="23" t="inlineStr">
        <is>
          <t>3 chân</t>
        </is>
      </c>
      <c r="V175" s="23" t="inlineStr">
        <is>
          <t>Bắc Trung Bộ</t>
        </is>
      </c>
      <c r="W175" s="23" t="inlineStr">
        <is>
          <t>CR-BẮCT-04</t>
        </is>
      </c>
      <c r="X175" s="23" t="inlineStr">
        <is>
          <t>A - SLA chặt</t>
        </is>
      </c>
      <c r="Y175" s="35" t="n">
        <v>0</v>
      </c>
      <c r="Z175" s="32" t="n">
        <v>150000</v>
      </c>
      <c r="AA175" s="23" t="inlineStr">
        <is>
          <t>Yes</t>
        </is>
      </c>
      <c r="AB175" s="23" t="inlineStr">
        <is>
          <t>2026-06-05</t>
        </is>
      </c>
      <c r="AC175" s="23" t="inlineStr">
        <is>
          <t>Ready</t>
        </is>
      </c>
      <c r="AD175" s="23" t="inlineStr">
        <is>
          <t>Delivery paired with same order and same vehicle unless transshipment enabled</t>
        </is>
      </c>
    </row>
    <row r="176" ht="18" customHeight="1" s="17">
      <c r="A176" s="21" t="inlineStr">
        <is>
          <t>S3</t>
        </is>
      </c>
      <c r="B176" s="21" t="inlineStr">
        <is>
          <t>S3-ORD-014</t>
        </is>
      </c>
      <c r="C176" s="21" t="inlineStr">
        <is>
          <t>S3-ORD-014-P</t>
        </is>
      </c>
      <c r="D176" s="21" t="inlineStr">
        <is>
          <t>Pickup</t>
        </is>
      </c>
      <c r="E176" s="21" t="inlineStr">
        <is>
          <t>S3-ORD-014-D</t>
        </is>
      </c>
      <c r="F176" s="21" t="inlineStr">
        <is>
          <t>S3-ORD-014</t>
        </is>
      </c>
      <c r="G176" s="21" t="inlineStr">
        <is>
          <t>PK_HPL_LB</t>
        </is>
      </c>
      <c r="H176" s="21" t="inlineStr">
        <is>
          <t>HPL Depot Long Biên - 20 Thạch Bàn</t>
        </is>
      </c>
      <c r="I176" s="21" t="inlineStr">
        <is>
          <t>Hà Nội</t>
        </is>
      </c>
      <c r="J176" s="21" t="inlineStr">
        <is>
          <t>Long Biên</t>
        </is>
      </c>
      <c r="K176" s="36" t="n">
        <v>21.0261548385</v>
      </c>
      <c r="L176" s="36" t="n">
        <v>105.914182238</v>
      </c>
      <c r="M176" s="37" t="n">
        <v>540</v>
      </c>
      <c r="N176" s="37" t="n">
        <v>690</v>
      </c>
      <c r="O176" s="21" t="inlineStr">
        <is>
          <t>09:00</t>
        </is>
      </c>
      <c r="P176" s="21" t="inlineStr">
        <is>
          <t>11:30</t>
        </is>
      </c>
      <c r="Q176" s="22" t="n">
        <v>40</v>
      </c>
      <c r="R176" s="28" t="n">
        <v>1261</v>
      </c>
      <c r="S176" s="29" t="n">
        <v>3.55</v>
      </c>
      <c r="T176" s="21" t="inlineStr">
        <is>
          <t>5T</t>
        </is>
      </c>
      <c r="U176" s="21" t="inlineStr">
        <is>
          <t>8T</t>
        </is>
      </c>
      <c r="V176" s="21" t="inlineStr">
        <is>
          <t>Đông Bắc</t>
        </is>
      </c>
      <c r="W176" s="21" t="inlineStr">
        <is>
          <t>CR-ĐÔNG-05</t>
        </is>
      </c>
      <c r="X176" s="21" t="inlineStr">
        <is>
          <t>C - Có thể thương lượng</t>
        </is>
      </c>
      <c r="Y176" s="31" t="n">
        <v>1200000</v>
      </c>
      <c r="Z176" s="28" t="n">
        <v>80000</v>
      </c>
      <c r="AA176" s="21" t="inlineStr">
        <is>
          <t>Yes</t>
        </is>
      </c>
      <c r="AB176" s="21" t="inlineStr">
        <is>
          <t>2026-06-05</t>
        </is>
      </c>
      <c r="AC176" s="21" t="inlineStr">
        <is>
          <t>Ready</t>
        </is>
      </c>
      <c r="AD176" s="21" t="inlineStr">
        <is>
          <t>Pickup must happen before paired delivery</t>
        </is>
      </c>
    </row>
    <row r="177" ht="18" customHeight="1" s="17">
      <c r="A177" s="23" t="inlineStr">
        <is>
          <t>S3</t>
        </is>
      </c>
      <c r="B177" s="23" t="inlineStr">
        <is>
          <t>S3-ORD-014</t>
        </is>
      </c>
      <c r="C177" s="23" t="inlineStr">
        <is>
          <t>S3-ORD-014-D</t>
        </is>
      </c>
      <c r="D177" s="23" t="inlineStr">
        <is>
          <t>Delivery</t>
        </is>
      </c>
      <c r="E177" s="23" t="inlineStr">
        <is>
          <t>S3-ORD-014-P</t>
        </is>
      </c>
      <c r="F177" s="23" t="inlineStr">
        <is>
          <t>S3-ORD-014</t>
        </is>
      </c>
      <c r="G177" s="23" t="inlineStr">
        <is>
          <t>DL_QN_UONGBI</t>
        </is>
      </c>
      <c r="H177" s="23" t="inlineStr">
        <is>
          <t>VINMART Uông Bí</t>
        </is>
      </c>
      <c r="I177" s="23" t="inlineStr">
        <is>
          <t>Quảng Ninh</t>
        </is>
      </c>
      <c r="J177" s="23" t="inlineStr">
        <is>
          <t>Uông Bí</t>
        </is>
      </c>
      <c r="K177" s="38" t="n">
        <v>21.031495</v>
      </c>
      <c r="L177" s="38" t="n">
        <v>106.76688</v>
      </c>
      <c r="M177" s="39" t="n">
        <v>753</v>
      </c>
      <c r="N177" s="39" t="n">
        <v>873</v>
      </c>
      <c r="O177" s="23" t="inlineStr">
        <is>
          <t>12:33</t>
        </is>
      </c>
      <c r="P177" s="23" t="inlineStr">
        <is>
          <t>14:33</t>
        </is>
      </c>
      <c r="Q177" s="24" t="n">
        <v>35</v>
      </c>
      <c r="R177" s="32" t="n">
        <v>-1261</v>
      </c>
      <c r="S177" s="33" t="n">
        <v>-3.55</v>
      </c>
      <c r="T177" s="23" t="inlineStr">
        <is>
          <t>5T</t>
        </is>
      </c>
      <c r="U177" s="23" t="inlineStr">
        <is>
          <t>8T</t>
        </is>
      </c>
      <c r="V177" s="23" t="inlineStr">
        <is>
          <t>Đông Bắc</t>
        </is>
      </c>
      <c r="W177" s="23" t="inlineStr">
        <is>
          <t>CR-ĐÔNG-05</t>
        </is>
      </c>
      <c r="X177" s="23" t="inlineStr">
        <is>
          <t>C - Có thể thương lượng</t>
        </is>
      </c>
      <c r="Y177" s="35" t="n">
        <v>0</v>
      </c>
      <c r="Z177" s="32" t="n">
        <v>80000</v>
      </c>
      <c r="AA177" s="23" t="inlineStr">
        <is>
          <t>Yes</t>
        </is>
      </c>
      <c r="AB177" s="23" t="inlineStr">
        <is>
          <t>2026-06-05</t>
        </is>
      </c>
      <c r="AC177" s="23" t="inlineStr">
        <is>
          <t>Ready</t>
        </is>
      </c>
      <c r="AD177" s="23" t="inlineStr">
        <is>
          <t>Delivery paired with same order and same vehicle unless transshipment enabled</t>
        </is>
      </c>
    </row>
    <row r="178" ht="18" customHeight="1" s="17">
      <c r="A178" s="21" t="inlineStr">
        <is>
          <t>S3</t>
        </is>
      </c>
      <c r="B178" s="21" t="inlineStr">
        <is>
          <t>S3-ORD-015</t>
        </is>
      </c>
      <c r="C178" s="21" t="inlineStr">
        <is>
          <t>S3-ORD-015-P</t>
        </is>
      </c>
      <c r="D178" s="21" t="inlineStr">
        <is>
          <t>Pickup</t>
        </is>
      </c>
      <c r="E178" s="21" t="inlineStr">
        <is>
          <t>S3-ORD-015-D</t>
        </is>
      </c>
      <c r="F178" s="21" t="inlineStr">
        <is>
          <t>S3-ORD-015</t>
        </is>
      </c>
      <c r="G178" s="21" t="inlineStr">
        <is>
          <t>PK_HY_MYHAO</t>
        </is>
      </c>
      <c r="H178" s="21" t="inlineStr">
        <is>
          <t>Kho/Nhà máy khách hàng Mỹ Hào</t>
        </is>
      </c>
      <c r="I178" s="21" t="inlineStr">
        <is>
          <t>Hưng Yên</t>
        </is>
      </c>
      <c r="J178" s="21" t="inlineStr">
        <is>
          <t>Mỹ Hào</t>
        </is>
      </c>
      <c r="K178" s="36" t="n">
        <v>20.9329</v>
      </c>
      <c r="L178" s="36" t="n">
        <v>106.065</v>
      </c>
      <c r="M178" s="37" t="n">
        <v>480</v>
      </c>
      <c r="N178" s="37" t="n">
        <v>630</v>
      </c>
      <c r="O178" s="21" t="inlineStr">
        <is>
          <t>08:00</t>
        </is>
      </c>
      <c r="P178" s="21" t="inlineStr">
        <is>
          <t>10:30</t>
        </is>
      </c>
      <c r="Q178" s="22" t="n">
        <v>25</v>
      </c>
      <c r="R178" s="28" t="n">
        <v>958</v>
      </c>
      <c r="S178" s="29" t="n">
        <v>2.2</v>
      </c>
      <c r="T178" s="21" t="inlineStr">
        <is>
          <t>1.25T</t>
        </is>
      </c>
      <c r="U178" s="21" t="inlineStr">
        <is>
          <t>1.25T</t>
        </is>
      </c>
      <c r="V178" s="21" t="inlineStr">
        <is>
          <t>Nội thành Hà Nội</t>
        </is>
      </c>
      <c r="W178" s="21" t="inlineStr">
        <is>
          <t>CR-NỘIT-01</t>
        </is>
      </c>
      <c r="X178" s="21" t="inlineStr">
        <is>
          <t>C - Có thể thương lượng</t>
        </is>
      </c>
      <c r="Y178" s="31" t="n">
        <v>790000</v>
      </c>
      <c r="Z178" s="28" t="n">
        <v>80000</v>
      </c>
      <c r="AA178" s="21" t="inlineStr">
        <is>
          <t>Yes</t>
        </is>
      </c>
      <c r="AB178" s="21" t="inlineStr">
        <is>
          <t>2026-06-05</t>
        </is>
      </c>
      <c r="AC178" s="21" t="inlineStr">
        <is>
          <t>Ready</t>
        </is>
      </c>
      <c r="AD178" s="21" t="inlineStr">
        <is>
          <t>Pickup must happen before paired delivery</t>
        </is>
      </c>
    </row>
    <row r="179" ht="18" customHeight="1" s="17">
      <c r="A179" s="23" t="inlineStr">
        <is>
          <t>S3</t>
        </is>
      </c>
      <c r="B179" s="23" t="inlineStr">
        <is>
          <t>S3-ORD-015</t>
        </is>
      </c>
      <c r="C179" s="23" t="inlineStr">
        <is>
          <t>S3-ORD-015-D</t>
        </is>
      </c>
      <c r="D179" s="23" t="inlineStr">
        <is>
          <t>Delivery</t>
        </is>
      </c>
      <c r="E179" s="23" t="inlineStr">
        <is>
          <t>S3-ORD-015-P</t>
        </is>
      </c>
      <c r="F179" s="23" t="inlineStr">
        <is>
          <t>S3-ORD-015</t>
        </is>
      </c>
      <c r="G179" s="23" t="inlineStr">
        <is>
          <t>DL_HN_TRUNGHOA</t>
        </is>
      </c>
      <c r="H179" s="23" t="inlineStr">
        <is>
          <t>VINMART Trung Hòa</t>
        </is>
      </c>
      <c r="I179" s="23" t="inlineStr">
        <is>
          <t>Hà Nội</t>
        </is>
      </c>
      <c r="J179" s="23" t="inlineStr">
        <is>
          <t>Cầu Giấy</t>
        </is>
      </c>
      <c r="K179" s="38" t="n">
        <v>21.007288</v>
      </c>
      <c r="L179" s="38" t="n">
        <v>105.80157</v>
      </c>
      <c r="M179" s="39" t="n">
        <v>689</v>
      </c>
      <c r="N179" s="39" t="n">
        <v>809</v>
      </c>
      <c r="O179" s="23" t="inlineStr">
        <is>
          <t>11:29</t>
        </is>
      </c>
      <c r="P179" s="23" t="inlineStr">
        <is>
          <t>13:29</t>
        </is>
      </c>
      <c r="Q179" s="24" t="n">
        <v>20</v>
      </c>
      <c r="R179" s="32" t="n">
        <v>-958</v>
      </c>
      <c r="S179" s="33" t="n">
        <v>-2.2</v>
      </c>
      <c r="T179" s="23" t="inlineStr">
        <is>
          <t>1.25T</t>
        </is>
      </c>
      <c r="U179" s="23" t="inlineStr">
        <is>
          <t>1.25T</t>
        </is>
      </c>
      <c r="V179" s="23" t="inlineStr">
        <is>
          <t>Nội thành Hà Nội</t>
        </is>
      </c>
      <c r="W179" s="23" t="inlineStr">
        <is>
          <t>CR-NỘIT-01</t>
        </is>
      </c>
      <c r="X179" s="23" t="inlineStr">
        <is>
          <t>C - Có thể thương lượng</t>
        </is>
      </c>
      <c r="Y179" s="35" t="n">
        <v>0</v>
      </c>
      <c r="Z179" s="32" t="n">
        <v>80000</v>
      </c>
      <c r="AA179" s="23" t="inlineStr">
        <is>
          <t>Yes</t>
        </is>
      </c>
      <c r="AB179" s="23" t="inlineStr">
        <is>
          <t>2026-06-05</t>
        </is>
      </c>
      <c r="AC179" s="23" t="inlineStr">
        <is>
          <t>Ready</t>
        </is>
      </c>
      <c r="AD179" s="23" t="inlineStr">
        <is>
          <t>Delivery paired with same order and same vehicle unless transshipment enabled</t>
        </is>
      </c>
    </row>
    <row r="180" ht="18" customHeight="1" s="17">
      <c r="A180" s="21" t="inlineStr">
        <is>
          <t>S3</t>
        </is>
      </c>
      <c r="B180" s="21" t="inlineStr">
        <is>
          <t>S3-ORD-016</t>
        </is>
      </c>
      <c r="C180" s="21" t="inlineStr">
        <is>
          <t>S3-ORD-016-P</t>
        </is>
      </c>
      <c r="D180" s="21" t="inlineStr">
        <is>
          <t>Pickup</t>
        </is>
      </c>
      <c r="E180" s="21" t="inlineStr">
        <is>
          <t>S3-ORD-016-D</t>
        </is>
      </c>
      <c r="F180" s="21" t="inlineStr">
        <is>
          <t>S3-ORD-016</t>
        </is>
      </c>
      <c r="G180" s="21" t="inlineStr">
        <is>
          <t>PK_HPL_LB</t>
        </is>
      </c>
      <c r="H180" s="21" t="inlineStr">
        <is>
          <t>HPL Depot Long Biên - 20 Thạch Bàn</t>
        </is>
      </c>
      <c r="I180" s="21" t="inlineStr">
        <is>
          <t>Hà Nội</t>
        </is>
      </c>
      <c r="J180" s="21" t="inlineStr">
        <is>
          <t>Long Biên</t>
        </is>
      </c>
      <c r="K180" s="36" t="n">
        <v>21.0261548385</v>
      </c>
      <c r="L180" s="36" t="n">
        <v>105.914182238</v>
      </c>
      <c r="M180" s="37" t="n">
        <v>420</v>
      </c>
      <c r="N180" s="37" t="n">
        <v>570</v>
      </c>
      <c r="O180" s="21" t="inlineStr">
        <is>
          <t>07:00</t>
        </is>
      </c>
      <c r="P180" s="21" t="inlineStr">
        <is>
          <t>09:30</t>
        </is>
      </c>
      <c r="Q180" s="22" t="n">
        <v>40</v>
      </c>
      <c r="R180" s="28" t="n">
        <v>1705</v>
      </c>
      <c r="S180" s="29" t="n">
        <v>7.94</v>
      </c>
      <c r="T180" s="21" t="inlineStr">
        <is>
          <t>5T</t>
        </is>
      </c>
      <c r="U180" s="21" t="inlineStr">
        <is>
          <t>1.25T</t>
        </is>
      </c>
      <c r="V180" s="21" t="inlineStr">
        <is>
          <t>Nội thành Hà Nội</t>
        </is>
      </c>
      <c r="W180" s="21" t="inlineStr">
        <is>
          <t>CR-NỘIT-02</t>
        </is>
      </c>
      <c r="X180" s="21" t="inlineStr">
        <is>
          <t>B - Thường</t>
        </is>
      </c>
      <c r="Y180" s="31" t="n">
        <v>700000</v>
      </c>
      <c r="Z180" s="28" t="n">
        <v>80000</v>
      </c>
      <c r="AA180" s="21" t="inlineStr">
        <is>
          <t>Yes</t>
        </is>
      </c>
      <c r="AB180" s="21" t="inlineStr">
        <is>
          <t>2026-06-05</t>
        </is>
      </c>
      <c r="AC180" s="21" t="inlineStr">
        <is>
          <t>Review</t>
        </is>
      </c>
      <c r="AD180" s="21" t="inlineStr">
        <is>
          <t>Pickup must happen before paired delivery</t>
        </is>
      </c>
    </row>
    <row r="181" ht="18" customHeight="1" s="17">
      <c r="A181" s="23" t="inlineStr">
        <is>
          <t>S3</t>
        </is>
      </c>
      <c r="B181" s="23" t="inlineStr">
        <is>
          <t>S3-ORD-016</t>
        </is>
      </c>
      <c r="C181" s="23" t="inlineStr">
        <is>
          <t>S3-ORD-016-D</t>
        </is>
      </c>
      <c r="D181" s="23" t="inlineStr">
        <is>
          <t>Delivery</t>
        </is>
      </c>
      <c r="E181" s="23" t="inlineStr">
        <is>
          <t>S3-ORD-016-P</t>
        </is>
      </c>
      <c r="F181" s="23" t="inlineStr">
        <is>
          <t>S3-ORD-016</t>
        </is>
      </c>
      <c r="G181" s="23" t="inlineStr">
        <is>
          <t>DL_HN_PARKCITY</t>
        </is>
      </c>
      <c r="H181" s="23" t="inlineStr">
        <is>
          <t>TOPS MARKET ParkCity</t>
        </is>
      </c>
      <c r="I181" s="23" t="inlineStr">
        <is>
          <t>Hà Nội</t>
        </is>
      </c>
      <c r="J181" s="23" t="inlineStr">
        <is>
          <t>Hà Đông</t>
        </is>
      </c>
      <c r="K181" s="38" t="n">
        <v>20.965724</v>
      </c>
      <c r="L181" s="38" t="n">
        <v>105.756143</v>
      </c>
      <c r="M181" s="39" t="n">
        <v>564</v>
      </c>
      <c r="N181" s="39" t="n">
        <v>684</v>
      </c>
      <c r="O181" s="23" t="inlineStr">
        <is>
          <t>09:24</t>
        </is>
      </c>
      <c r="P181" s="23" t="inlineStr">
        <is>
          <t>11:24</t>
        </is>
      </c>
      <c r="Q181" s="24" t="n">
        <v>45</v>
      </c>
      <c r="R181" s="32" t="n">
        <v>-1705</v>
      </c>
      <c r="S181" s="33" t="n">
        <v>-7.94</v>
      </c>
      <c r="T181" s="23" t="inlineStr">
        <is>
          <t>5T</t>
        </is>
      </c>
      <c r="U181" s="23" t="inlineStr">
        <is>
          <t>1.25T</t>
        </is>
      </c>
      <c r="V181" s="23" t="inlineStr">
        <is>
          <t>Nội thành Hà Nội</t>
        </is>
      </c>
      <c r="W181" s="23" t="inlineStr">
        <is>
          <t>CR-NỘIT-02</t>
        </is>
      </c>
      <c r="X181" s="23" t="inlineStr">
        <is>
          <t>B - Thường</t>
        </is>
      </c>
      <c r="Y181" s="35" t="n">
        <v>0</v>
      </c>
      <c r="Z181" s="32" t="n">
        <v>80000</v>
      </c>
      <c r="AA181" s="23" t="inlineStr">
        <is>
          <t>Yes</t>
        </is>
      </c>
      <c r="AB181" s="23" t="inlineStr">
        <is>
          <t>2026-06-05</t>
        </is>
      </c>
      <c r="AC181" s="23" t="inlineStr">
        <is>
          <t>Review</t>
        </is>
      </c>
      <c r="AD181" s="23" t="inlineStr">
        <is>
          <t>Delivery paired with same order and same vehicle unless transshipment enabled</t>
        </is>
      </c>
    </row>
    <row r="182" ht="18" customHeight="1" s="17">
      <c r="A182" s="21" t="inlineStr">
        <is>
          <t>S3</t>
        </is>
      </c>
      <c r="B182" s="21" t="inlineStr">
        <is>
          <t>S3-ORD-017</t>
        </is>
      </c>
      <c r="C182" s="21" t="inlineStr">
        <is>
          <t>S3-ORD-017-P</t>
        </is>
      </c>
      <c r="D182" s="21" t="inlineStr">
        <is>
          <t>Pickup</t>
        </is>
      </c>
      <c r="E182" s="21" t="inlineStr">
        <is>
          <t>S3-ORD-017-D</t>
        </is>
      </c>
      <c r="F182" s="21" t="inlineStr">
        <is>
          <t>S3-ORD-017</t>
        </is>
      </c>
      <c r="G182" s="21" t="inlineStr">
        <is>
          <t>PK_NA_BACVINH</t>
        </is>
      </c>
      <c r="H182" s="21" t="inlineStr">
        <is>
          <t>Kho DC Vinh - KCN Bắc Vinh</t>
        </is>
      </c>
      <c r="I182" s="21" t="inlineStr">
        <is>
          <t>Nghệ An</t>
        </is>
      </c>
      <c r="J182" s="21" t="inlineStr">
        <is>
          <t>Vinh</t>
        </is>
      </c>
      <c r="K182" s="36" t="n">
        <v>18.733</v>
      </c>
      <c r="L182" s="36" t="n">
        <v>105.681</v>
      </c>
      <c r="M182" s="37" t="n">
        <v>480</v>
      </c>
      <c r="N182" s="37" t="n">
        <v>630</v>
      </c>
      <c r="O182" s="21" t="inlineStr">
        <is>
          <t>08:00</t>
        </is>
      </c>
      <c r="P182" s="21" t="inlineStr">
        <is>
          <t>10:30</t>
        </is>
      </c>
      <c r="Q182" s="22" t="n">
        <v>40</v>
      </c>
      <c r="R182" s="28" t="n">
        <v>7727</v>
      </c>
      <c r="S182" s="29" t="n">
        <v>25.47</v>
      </c>
      <c r="T182" s="21" t="inlineStr">
        <is>
          <t>8T</t>
        </is>
      </c>
      <c r="U182" s="21" t="inlineStr">
        <is>
          <t>5T</t>
        </is>
      </c>
      <c r="V182" s="21" t="inlineStr">
        <is>
          <t>Bắc Trung Bộ</t>
        </is>
      </c>
      <c r="W182" s="21" t="inlineStr">
        <is>
          <t>CR-BẮCT-03</t>
        </is>
      </c>
      <c r="X182" s="21" t="inlineStr">
        <is>
          <t>C - Có thể thương lượng</t>
        </is>
      </c>
      <c r="Y182" s="31" t="n">
        <v>7840000</v>
      </c>
      <c r="Z182" s="28" t="n">
        <v>80000</v>
      </c>
      <c r="AA182" s="21" t="inlineStr">
        <is>
          <t>Yes</t>
        </is>
      </c>
      <c r="AB182" s="21" t="inlineStr">
        <is>
          <t>2026-06-05</t>
        </is>
      </c>
      <c r="AC182" s="21" t="inlineStr">
        <is>
          <t>Review</t>
        </is>
      </c>
      <c r="AD182" s="21" t="inlineStr">
        <is>
          <t>Pickup must happen before paired delivery</t>
        </is>
      </c>
    </row>
    <row r="183" ht="18" customHeight="1" s="17">
      <c r="A183" s="23" t="inlineStr">
        <is>
          <t>S3</t>
        </is>
      </c>
      <c r="B183" s="23" t="inlineStr">
        <is>
          <t>S3-ORD-017</t>
        </is>
      </c>
      <c r="C183" s="23" t="inlineStr">
        <is>
          <t>S3-ORD-017-D</t>
        </is>
      </c>
      <c r="D183" s="23" t="inlineStr">
        <is>
          <t>Delivery</t>
        </is>
      </c>
      <c r="E183" s="23" t="inlineStr">
        <is>
          <t>S3-ORD-017-P</t>
        </is>
      </c>
      <c r="F183" s="23" t="inlineStr">
        <is>
          <t>S3-ORD-017</t>
        </is>
      </c>
      <c r="G183" s="23" t="inlineStr">
        <is>
          <t>DL_TH_SIEUTHI</t>
        </is>
      </c>
      <c r="H183" s="23" t="inlineStr">
        <is>
          <t>Siêu thị Thanh Hóa</t>
        </is>
      </c>
      <c r="I183" s="23" t="inlineStr">
        <is>
          <t>Thanh Hóa</t>
        </is>
      </c>
      <c r="J183" s="23" t="inlineStr">
        <is>
          <t>Hạc Thành</t>
        </is>
      </c>
      <c r="K183" s="38" t="n">
        <v>19.8076</v>
      </c>
      <c r="L183" s="38" t="n">
        <v>105.77639</v>
      </c>
      <c r="M183" s="39" t="n">
        <v>727</v>
      </c>
      <c r="N183" s="39" t="n">
        <v>907</v>
      </c>
      <c r="O183" s="23" t="inlineStr">
        <is>
          <t>12:07</t>
        </is>
      </c>
      <c r="P183" s="23" t="inlineStr">
        <is>
          <t>15:07</t>
        </is>
      </c>
      <c r="Q183" s="24" t="n">
        <v>45</v>
      </c>
      <c r="R183" s="32" t="n">
        <v>-7727</v>
      </c>
      <c r="S183" s="33" t="n">
        <v>-25.47</v>
      </c>
      <c r="T183" s="23" t="inlineStr">
        <is>
          <t>8T</t>
        </is>
      </c>
      <c r="U183" s="23" t="inlineStr">
        <is>
          <t>5T</t>
        </is>
      </c>
      <c r="V183" s="23" t="inlineStr">
        <is>
          <t>Bắc Trung Bộ</t>
        </is>
      </c>
      <c r="W183" s="23" t="inlineStr">
        <is>
          <t>CR-BẮCT-03</t>
        </is>
      </c>
      <c r="X183" s="23" t="inlineStr">
        <is>
          <t>C - Có thể thương lượng</t>
        </is>
      </c>
      <c r="Y183" s="35" t="n">
        <v>0</v>
      </c>
      <c r="Z183" s="32" t="n">
        <v>80000</v>
      </c>
      <c r="AA183" s="23" t="inlineStr">
        <is>
          <t>Yes</t>
        </is>
      </c>
      <c r="AB183" s="23" t="inlineStr">
        <is>
          <t>2026-06-05</t>
        </is>
      </c>
      <c r="AC183" s="23" t="inlineStr">
        <is>
          <t>Review</t>
        </is>
      </c>
      <c r="AD183" s="23" t="inlineStr">
        <is>
          <t>Delivery paired with same order and same vehicle unless transshipment enabled</t>
        </is>
      </c>
    </row>
    <row r="184" ht="18" customHeight="1" s="17">
      <c r="A184" s="21" t="inlineStr">
        <is>
          <t>S3</t>
        </is>
      </c>
      <c r="B184" s="21" t="inlineStr">
        <is>
          <t>S3-ORD-018</t>
        </is>
      </c>
      <c r="C184" s="21" t="inlineStr">
        <is>
          <t>S3-ORD-018-P</t>
        </is>
      </c>
      <c r="D184" s="21" t="inlineStr">
        <is>
          <t>Pickup</t>
        </is>
      </c>
      <c r="E184" s="21" t="inlineStr">
        <is>
          <t>S3-ORD-018-D</t>
        </is>
      </c>
      <c r="F184" s="21" t="inlineStr">
        <is>
          <t>S3-ORD-018</t>
        </is>
      </c>
      <c r="G184" s="21" t="inlineStr">
        <is>
          <t>PK_LINFOX_VSIP</t>
        </is>
      </c>
      <c r="H184" s="21" t="inlineStr">
        <is>
          <t>Kho Linfox KCN VSIP Bắc Ninh</t>
        </is>
      </c>
      <c r="I184" s="21" t="inlineStr">
        <is>
          <t>Bắc Ninh</t>
        </is>
      </c>
      <c r="J184" s="21" t="inlineStr">
        <is>
          <t>Từ Sơn</t>
        </is>
      </c>
      <c r="K184" s="36" t="n">
        <v>21.082707</v>
      </c>
      <c r="L184" s="36" t="n">
        <v>105.997949</v>
      </c>
      <c r="M184" s="37" t="n">
        <v>480</v>
      </c>
      <c r="N184" s="37" t="n">
        <v>600</v>
      </c>
      <c r="O184" s="21" t="inlineStr">
        <is>
          <t>08:00</t>
        </is>
      </c>
      <c r="P184" s="21" t="inlineStr">
        <is>
          <t>10:00</t>
        </is>
      </c>
      <c r="Q184" s="22" t="n">
        <v>25</v>
      </c>
      <c r="R184" s="28" t="n">
        <v>274</v>
      </c>
      <c r="S184" s="29" t="n">
        <v>4.62</v>
      </c>
      <c r="T184" s="21" t="inlineStr">
        <is>
          <t>1.25T</t>
        </is>
      </c>
      <c r="U184" s="21" t="inlineStr">
        <is>
          <t>1.25T</t>
        </is>
      </c>
      <c r="V184" s="21" t="inlineStr">
        <is>
          <t>Nội thành Hà Nội</t>
        </is>
      </c>
      <c r="W184" s="21" t="inlineStr">
        <is>
          <t>CR-NỘIT-04</t>
        </is>
      </c>
      <c r="X184" s="21" t="inlineStr">
        <is>
          <t>B - Thường</t>
        </is>
      </c>
      <c r="Y184" s="31" t="n">
        <v>850000</v>
      </c>
      <c r="Z184" s="28" t="n">
        <v>80000</v>
      </c>
      <c r="AA184" s="21" t="inlineStr">
        <is>
          <t>Yes</t>
        </is>
      </c>
      <c r="AB184" s="21" t="inlineStr">
        <is>
          <t>2026-06-05</t>
        </is>
      </c>
      <c r="AC184" s="21" t="inlineStr">
        <is>
          <t>Ready</t>
        </is>
      </c>
      <c r="AD184" s="21" t="inlineStr">
        <is>
          <t>Pickup must happen before paired delivery</t>
        </is>
      </c>
    </row>
    <row r="185" ht="18" customHeight="1" s="17">
      <c r="A185" s="23" t="inlineStr">
        <is>
          <t>S3</t>
        </is>
      </c>
      <c r="B185" s="23" t="inlineStr">
        <is>
          <t>S3-ORD-018</t>
        </is>
      </c>
      <c r="C185" s="23" t="inlineStr">
        <is>
          <t>S3-ORD-018-D</t>
        </is>
      </c>
      <c r="D185" s="23" t="inlineStr">
        <is>
          <t>Delivery</t>
        </is>
      </c>
      <c r="E185" s="23" t="inlineStr">
        <is>
          <t>S3-ORD-018-P</t>
        </is>
      </c>
      <c r="F185" s="23" t="inlineStr">
        <is>
          <t>S3-ORD-018</t>
        </is>
      </c>
      <c r="G185" s="23" t="inlineStr">
        <is>
          <t>DL_HN_MINHTUAN</t>
        </is>
      </c>
      <c r="H185" s="23" t="inlineStr">
        <is>
          <t>Minh Tuấn</t>
        </is>
      </c>
      <c r="I185" s="23" t="inlineStr">
        <is>
          <t>Hà Nội</t>
        </is>
      </c>
      <c r="J185" s="23" t="inlineStr">
        <is>
          <t>Hà Nội</t>
        </is>
      </c>
      <c r="K185" s="38" t="n">
        <v>20.954079</v>
      </c>
      <c r="L185" s="38" t="n">
        <v>105.837255</v>
      </c>
      <c r="M185" s="39" t="n">
        <v>681</v>
      </c>
      <c r="N185" s="39" t="n">
        <v>831</v>
      </c>
      <c r="O185" s="23" t="inlineStr">
        <is>
          <t>11:21</t>
        </is>
      </c>
      <c r="P185" s="23" t="inlineStr">
        <is>
          <t>13:51</t>
        </is>
      </c>
      <c r="Q185" s="24" t="n">
        <v>20</v>
      </c>
      <c r="R185" s="32" t="n">
        <v>-274</v>
      </c>
      <c r="S185" s="33" t="n">
        <v>-4.62</v>
      </c>
      <c r="T185" s="23" t="inlineStr">
        <is>
          <t>1.25T</t>
        </is>
      </c>
      <c r="U185" s="23" t="inlineStr">
        <is>
          <t>1.25T</t>
        </is>
      </c>
      <c r="V185" s="23" t="inlineStr">
        <is>
          <t>Nội thành Hà Nội</t>
        </is>
      </c>
      <c r="W185" s="23" t="inlineStr">
        <is>
          <t>CR-NỘIT-04</t>
        </is>
      </c>
      <c r="X185" s="23" t="inlineStr">
        <is>
          <t>B - Thường</t>
        </is>
      </c>
      <c r="Y185" s="35" t="n">
        <v>0</v>
      </c>
      <c r="Z185" s="32" t="n">
        <v>80000</v>
      </c>
      <c r="AA185" s="23" t="inlineStr">
        <is>
          <t>Yes</t>
        </is>
      </c>
      <c r="AB185" s="23" t="inlineStr">
        <is>
          <t>2026-06-05</t>
        </is>
      </c>
      <c r="AC185" s="23" t="inlineStr">
        <is>
          <t>Ready</t>
        </is>
      </c>
      <c r="AD185" s="23" t="inlineStr">
        <is>
          <t>Delivery paired with same order and same vehicle unless transshipment enabled</t>
        </is>
      </c>
    </row>
    <row r="186" ht="18" customHeight="1" s="17">
      <c r="A186" s="21" t="inlineStr">
        <is>
          <t>S3</t>
        </is>
      </c>
      <c r="B186" s="21" t="inlineStr">
        <is>
          <t>S3-ORD-019</t>
        </is>
      </c>
      <c r="C186" s="21" t="inlineStr">
        <is>
          <t>S3-ORD-019-P</t>
        </is>
      </c>
      <c r="D186" s="21" t="inlineStr">
        <is>
          <t>Pickup</t>
        </is>
      </c>
      <c r="E186" s="21" t="inlineStr">
        <is>
          <t>S3-ORD-019-D</t>
        </is>
      </c>
      <c r="F186" s="21" t="inlineStr">
        <is>
          <t>S3-ORD-019</t>
        </is>
      </c>
      <c r="G186" s="21" t="inlineStr">
        <is>
          <t>PK_HPL_LB</t>
        </is>
      </c>
      <c r="H186" s="21" t="inlineStr">
        <is>
          <t>HPL Depot Long Biên - 20 Thạch Bàn</t>
        </is>
      </c>
      <c r="I186" s="21" t="inlineStr">
        <is>
          <t>Hà Nội</t>
        </is>
      </c>
      <c r="J186" s="21" t="inlineStr">
        <is>
          <t>Long Biên</t>
        </is>
      </c>
      <c r="K186" s="36" t="n">
        <v>21.0261548385</v>
      </c>
      <c r="L186" s="36" t="n">
        <v>105.914182238</v>
      </c>
      <c r="M186" s="37" t="n">
        <v>450</v>
      </c>
      <c r="N186" s="37" t="n">
        <v>540</v>
      </c>
      <c r="O186" s="21" t="inlineStr">
        <is>
          <t>07:30</t>
        </is>
      </c>
      <c r="P186" s="21" t="inlineStr">
        <is>
          <t>09:00</t>
        </is>
      </c>
      <c r="Q186" s="22" t="n">
        <v>25</v>
      </c>
      <c r="R186" s="28" t="n">
        <v>301</v>
      </c>
      <c r="S186" s="29" t="n">
        <v>0.7</v>
      </c>
      <c r="T186" s="21" t="inlineStr">
        <is>
          <t>5 tạ</t>
        </is>
      </c>
      <c r="U186" s="21" t="inlineStr">
        <is>
          <t>1.25T</t>
        </is>
      </c>
      <c r="V186" s="21" t="inlineStr">
        <is>
          <t>Nội thành Hà Nội</t>
        </is>
      </c>
      <c r="W186" s="21" t="inlineStr">
        <is>
          <t>CR-NỘIT-05</t>
        </is>
      </c>
      <c r="X186" s="21" t="inlineStr">
        <is>
          <t>C - Có thể thương lượng</t>
        </is>
      </c>
      <c r="Y186" s="31" t="n">
        <v>810000</v>
      </c>
      <c r="Z186" s="28" t="n">
        <v>80000</v>
      </c>
      <c r="AA186" s="21" t="inlineStr">
        <is>
          <t>Yes</t>
        </is>
      </c>
      <c r="AB186" s="21" t="inlineStr">
        <is>
          <t>2026-06-05</t>
        </is>
      </c>
      <c r="AC186" s="21" t="inlineStr">
        <is>
          <t>Ready</t>
        </is>
      </c>
      <c r="AD186" s="21" t="inlineStr">
        <is>
          <t>Pickup must happen before paired delivery</t>
        </is>
      </c>
    </row>
    <row r="187" ht="18" customHeight="1" s="17">
      <c r="A187" s="23" t="inlineStr">
        <is>
          <t>S3</t>
        </is>
      </c>
      <c r="B187" s="23" t="inlineStr">
        <is>
          <t>S3-ORD-019</t>
        </is>
      </c>
      <c r="C187" s="23" t="inlineStr">
        <is>
          <t>S3-ORD-019-D</t>
        </is>
      </c>
      <c r="D187" s="23" t="inlineStr">
        <is>
          <t>Delivery</t>
        </is>
      </c>
      <c r="E187" s="23" t="inlineStr">
        <is>
          <t>S3-ORD-019-P</t>
        </is>
      </c>
      <c r="F187" s="23" t="inlineStr">
        <is>
          <t>S3-ORD-019</t>
        </is>
      </c>
      <c r="G187" s="23" t="inlineStr">
        <is>
          <t>DL_HN_AKJUKY</t>
        </is>
      </c>
      <c r="H187" s="23" t="inlineStr">
        <is>
          <t>AKJUKY</t>
        </is>
      </c>
      <c r="I187" s="23" t="inlineStr">
        <is>
          <t>Hà Nội</t>
        </is>
      </c>
      <c r="J187" s="23" t="inlineStr">
        <is>
          <t>Long Biên</t>
        </is>
      </c>
      <c r="K187" s="38" t="n">
        <v>21.063695</v>
      </c>
      <c r="L187" s="38" t="n">
        <v>105.889986</v>
      </c>
      <c r="M187" s="39" t="n">
        <v>575</v>
      </c>
      <c r="N187" s="39" t="n">
        <v>665</v>
      </c>
      <c r="O187" s="23" t="inlineStr">
        <is>
          <t>09:35</t>
        </is>
      </c>
      <c r="P187" s="23" t="inlineStr">
        <is>
          <t>11:05</t>
        </is>
      </c>
      <c r="Q187" s="24" t="n">
        <v>20</v>
      </c>
      <c r="R187" s="32" t="n">
        <v>-301</v>
      </c>
      <c r="S187" s="33" t="n">
        <v>-0.7</v>
      </c>
      <c r="T187" s="23" t="inlineStr">
        <is>
          <t>5 tạ</t>
        </is>
      </c>
      <c r="U187" s="23" t="inlineStr">
        <is>
          <t>1.25T</t>
        </is>
      </c>
      <c r="V187" s="23" t="inlineStr">
        <is>
          <t>Nội thành Hà Nội</t>
        </is>
      </c>
      <c r="W187" s="23" t="inlineStr">
        <is>
          <t>CR-NỘIT-05</t>
        </is>
      </c>
      <c r="X187" s="23" t="inlineStr">
        <is>
          <t>C - Có thể thương lượng</t>
        </is>
      </c>
      <c r="Y187" s="35" t="n">
        <v>0</v>
      </c>
      <c r="Z187" s="32" t="n">
        <v>80000</v>
      </c>
      <c r="AA187" s="23" t="inlineStr">
        <is>
          <t>Yes</t>
        </is>
      </c>
      <c r="AB187" s="23" t="inlineStr">
        <is>
          <t>2026-06-05</t>
        </is>
      </c>
      <c r="AC187" s="23" t="inlineStr">
        <is>
          <t>Ready</t>
        </is>
      </c>
      <c r="AD187" s="23" t="inlineStr">
        <is>
          <t>Delivery paired with same order and same vehicle unless transshipment enabled</t>
        </is>
      </c>
    </row>
    <row r="188" ht="18" customHeight="1" s="17">
      <c r="A188" s="21" t="inlineStr">
        <is>
          <t>S3</t>
        </is>
      </c>
      <c r="B188" s="21" t="inlineStr">
        <is>
          <t>S3-ORD-020</t>
        </is>
      </c>
      <c r="C188" s="21" t="inlineStr">
        <is>
          <t>S3-ORD-020-P</t>
        </is>
      </c>
      <c r="D188" s="21" t="inlineStr">
        <is>
          <t>Pickup</t>
        </is>
      </c>
      <c r="E188" s="21" t="inlineStr">
        <is>
          <t>S3-ORD-020-D</t>
        </is>
      </c>
      <c r="F188" s="21" t="inlineStr">
        <is>
          <t>S3-ORD-020</t>
        </is>
      </c>
      <c r="G188" s="21" t="inlineStr">
        <is>
          <t>PK_HY_MYHAO</t>
        </is>
      </c>
      <c r="H188" s="21" t="inlineStr">
        <is>
          <t>Kho/Nhà máy khách hàng Mỹ Hào</t>
        </is>
      </c>
      <c r="I188" s="21" t="inlineStr">
        <is>
          <t>Hưng Yên</t>
        </is>
      </c>
      <c r="J188" s="21" t="inlineStr">
        <is>
          <t>Mỹ Hào</t>
        </is>
      </c>
      <c r="K188" s="36" t="n">
        <v>20.9329</v>
      </c>
      <c r="L188" s="36" t="n">
        <v>106.065</v>
      </c>
      <c r="M188" s="37" t="n">
        <v>450</v>
      </c>
      <c r="N188" s="37" t="n">
        <v>570</v>
      </c>
      <c r="O188" s="21" t="inlineStr">
        <is>
          <t>07:30</t>
        </is>
      </c>
      <c r="P188" s="21" t="inlineStr">
        <is>
          <t>09:30</t>
        </is>
      </c>
      <c r="Q188" s="22" t="n">
        <v>25</v>
      </c>
      <c r="R188" s="28" t="n">
        <v>783</v>
      </c>
      <c r="S188" s="29" t="n">
        <v>2.1</v>
      </c>
      <c r="T188" s="21" t="inlineStr">
        <is>
          <t>1.25T</t>
        </is>
      </c>
      <c r="U188" s="21" t="inlineStr">
        <is>
          <t>1.25T</t>
        </is>
      </c>
      <c r="V188" s="21" t="inlineStr">
        <is>
          <t>Nội thành Hà Nội</t>
        </is>
      </c>
      <c r="W188" s="21" t="inlineStr">
        <is>
          <t>CR-NỘIT-01</t>
        </is>
      </c>
      <c r="X188" s="21" t="inlineStr">
        <is>
          <t>C - Có thể thương lượng</t>
        </is>
      </c>
      <c r="Y188" s="31" t="n">
        <v>610000</v>
      </c>
      <c r="Z188" s="28" t="n">
        <v>80000</v>
      </c>
      <c r="AA188" s="21" t="inlineStr">
        <is>
          <t>Yes</t>
        </is>
      </c>
      <c r="AB188" s="21" t="inlineStr">
        <is>
          <t>2026-06-05</t>
        </is>
      </c>
      <c r="AC188" s="21" t="inlineStr">
        <is>
          <t>Ready</t>
        </is>
      </c>
      <c r="AD188" s="21" t="inlineStr">
        <is>
          <t>Pickup must happen before paired delivery</t>
        </is>
      </c>
    </row>
    <row r="189" ht="18" customHeight="1" s="17">
      <c r="A189" s="23" t="inlineStr">
        <is>
          <t>S3</t>
        </is>
      </c>
      <c r="B189" s="23" t="inlineStr">
        <is>
          <t>S3-ORD-020</t>
        </is>
      </c>
      <c r="C189" s="23" t="inlineStr">
        <is>
          <t>S3-ORD-020-D</t>
        </is>
      </c>
      <c r="D189" s="23" t="inlineStr">
        <is>
          <t>Delivery</t>
        </is>
      </c>
      <c r="E189" s="23" t="inlineStr">
        <is>
          <t>S3-ORD-020-P</t>
        </is>
      </c>
      <c r="F189" s="23" t="inlineStr">
        <is>
          <t>S3-ORD-020</t>
        </is>
      </c>
      <c r="G189" s="23" t="inlineStr">
        <is>
          <t>DL_HN_VUTRONGPHUNG</t>
        </is>
      </c>
      <c r="H189" s="23" t="inlineStr">
        <is>
          <t>VINMART Vũ Trọng Phụng</t>
        </is>
      </c>
      <c r="I189" s="23" t="inlineStr">
        <is>
          <t>Hà Nội</t>
        </is>
      </c>
      <c r="J189" s="23" t="inlineStr">
        <is>
          <t>Thanh Xuân</t>
        </is>
      </c>
      <c r="K189" s="38" t="n">
        <v>20.997621</v>
      </c>
      <c r="L189" s="38" t="n">
        <v>105.809443</v>
      </c>
      <c r="M189" s="39" t="n">
        <v>510</v>
      </c>
      <c r="N189" s="39" t="n">
        <v>600</v>
      </c>
      <c r="O189" s="23" t="inlineStr">
        <is>
          <t>08:30</t>
        </is>
      </c>
      <c r="P189" s="23" t="inlineStr">
        <is>
          <t>10:00</t>
        </is>
      </c>
      <c r="Q189" s="24" t="n">
        <v>20</v>
      </c>
      <c r="R189" s="32" t="n">
        <v>-783</v>
      </c>
      <c r="S189" s="33" t="n">
        <v>-2.1</v>
      </c>
      <c r="T189" s="23" t="inlineStr">
        <is>
          <t>1.25T</t>
        </is>
      </c>
      <c r="U189" s="23" t="inlineStr">
        <is>
          <t>1.25T</t>
        </is>
      </c>
      <c r="V189" s="23" t="inlineStr">
        <is>
          <t>Nội thành Hà Nội</t>
        </is>
      </c>
      <c r="W189" s="23" t="inlineStr">
        <is>
          <t>CR-NỘIT-01</t>
        </is>
      </c>
      <c r="X189" s="23" t="inlineStr">
        <is>
          <t>C - Có thể thương lượng</t>
        </is>
      </c>
      <c r="Y189" s="35" t="n">
        <v>0</v>
      </c>
      <c r="Z189" s="32" t="n">
        <v>80000</v>
      </c>
      <c r="AA189" s="23" t="inlineStr">
        <is>
          <t>Yes</t>
        </is>
      </c>
      <c r="AB189" s="23" t="inlineStr">
        <is>
          <t>2026-06-05</t>
        </is>
      </c>
      <c r="AC189" s="23" t="inlineStr">
        <is>
          <t>Ready</t>
        </is>
      </c>
      <c r="AD189" s="23" t="inlineStr">
        <is>
          <t>Delivery paired with same order and same vehicle unless transshipment enabled</t>
        </is>
      </c>
    </row>
    <row r="190" ht="18" customHeight="1" s="17">
      <c r="A190" s="21" t="inlineStr">
        <is>
          <t>S3</t>
        </is>
      </c>
      <c r="B190" s="21" t="inlineStr">
        <is>
          <t>S3-ORD-021</t>
        </is>
      </c>
      <c r="C190" s="21" t="inlineStr">
        <is>
          <t>S3-ORD-021-P</t>
        </is>
      </c>
      <c r="D190" s="21" t="inlineStr">
        <is>
          <t>Pickup</t>
        </is>
      </c>
      <c r="E190" s="21" t="inlineStr">
        <is>
          <t>S3-ORD-021-D</t>
        </is>
      </c>
      <c r="F190" s="21" t="inlineStr">
        <is>
          <t>S3-ORD-021</t>
        </is>
      </c>
      <c r="G190" s="21" t="inlineStr">
        <is>
          <t>PK_HP_DINHVU</t>
        </is>
      </c>
      <c r="H190" s="21" t="inlineStr">
        <is>
          <t>Kho Hải Phòng - Đình Vũ</t>
        </is>
      </c>
      <c r="I190" s="21" t="inlineStr">
        <is>
          <t>Hải Phòng</t>
        </is>
      </c>
      <c r="J190" s="21" t="inlineStr">
        <is>
          <t>Hải An</t>
        </is>
      </c>
      <c r="K190" s="36" t="n">
        <v>20.8425</v>
      </c>
      <c r="L190" s="36" t="n">
        <v>106.77</v>
      </c>
      <c r="M190" s="37" t="n">
        <v>540</v>
      </c>
      <c r="N190" s="37" t="n">
        <v>660</v>
      </c>
      <c r="O190" s="21" t="inlineStr">
        <is>
          <t>09:00</t>
        </is>
      </c>
      <c r="P190" s="21" t="inlineStr">
        <is>
          <t>11:00</t>
        </is>
      </c>
      <c r="Q190" s="22" t="n">
        <v>40</v>
      </c>
      <c r="R190" s="28" t="n">
        <v>4727</v>
      </c>
      <c r="S190" s="29" t="n">
        <v>8.359999999999999</v>
      </c>
      <c r="T190" s="21" t="inlineStr">
        <is>
          <t>5T</t>
        </is>
      </c>
      <c r="U190" s="21" t="inlineStr">
        <is>
          <t>5T</t>
        </is>
      </c>
      <c r="V190" s="21" t="inlineStr">
        <is>
          <t>Đông Bắc</t>
        </is>
      </c>
      <c r="W190" s="21" t="inlineStr">
        <is>
          <t>CR-ĐÔNG-02</t>
        </is>
      </c>
      <c r="X190" s="21" t="inlineStr">
        <is>
          <t>B - Thường</t>
        </is>
      </c>
      <c r="Y190" s="31" t="n">
        <v>890000</v>
      </c>
      <c r="Z190" s="28" t="n">
        <v>80000</v>
      </c>
      <c r="AA190" s="21" t="inlineStr">
        <is>
          <t>Yes</t>
        </is>
      </c>
      <c r="AB190" s="21" t="inlineStr">
        <is>
          <t>2026-06-05</t>
        </is>
      </c>
      <c r="AC190" s="21" t="inlineStr">
        <is>
          <t>Ready</t>
        </is>
      </c>
      <c r="AD190" s="21" t="inlineStr">
        <is>
          <t>Pickup must happen before paired delivery</t>
        </is>
      </c>
    </row>
    <row r="191" ht="18" customHeight="1" s="17">
      <c r="A191" s="23" t="inlineStr">
        <is>
          <t>S3</t>
        </is>
      </c>
      <c r="B191" s="23" t="inlineStr">
        <is>
          <t>S3-ORD-021</t>
        </is>
      </c>
      <c r="C191" s="23" t="inlineStr">
        <is>
          <t>S3-ORD-021-D</t>
        </is>
      </c>
      <c r="D191" s="23" t="inlineStr">
        <is>
          <t>Delivery</t>
        </is>
      </c>
      <c r="E191" s="23" t="inlineStr">
        <is>
          <t>S3-ORD-021-P</t>
        </is>
      </c>
      <c r="F191" s="23" t="inlineStr">
        <is>
          <t>S3-ORD-021</t>
        </is>
      </c>
      <c r="G191" s="23" t="inlineStr">
        <is>
          <t>DL_HP_SIEUTHI</t>
        </is>
      </c>
      <c r="H191" s="23" t="inlineStr">
        <is>
          <t>Siêu thị Hải Phòng</t>
        </is>
      </c>
      <c r="I191" s="23" t="inlineStr">
        <is>
          <t>Hải Phòng</t>
        </is>
      </c>
      <c r="J191" s="23" t="inlineStr">
        <is>
          <t>Gia Viên</t>
        </is>
      </c>
      <c r="K191" s="38" t="n">
        <v>20.84442</v>
      </c>
      <c r="L191" s="38" t="n">
        <v>106.7011</v>
      </c>
      <c r="M191" s="39" t="n">
        <v>646</v>
      </c>
      <c r="N191" s="39" t="n">
        <v>736</v>
      </c>
      <c r="O191" s="23" t="inlineStr">
        <is>
          <t>10:46</t>
        </is>
      </c>
      <c r="P191" s="23" t="inlineStr">
        <is>
          <t>12:16</t>
        </is>
      </c>
      <c r="Q191" s="24" t="n">
        <v>45</v>
      </c>
      <c r="R191" s="32" t="n">
        <v>-4727</v>
      </c>
      <c r="S191" s="33" t="n">
        <v>-8.359999999999999</v>
      </c>
      <c r="T191" s="23" t="inlineStr">
        <is>
          <t>5T</t>
        </is>
      </c>
      <c r="U191" s="23" t="inlineStr">
        <is>
          <t>5T</t>
        </is>
      </c>
      <c r="V191" s="23" t="inlineStr">
        <is>
          <t>Đông Bắc</t>
        </is>
      </c>
      <c r="W191" s="23" t="inlineStr">
        <is>
          <t>CR-ĐÔNG-02</t>
        </is>
      </c>
      <c r="X191" s="23" t="inlineStr">
        <is>
          <t>B - Thường</t>
        </is>
      </c>
      <c r="Y191" s="35" t="n">
        <v>0</v>
      </c>
      <c r="Z191" s="32" t="n">
        <v>80000</v>
      </c>
      <c r="AA191" s="23" t="inlineStr">
        <is>
          <t>Yes</t>
        </is>
      </c>
      <c r="AB191" s="23" t="inlineStr">
        <is>
          <t>2026-06-05</t>
        </is>
      </c>
      <c r="AC191" s="23" t="inlineStr">
        <is>
          <t>Ready</t>
        </is>
      </c>
      <c r="AD191" s="23" t="inlineStr">
        <is>
          <t>Delivery paired with same order and same vehicle unless transshipment enabled</t>
        </is>
      </c>
    </row>
    <row r="192" ht="18" customHeight="1" s="17">
      <c r="A192" s="21" t="inlineStr">
        <is>
          <t>S3</t>
        </is>
      </c>
      <c r="B192" s="21" t="inlineStr">
        <is>
          <t>S3-ORD-022</t>
        </is>
      </c>
      <c r="C192" s="21" t="inlineStr">
        <is>
          <t>S3-ORD-022-P</t>
        </is>
      </c>
      <c r="D192" s="21" t="inlineStr">
        <is>
          <t>Pickup</t>
        </is>
      </c>
      <c r="E192" s="21" t="inlineStr">
        <is>
          <t>S3-ORD-022-D</t>
        </is>
      </c>
      <c r="F192" s="21" t="inlineStr">
        <is>
          <t>S3-ORD-022</t>
        </is>
      </c>
      <c r="G192" s="21" t="inlineStr">
        <is>
          <t>PK_TH_QX</t>
        </is>
      </c>
      <c r="H192" s="21" t="inlineStr">
        <is>
          <t>Kho DC Thanh Hóa - Quảng Xương</t>
        </is>
      </c>
      <c r="I192" s="21" t="inlineStr">
        <is>
          <t>Thanh Hóa</t>
        </is>
      </c>
      <c r="J192" s="21" t="inlineStr">
        <is>
          <t>Quảng Xương</t>
        </is>
      </c>
      <c r="K192" s="36" t="n">
        <v>19.731</v>
      </c>
      <c r="L192" s="36" t="n">
        <v>105.815</v>
      </c>
      <c r="M192" s="37" t="n">
        <v>450</v>
      </c>
      <c r="N192" s="37" t="n">
        <v>540</v>
      </c>
      <c r="O192" s="21" t="inlineStr">
        <is>
          <t>07:30</t>
        </is>
      </c>
      <c r="P192" s="21" t="inlineStr">
        <is>
          <t>09:00</t>
        </is>
      </c>
      <c r="Q192" s="22" t="n">
        <v>40</v>
      </c>
      <c r="R192" s="28" t="n">
        <v>6414</v>
      </c>
      <c r="S192" s="29" t="n">
        <v>17.74</v>
      </c>
      <c r="T192" s="21" t="inlineStr">
        <is>
          <t>8T</t>
        </is>
      </c>
      <c r="U192" s="21" t="inlineStr">
        <is>
          <t>8T</t>
        </is>
      </c>
      <c r="V192" s="21" t="inlineStr">
        <is>
          <t>Bắc Trung Bộ</t>
        </is>
      </c>
      <c r="W192" s="21" t="inlineStr">
        <is>
          <t>CR-BẮCT-03</t>
        </is>
      </c>
      <c r="X192" s="21" t="inlineStr">
        <is>
          <t>B - Thường</t>
        </is>
      </c>
      <c r="Y192" s="31" t="n">
        <v>6600000</v>
      </c>
      <c r="Z192" s="28" t="n">
        <v>80000</v>
      </c>
      <c r="AA192" s="21" t="inlineStr">
        <is>
          <t>Yes</t>
        </is>
      </c>
      <c r="AB192" s="21" t="inlineStr">
        <is>
          <t>2026-06-05</t>
        </is>
      </c>
      <c r="AC192" s="21" t="inlineStr">
        <is>
          <t>Ready</t>
        </is>
      </c>
      <c r="AD192" s="21" t="inlineStr">
        <is>
          <t>Pickup must happen before paired delivery</t>
        </is>
      </c>
    </row>
    <row r="193" ht="18" customHeight="1" s="17">
      <c r="A193" s="23" t="inlineStr">
        <is>
          <t>S3</t>
        </is>
      </c>
      <c r="B193" s="23" t="inlineStr">
        <is>
          <t>S3-ORD-022</t>
        </is>
      </c>
      <c r="C193" s="23" t="inlineStr">
        <is>
          <t>S3-ORD-022-D</t>
        </is>
      </c>
      <c r="D193" s="23" t="inlineStr">
        <is>
          <t>Delivery</t>
        </is>
      </c>
      <c r="E193" s="23" t="inlineStr">
        <is>
          <t>S3-ORD-022-P</t>
        </is>
      </c>
      <c r="F193" s="23" t="inlineStr">
        <is>
          <t>S3-ORD-022</t>
        </is>
      </c>
      <c r="G193" s="23" t="inlineStr">
        <is>
          <t>DL_NA_MM_VINH</t>
        </is>
      </c>
      <c r="H193" s="23" t="inlineStr">
        <is>
          <t>MM Vinh</t>
        </is>
      </c>
      <c r="I193" s="23" t="inlineStr">
        <is>
          <t>Nghệ An</t>
        </is>
      </c>
      <c r="J193" s="23" t="inlineStr">
        <is>
          <t>Vinh</t>
        </is>
      </c>
      <c r="K193" s="38" t="n">
        <v>18.68052</v>
      </c>
      <c r="L193" s="38" t="n">
        <v>105.68133</v>
      </c>
      <c r="M193" s="39" t="n">
        <v>757</v>
      </c>
      <c r="N193" s="39" t="n">
        <v>877</v>
      </c>
      <c r="O193" s="23" t="inlineStr">
        <is>
          <t>12:37</t>
        </is>
      </c>
      <c r="P193" s="23" t="inlineStr">
        <is>
          <t>14:37</t>
        </is>
      </c>
      <c r="Q193" s="24" t="n">
        <v>45</v>
      </c>
      <c r="R193" s="32" t="n">
        <v>-6414</v>
      </c>
      <c r="S193" s="33" t="n">
        <v>-17.74</v>
      </c>
      <c r="T193" s="23" t="inlineStr">
        <is>
          <t>8T</t>
        </is>
      </c>
      <c r="U193" s="23" t="inlineStr">
        <is>
          <t>8T</t>
        </is>
      </c>
      <c r="V193" s="23" t="inlineStr">
        <is>
          <t>Bắc Trung Bộ</t>
        </is>
      </c>
      <c r="W193" s="23" t="inlineStr">
        <is>
          <t>CR-BẮCT-03</t>
        </is>
      </c>
      <c r="X193" s="23" t="inlineStr">
        <is>
          <t>B - Thường</t>
        </is>
      </c>
      <c r="Y193" s="35" t="n">
        <v>0</v>
      </c>
      <c r="Z193" s="32" t="n">
        <v>80000</v>
      </c>
      <c r="AA193" s="23" t="inlineStr">
        <is>
          <t>Yes</t>
        </is>
      </c>
      <c r="AB193" s="23" t="inlineStr">
        <is>
          <t>2026-06-05</t>
        </is>
      </c>
      <c r="AC193" s="23" t="inlineStr">
        <is>
          <t>Ready</t>
        </is>
      </c>
      <c r="AD193" s="23" t="inlineStr">
        <is>
          <t>Delivery paired with same order and same vehicle unless transshipment enabled</t>
        </is>
      </c>
    </row>
    <row r="194" ht="18" customHeight="1" s="17">
      <c r="A194" s="21" t="inlineStr">
        <is>
          <t>S3</t>
        </is>
      </c>
      <c r="B194" s="21" t="inlineStr">
        <is>
          <t>S3-ORD-023</t>
        </is>
      </c>
      <c r="C194" s="21" t="inlineStr">
        <is>
          <t>S3-ORD-023-P</t>
        </is>
      </c>
      <c r="D194" s="21" t="inlineStr">
        <is>
          <t>Pickup</t>
        </is>
      </c>
      <c r="E194" s="21" t="inlineStr">
        <is>
          <t>S3-ORD-023-D</t>
        </is>
      </c>
      <c r="F194" s="21" t="inlineStr">
        <is>
          <t>S3-ORD-023</t>
        </is>
      </c>
      <c r="G194" s="21" t="inlineStr">
        <is>
          <t>PK_HY_MYHAO</t>
        </is>
      </c>
      <c r="H194" s="21" t="inlineStr">
        <is>
          <t>Kho/Nhà máy khách hàng Mỹ Hào</t>
        </is>
      </c>
      <c r="I194" s="21" t="inlineStr">
        <is>
          <t>Hưng Yên</t>
        </is>
      </c>
      <c r="J194" s="21" t="inlineStr">
        <is>
          <t>Mỹ Hào</t>
        </is>
      </c>
      <c r="K194" s="36" t="n">
        <v>20.9329</v>
      </c>
      <c r="L194" s="36" t="n">
        <v>106.065</v>
      </c>
      <c r="M194" s="37" t="n">
        <v>480</v>
      </c>
      <c r="N194" s="37" t="n">
        <v>630</v>
      </c>
      <c r="O194" s="21" t="inlineStr">
        <is>
          <t>08:00</t>
        </is>
      </c>
      <c r="P194" s="21" t="inlineStr">
        <is>
          <t>10:30</t>
        </is>
      </c>
      <c r="Q194" s="22" t="n">
        <v>25</v>
      </c>
      <c r="R194" s="28" t="n">
        <v>1034</v>
      </c>
      <c r="S194" s="29" t="n">
        <v>2.72</v>
      </c>
      <c r="T194" s="21" t="inlineStr">
        <is>
          <t>1.25T</t>
        </is>
      </c>
      <c r="U194" s="21" t="inlineStr">
        <is>
          <t>1.25T</t>
        </is>
      </c>
      <c r="V194" s="21" t="inlineStr">
        <is>
          <t>Nội thành Hà Nội</t>
        </is>
      </c>
      <c r="W194" s="21" t="inlineStr">
        <is>
          <t>CR-NỘIT-04</t>
        </is>
      </c>
      <c r="X194" s="21" t="inlineStr">
        <is>
          <t>A - SLA chặt</t>
        </is>
      </c>
      <c r="Y194" s="31" t="n">
        <v>650000</v>
      </c>
      <c r="Z194" s="28" t="n">
        <v>150000</v>
      </c>
      <c r="AA194" s="21" t="inlineStr">
        <is>
          <t>Yes</t>
        </is>
      </c>
      <c r="AB194" s="21" t="inlineStr">
        <is>
          <t>2026-06-05</t>
        </is>
      </c>
      <c r="AC194" s="21" t="inlineStr">
        <is>
          <t>Ready</t>
        </is>
      </c>
      <c r="AD194" s="21" t="inlineStr">
        <is>
          <t>Pickup must happen before paired delivery</t>
        </is>
      </c>
    </row>
    <row r="195" ht="18" customHeight="1" s="17">
      <c r="A195" s="23" t="inlineStr">
        <is>
          <t>S3</t>
        </is>
      </c>
      <c r="B195" s="23" t="inlineStr">
        <is>
          <t>S3-ORD-023</t>
        </is>
      </c>
      <c r="C195" s="23" t="inlineStr">
        <is>
          <t>S3-ORD-023-D</t>
        </is>
      </c>
      <c r="D195" s="23" t="inlineStr">
        <is>
          <t>Delivery</t>
        </is>
      </c>
      <c r="E195" s="23" t="inlineStr">
        <is>
          <t>S3-ORD-023-P</t>
        </is>
      </c>
      <c r="F195" s="23" t="inlineStr">
        <is>
          <t>S3-ORD-023</t>
        </is>
      </c>
      <c r="G195" s="23" t="inlineStr">
        <is>
          <t>DL_HN_NAMDUONG</t>
        </is>
      </c>
      <c r="H195" s="23" t="inlineStr">
        <is>
          <t>Nam Dương</t>
        </is>
      </c>
      <c r="I195" s="23" t="inlineStr">
        <is>
          <t>Hà Nội</t>
        </is>
      </c>
      <c r="J195" s="23" t="inlineStr">
        <is>
          <t>Hà Nội</t>
        </is>
      </c>
      <c r="K195" s="38" t="n">
        <v>21.062911</v>
      </c>
      <c r="L195" s="38" t="n">
        <v>105.832351</v>
      </c>
      <c r="M195" s="39" t="n">
        <v>687</v>
      </c>
      <c r="N195" s="39" t="n">
        <v>867</v>
      </c>
      <c r="O195" s="23" t="inlineStr">
        <is>
          <t>11:27</t>
        </is>
      </c>
      <c r="P195" s="23" t="inlineStr">
        <is>
          <t>14:27</t>
        </is>
      </c>
      <c r="Q195" s="24" t="n">
        <v>20</v>
      </c>
      <c r="R195" s="32" t="n">
        <v>-1034</v>
      </c>
      <c r="S195" s="33" t="n">
        <v>-2.72</v>
      </c>
      <c r="T195" s="23" t="inlineStr">
        <is>
          <t>1.25T</t>
        </is>
      </c>
      <c r="U195" s="23" t="inlineStr">
        <is>
          <t>1.25T</t>
        </is>
      </c>
      <c r="V195" s="23" t="inlineStr">
        <is>
          <t>Nội thành Hà Nội</t>
        </is>
      </c>
      <c r="W195" s="23" t="inlineStr">
        <is>
          <t>CR-NỘIT-04</t>
        </is>
      </c>
      <c r="X195" s="23" t="inlineStr">
        <is>
          <t>A - SLA chặt</t>
        </is>
      </c>
      <c r="Y195" s="35" t="n">
        <v>0</v>
      </c>
      <c r="Z195" s="32" t="n">
        <v>150000</v>
      </c>
      <c r="AA195" s="23" t="inlineStr">
        <is>
          <t>Yes</t>
        </is>
      </c>
      <c r="AB195" s="23" t="inlineStr">
        <is>
          <t>2026-06-05</t>
        </is>
      </c>
      <c r="AC195" s="23" t="inlineStr">
        <is>
          <t>Ready</t>
        </is>
      </c>
      <c r="AD195" s="23" t="inlineStr">
        <is>
          <t>Delivery paired with same order and same vehicle unless transshipment enabled</t>
        </is>
      </c>
    </row>
    <row r="196" ht="18" customHeight="1" s="17">
      <c r="A196" s="21" t="inlineStr">
        <is>
          <t>S3</t>
        </is>
      </c>
      <c r="B196" s="21" t="inlineStr">
        <is>
          <t>S3-ORD-024</t>
        </is>
      </c>
      <c r="C196" s="21" t="inlineStr">
        <is>
          <t>S3-ORD-024-P</t>
        </is>
      </c>
      <c r="D196" s="21" t="inlineStr">
        <is>
          <t>Pickup</t>
        </is>
      </c>
      <c r="E196" s="21" t="inlineStr">
        <is>
          <t>S3-ORD-024-D</t>
        </is>
      </c>
      <c r="F196" s="21" t="inlineStr">
        <is>
          <t>S3-ORD-024</t>
        </is>
      </c>
      <c r="G196" s="21" t="inlineStr">
        <is>
          <t>PK_HY_MYHAO</t>
        </is>
      </c>
      <c r="H196" s="21" t="inlineStr">
        <is>
          <t>Kho/Nhà máy khách hàng Mỹ Hào</t>
        </is>
      </c>
      <c r="I196" s="21" t="inlineStr">
        <is>
          <t>Hưng Yên</t>
        </is>
      </c>
      <c r="J196" s="21" t="inlineStr">
        <is>
          <t>Mỹ Hào</t>
        </is>
      </c>
      <c r="K196" s="36" t="n">
        <v>20.9329</v>
      </c>
      <c r="L196" s="36" t="n">
        <v>106.065</v>
      </c>
      <c r="M196" s="37" t="n">
        <v>510</v>
      </c>
      <c r="N196" s="37" t="n">
        <v>630</v>
      </c>
      <c r="O196" s="21" t="inlineStr">
        <is>
          <t>08:30</t>
        </is>
      </c>
      <c r="P196" s="21" t="inlineStr">
        <is>
          <t>10:30</t>
        </is>
      </c>
      <c r="Q196" s="22" t="n">
        <v>40</v>
      </c>
      <c r="R196" s="28" t="n">
        <v>2215</v>
      </c>
      <c r="S196" s="29" t="n">
        <v>22.3</v>
      </c>
      <c r="T196" s="21" t="inlineStr">
        <is>
          <t>5T</t>
        </is>
      </c>
      <c r="U196" s="21" t="inlineStr">
        <is>
          <t>1.25T</t>
        </is>
      </c>
      <c r="V196" s="21" t="inlineStr">
        <is>
          <t>Nội thành Hà Nội</t>
        </is>
      </c>
      <c r="W196" s="21" t="inlineStr">
        <is>
          <t>CR-NỘIT-05</t>
        </is>
      </c>
      <c r="X196" s="21" t="inlineStr">
        <is>
          <t>C - Có thể thương lượng</t>
        </is>
      </c>
      <c r="Y196" s="31" t="n">
        <v>1260000</v>
      </c>
      <c r="Z196" s="28" t="n">
        <v>80000</v>
      </c>
      <c r="AA196" s="21" t="inlineStr">
        <is>
          <t>Yes</t>
        </is>
      </c>
      <c r="AB196" s="21" t="inlineStr">
        <is>
          <t>2026-06-05</t>
        </is>
      </c>
      <c r="AC196" s="21" t="inlineStr">
        <is>
          <t>Review</t>
        </is>
      </c>
      <c r="AD196" s="21" t="inlineStr">
        <is>
          <t>Pickup must happen before paired delivery</t>
        </is>
      </c>
    </row>
    <row r="197" ht="18" customHeight="1" s="17">
      <c r="A197" s="23" t="inlineStr">
        <is>
          <t>S3</t>
        </is>
      </c>
      <c r="B197" s="23" t="inlineStr">
        <is>
          <t>S3-ORD-024</t>
        </is>
      </c>
      <c r="C197" s="23" t="inlineStr">
        <is>
          <t>S3-ORD-024-D</t>
        </is>
      </c>
      <c r="D197" s="23" t="inlineStr">
        <is>
          <t>Delivery</t>
        </is>
      </c>
      <c r="E197" s="23" t="inlineStr">
        <is>
          <t>S3-ORD-024-P</t>
        </is>
      </c>
      <c r="F197" s="23" t="inlineStr">
        <is>
          <t>S3-ORD-024</t>
        </is>
      </c>
      <c r="G197" s="23" t="inlineStr">
        <is>
          <t>DL_HN_VUTRONGPHUNG</t>
        </is>
      </c>
      <c r="H197" s="23" t="inlineStr">
        <is>
          <t>VINMART Vũ Trọng Phụng</t>
        </is>
      </c>
      <c r="I197" s="23" t="inlineStr">
        <is>
          <t>Hà Nội</t>
        </is>
      </c>
      <c r="J197" s="23" t="inlineStr">
        <is>
          <t>Thanh Xuân</t>
        </is>
      </c>
      <c r="K197" s="38" t="n">
        <v>20.997621</v>
      </c>
      <c r="L197" s="38" t="n">
        <v>105.809443</v>
      </c>
      <c r="M197" s="39" t="n">
        <v>586</v>
      </c>
      <c r="N197" s="39" t="n">
        <v>736</v>
      </c>
      <c r="O197" s="23" t="inlineStr">
        <is>
          <t>09:46</t>
        </is>
      </c>
      <c r="P197" s="23" t="inlineStr">
        <is>
          <t>12:16</t>
        </is>
      </c>
      <c r="Q197" s="24" t="n">
        <v>35</v>
      </c>
      <c r="R197" s="32" t="n">
        <v>-2215</v>
      </c>
      <c r="S197" s="33" t="n">
        <v>-22.3</v>
      </c>
      <c r="T197" s="23" t="inlineStr">
        <is>
          <t>5T</t>
        </is>
      </c>
      <c r="U197" s="23" t="inlineStr">
        <is>
          <t>1.25T</t>
        </is>
      </c>
      <c r="V197" s="23" t="inlineStr">
        <is>
          <t>Nội thành Hà Nội</t>
        </is>
      </c>
      <c r="W197" s="23" t="inlineStr">
        <is>
          <t>CR-NỘIT-05</t>
        </is>
      </c>
      <c r="X197" s="23" t="inlineStr">
        <is>
          <t>C - Có thể thương lượng</t>
        </is>
      </c>
      <c r="Y197" s="35" t="n">
        <v>0</v>
      </c>
      <c r="Z197" s="32" t="n">
        <v>80000</v>
      </c>
      <c r="AA197" s="23" t="inlineStr">
        <is>
          <t>Yes</t>
        </is>
      </c>
      <c r="AB197" s="23" t="inlineStr">
        <is>
          <t>2026-06-05</t>
        </is>
      </c>
      <c r="AC197" s="23" t="inlineStr">
        <is>
          <t>Review</t>
        </is>
      </c>
      <c r="AD197" s="23" t="inlineStr">
        <is>
          <t>Delivery paired with same order and same vehicle unless transshipment enabled</t>
        </is>
      </c>
    </row>
    <row r="198" ht="18" customHeight="1" s="17">
      <c r="A198" s="21" t="inlineStr">
        <is>
          <t>S3</t>
        </is>
      </c>
      <c r="B198" s="21" t="inlineStr">
        <is>
          <t>S3-ORD-025</t>
        </is>
      </c>
      <c r="C198" s="21" t="inlineStr">
        <is>
          <t>S3-ORD-025-P</t>
        </is>
      </c>
      <c r="D198" s="21" t="inlineStr">
        <is>
          <t>Pickup</t>
        </is>
      </c>
      <c r="E198" s="21" t="inlineStr">
        <is>
          <t>S3-ORD-025-D</t>
        </is>
      </c>
      <c r="F198" s="21" t="inlineStr">
        <is>
          <t>S3-ORD-025</t>
        </is>
      </c>
      <c r="G198" s="21" t="inlineStr">
        <is>
          <t>PK_LINFOX_VSIP</t>
        </is>
      </c>
      <c r="H198" s="21" t="inlineStr">
        <is>
          <t>Kho Linfox KCN VSIP Bắc Ninh</t>
        </is>
      </c>
      <c r="I198" s="21" t="inlineStr">
        <is>
          <t>Bắc Ninh</t>
        </is>
      </c>
      <c r="J198" s="21" t="inlineStr">
        <is>
          <t>Từ Sơn</t>
        </is>
      </c>
      <c r="K198" s="36" t="n">
        <v>21.082707</v>
      </c>
      <c r="L198" s="36" t="n">
        <v>105.997949</v>
      </c>
      <c r="M198" s="37" t="n">
        <v>420</v>
      </c>
      <c r="N198" s="37" t="n">
        <v>510</v>
      </c>
      <c r="O198" s="21" t="inlineStr">
        <is>
          <t>07:00</t>
        </is>
      </c>
      <c r="P198" s="21" t="inlineStr">
        <is>
          <t>08:30</t>
        </is>
      </c>
      <c r="Q198" s="22" t="n">
        <v>40</v>
      </c>
      <c r="R198" s="28" t="n">
        <v>2616</v>
      </c>
      <c r="S198" s="29" t="n">
        <v>43.81</v>
      </c>
      <c r="T198" s="21" t="inlineStr">
        <is>
          <t>8T</t>
        </is>
      </c>
      <c r="U198" s="21" t="inlineStr">
        <is>
          <t>5T</t>
        </is>
      </c>
      <c r="V198" s="21" t="inlineStr">
        <is>
          <t>Đông Bắc</t>
        </is>
      </c>
      <c r="W198" s="21" t="inlineStr">
        <is>
          <t>CR-ĐÔNG-01</t>
        </is>
      </c>
      <c r="X198" s="21" t="inlineStr">
        <is>
          <t>B - Thường</t>
        </is>
      </c>
      <c r="Y198" s="31" t="n">
        <v>1800000</v>
      </c>
      <c r="Z198" s="28" t="n">
        <v>80000</v>
      </c>
      <c r="AA198" s="21" t="inlineStr">
        <is>
          <t>Yes</t>
        </is>
      </c>
      <c r="AB198" s="21" t="inlineStr">
        <is>
          <t>2026-06-05</t>
        </is>
      </c>
      <c r="AC198" s="21" t="inlineStr">
        <is>
          <t>Review</t>
        </is>
      </c>
      <c r="AD198" s="21" t="inlineStr">
        <is>
          <t>Pickup must happen before paired delivery</t>
        </is>
      </c>
    </row>
    <row r="199" ht="18" customHeight="1" s="17">
      <c r="A199" s="23" t="inlineStr">
        <is>
          <t>S3</t>
        </is>
      </c>
      <c r="B199" s="23" t="inlineStr">
        <is>
          <t>S3-ORD-025</t>
        </is>
      </c>
      <c r="C199" s="23" t="inlineStr">
        <is>
          <t>S3-ORD-025-D</t>
        </is>
      </c>
      <c r="D199" s="23" t="inlineStr">
        <is>
          <t>Delivery</t>
        </is>
      </c>
      <c r="E199" s="23" t="inlineStr">
        <is>
          <t>S3-ORD-025-P</t>
        </is>
      </c>
      <c r="F199" s="23" t="inlineStr">
        <is>
          <t>S3-ORD-025</t>
        </is>
      </c>
      <c r="G199" s="23" t="inlineStr">
        <is>
          <t>DL_HP_HONGBANG</t>
        </is>
      </c>
      <c r="H199" s="23" t="inlineStr">
        <is>
          <t>MM Hồng Bàng</t>
        </is>
      </c>
      <c r="I199" s="23" t="inlineStr">
        <is>
          <t>Hải Phòng</t>
        </is>
      </c>
      <c r="J199" s="23" t="inlineStr">
        <is>
          <t>Hồng Bàng</t>
        </is>
      </c>
      <c r="K199" s="38" t="n">
        <v>20.856112</v>
      </c>
      <c r="L199" s="38" t="n">
        <v>106.682239</v>
      </c>
      <c r="M199" s="39" t="n">
        <v>642</v>
      </c>
      <c r="N199" s="39" t="n">
        <v>822</v>
      </c>
      <c r="O199" s="23" t="inlineStr">
        <is>
          <t>10:42</t>
        </is>
      </c>
      <c r="P199" s="23" t="inlineStr">
        <is>
          <t>13:42</t>
        </is>
      </c>
      <c r="Q199" s="24" t="n">
        <v>45</v>
      </c>
      <c r="R199" s="32" t="n">
        <v>-2616</v>
      </c>
      <c r="S199" s="33" t="n">
        <v>-43.81</v>
      </c>
      <c r="T199" s="23" t="inlineStr">
        <is>
          <t>8T</t>
        </is>
      </c>
      <c r="U199" s="23" t="inlineStr">
        <is>
          <t>5T</t>
        </is>
      </c>
      <c r="V199" s="23" t="inlineStr">
        <is>
          <t>Đông Bắc</t>
        </is>
      </c>
      <c r="W199" s="23" t="inlineStr">
        <is>
          <t>CR-ĐÔNG-01</t>
        </is>
      </c>
      <c r="X199" s="23" t="inlineStr">
        <is>
          <t>B - Thường</t>
        </is>
      </c>
      <c r="Y199" s="35" t="n">
        <v>0</v>
      </c>
      <c r="Z199" s="32" t="n">
        <v>80000</v>
      </c>
      <c r="AA199" s="23" t="inlineStr">
        <is>
          <t>Yes</t>
        </is>
      </c>
      <c r="AB199" s="23" t="inlineStr">
        <is>
          <t>2026-06-05</t>
        </is>
      </c>
      <c r="AC199" s="23" t="inlineStr">
        <is>
          <t>Review</t>
        </is>
      </c>
      <c r="AD199" s="23" t="inlineStr">
        <is>
          <t>Delivery paired with same order and same vehicle unless transshipment enabled</t>
        </is>
      </c>
    </row>
    <row r="200" ht="18" customHeight="1" s="17">
      <c r="A200" s="21" t="inlineStr">
        <is>
          <t>S3</t>
        </is>
      </c>
      <c r="B200" s="21" t="inlineStr">
        <is>
          <t>S3-ORD-026</t>
        </is>
      </c>
      <c r="C200" s="21" t="inlineStr">
        <is>
          <t>S3-ORD-026-P</t>
        </is>
      </c>
      <c r="D200" s="21" t="inlineStr">
        <is>
          <t>Pickup</t>
        </is>
      </c>
      <c r="E200" s="21" t="inlineStr">
        <is>
          <t>S3-ORD-026-D</t>
        </is>
      </c>
      <c r="F200" s="21" t="inlineStr">
        <is>
          <t>S3-ORD-026</t>
        </is>
      </c>
      <c r="G200" s="21" t="inlineStr">
        <is>
          <t>PK_TH_QX</t>
        </is>
      </c>
      <c r="H200" s="21" t="inlineStr">
        <is>
          <t>Kho DC Thanh Hóa - Quảng Xương</t>
        </is>
      </c>
      <c r="I200" s="21" t="inlineStr">
        <is>
          <t>Thanh Hóa</t>
        </is>
      </c>
      <c r="J200" s="21" t="inlineStr">
        <is>
          <t>Quảng Xương</t>
        </is>
      </c>
      <c r="K200" s="36" t="n">
        <v>19.731</v>
      </c>
      <c r="L200" s="36" t="n">
        <v>105.815</v>
      </c>
      <c r="M200" s="37" t="n">
        <v>420</v>
      </c>
      <c r="N200" s="37" t="n">
        <v>570</v>
      </c>
      <c r="O200" s="21" t="inlineStr">
        <is>
          <t>07:00</t>
        </is>
      </c>
      <c r="P200" s="21" t="inlineStr">
        <is>
          <t>09:30</t>
        </is>
      </c>
      <c r="Q200" s="22" t="n">
        <v>40</v>
      </c>
      <c r="R200" s="28" t="n">
        <v>3531</v>
      </c>
      <c r="S200" s="29" t="n">
        <v>10.13</v>
      </c>
      <c r="T200" s="21" t="inlineStr">
        <is>
          <t>5T</t>
        </is>
      </c>
      <c r="U200" s="21" t="inlineStr">
        <is>
          <t>8T</t>
        </is>
      </c>
      <c r="V200" s="21" t="inlineStr">
        <is>
          <t>Bắc Trung Bộ</t>
        </is>
      </c>
      <c r="W200" s="21" t="inlineStr">
        <is>
          <t>CR-BẮCT-02</t>
        </is>
      </c>
      <c r="X200" s="21" t="inlineStr">
        <is>
          <t>B - Thường</t>
        </is>
      </c>
      <c r="Y200" s="31" t="n">
        <v>1920000</v>
      </c>
      <c r="Z200" s="28" t="n">
        <v>80000</v>
      </c>
      <c r="AA200" s="21" t="inlineStr">
        <is>
          <t>Yes</t>
        </is>
      </c>
      <c r="AB200" s="21" t="inlineStr">
        <is>
          <t>2026-06-05</t>
        </is>
      </c>
      <c r="AC200" s="21" t="inlineStr">
        <is>
          <t>Ready</t>
        </is>
      </c>
      <c r="AD200" s="21" t="inlineStr">
        <is>
          <t>Pickup must happen before paired delivery</t>
        </is>
      </c>
    </row>
    <row r="201" ht="18" customHeight="1" s="17">
      <c r="A201" s="23" t="inlineStr">
        <is>
          <t>S3</t>
        </is>
      </c>
      <c r="B201" s="23" t="inlineStr">
        <is>
          <t>S3-ORD-026</t>
        </is>
      </c>
      <c r="C201" s="23" t="inlineStr">
        <is>
          <t>S3-ORD-026-D</t>
        </is>
      </c>
      <c r="D201" s="23" t="inlineStr">
        <is>
          <t>Delivery</t>
        </is>
      </c>
      <c r="E201" s="23" t="inlineStr">
        <is>
          <t>S3-ORD-026-P</t>
        </is>
      </c>
      <c r="F201" s="23" t="inlineStr">
        <is>
          <t>S3-ORD-026</t>
        </is>
      </c>
      <c r="G201" s="23" t="inlineStr">
        <is>
          <t>DL_NB_SIEUTHI</t>
        </is>
      </c>
      <c r="H201" s="23" t="inlineStr">
        <is>
          <t>Siêu thị Ninh Bình</t>
        </is>
      </c>
      <c r="I201" s="23" t="inlineStr">
        <is>
          <t>Ninh Bình</t>
        </is>
      </c>
      <c r="J201" s="23" t="inlineStr">
        <is>
          <t>Hoa Lư</t>
        </is>
      </c>
      <c r="K201" s="38" t="n">
        <v>20.250614</v>
      </c>
      <c r="L201" s="38" t="n">
        <v>105.974454</v>
      </c>
      <c r="M201" s="39" t="n">
        <v>616</v>
      </c>
      <c r="N201" s="39" t="n">
        <v>736</v>
      </c>
      <c r="O201" s="23" t="inlineStr">
        <is>
          <t>10:16</t>
        </is>
      </c>
      <c r="P201" s="23" t="inlineStr">
        <is>
          <t>12:16</t>
        </is>
      </c>
      <c r="Q201" s="24" t="n">
        <v>35</v>
      </c>
      <c r="R201" s="32" t="n">
        <v>-3531</v>
      </c>
      <c r="S201" s="33" t="n">
        <v>-10.13</v>
      </c>
      <c r="T201" s="23" t="inlineStr">
        <is>
          <t>5T</t>
        </is>
      </c>
      <c r="U201" s="23" t="inlineStr">
        <is>
          <t>8T</t>
        </is>
      </c>
      <c r="V201" s="23" t="inlineStr">
        <is>
          <t>Bắc Trung Bộ</t>
        </is>
      </c>
      <c r="W201" s="23" t="inlineStr">
        <is>
          <t>CR-BẮCT-02</t>
        </is>
      </c>
      <c r="X201" s="23" t="inlineStr">
        <is>
          <t>B - Thường</t>
        </is>
      </c>
      <c r="Y201" s="35" t="n">
        <v>0</v>
      </c>
      <c r="Z201" s="32" t="n">
        <v>80000</v>
      </c>
      <c r="AA201" s="23" t="inlineStr">
        <is>
          <t>Yes</t>
        </is>
      </c>
      <c r="AB201" s="23" t="inlineStr">
        <is>
          <t>2026-06-05</t>
        </is>
      </c>
      <c r="AC201" s="23" t="inlineStr">
        <is>
          <t>Ready</t>
        </is>
      </c>
      <c r="AD201" s="23" t="inlineStr">
        <is>
          <t>Delivery paired with same order and same vehicle unless transshipment enabled</t>
        </is>
      </c>
    </row>
    <row r="202" ht="18" customHeight="1" s="17">
      <c r="A202" s="21" t="inlineStr">
        <is>
          <t>S3</t>
        </is>
      </c>
      <c r="B202" s="21" t="inlineStr">
        <is>
          <t>S3-ORD-027</t>
        </is>
      </c>
      <c r="C202" s="21" t="inlineStr">
        <is>
          <t>S3-ORD-027-P</t>
        </is>
      </c>
      <c r="D202" s="21" t="inlineStr">
        <is>
          <t>Pickup</t>
        </is>
      </c>
      <c r="E202" s="21" t="inlineStr">
        <is>
          <t>S3-ORD-027-D</t>
        </is>
      </c>
      <c r="F202" s="21" t="inlineStr">
        <is>
          <t>S3-ORD-027</t>
        </is>
      </c>
      <c r="G202" s="21" t="inlineStr">
        <is>
          <t>PK_HPL_LB</t>
        </is>
      </c>
      <c r="H202" s="21" t="inlineStr">
        <is>
          <t>HPL Depot Long Biên - 20 Thạch Bàn</t>
        </is>
      </c>
      <c r="I202" s="21" t="inlineStr">
        <is>
          <t>Hà Nội</t>
        </is>
      </c>
      <c r="J202" s="21" t="inlineStr">
        <is>
          <t>Long Biên</t>
        </is>
      </c>
      <c r="K202" s="36" t="n">
        <v>21.0261548385</v>
      </c>
      <c r="L202" s="36" t="n">
        <v>105.914182238</v>
      </c>
      <c r="M202" s="37" t="n">
        <v>510</v>
      </c>
      <c r="N202" s="37" t="n">
        <v>660</v>
      </c>
      <c r="O202" s="21" t="inlineStr">
        <is>
          <t>08:30</t>
        </is>
      </c>
      <c r="P202" s="21" t="inlineStr">
        <is>
          <t>11:00</t>
        </is>
      </c>
      <c r="Q202" s="22" t="n">
        <v>40</v>
      </c>
      <c r="R202" s="28" t="n">
        <v>1906</v>
      </c>
      <c r="S202" s="29" t="n">
        <v>4.64</v>
      </c>
      <c r="T202" s="21" t="inlineStr">
        <is>
          <t>5T</t>
        </is>
      </c>
      <c r="U202" s="21" t="inlineStr">
        <is>
          <t>8T</t>
        </is>
      </c>
      <c r="V202" s="21" t="inlineStr">
        <is>
          <t>Đông Bắc</t>
        </is>
      </c>
      <c r="W202" s="21" t="inlineStr">
        <is>
          <t>CR-ĐÔNG-03</t>
        </is>
      </c>
      <c r="X202" s="21" t="inlineStr">
        <is>
          <t>A - SLA chặt</t>
        </is>
      </c>
      <c r="Y202" s="31" t="n">
        <v>1190000</v>
      </c>
      <c r="Z202" s="28" t="n">
        <v>150000</v>
      </c>
      <c r="AA202" s="21" t="inlineStr">
        <is>
          <t>Yes</t>
        </is>
      </c>
      <c r="AB202" s="21" t="inlineStr">
        <is>
          <t>2026-06-05</t>
        </is>
      </c>
      <c r="AC202" s="21" t="inlineStr">
        <is>
          <t>Ready</t>
        </is>
      </c>
      <c r="AD202" s="21" t="inlineStr">
        <is>
          <t>Pickup must happen before paired delivery</t>
        </is>
      </c>
    </row>
    <row r="203" ht="18" customHeight="1" s="17">
      <c r="A203" s="23" t="inlineStr">
        <is>
          <t>S3</t>
        </is>
      </c>
      <c r="B203" s="23" t="inlineStr">
        <is>
          <t>S3-ORD-027</t>
        </is>
      </c>
      <c r="C203" s="23" t="inlineStr">
        <is>
          <t>S3-ORD-027-D</t>
        </is>
      </c>
      <c r="D203" s="23" t="inlineStr">
        <is>
          <t>Delivery</t>
        </is>
      </c>
      <c r="E203" s="23" t="inlineStr">
        <is>
          <t>S3-ORD-027-P</t>
        </is>
      </c>
      <c r="F203" s="23" t="inlineStr">
        <is>
          <t>S3-ORD-027</t>
        </is>
      </c>
      <c r="G203" s="23" t="inlineStr">
        <is>
          <t>DL_BN_QUEVO_01</t>
        </is>
      </c>
      <c r="H203" s="23" t="inlineStr">
        <is>
          <t>VINMART Quế Võ</t>
        </is>
      </c>
      <c r="I203" s="23" t="inlineStr">
        <is>
          <t>Bắc Ninh</t>
        </is>
      </c>
      <c r="J203" s="23" t="inlineStr">
        <is>
          <t>Quế Võ</t>
        </is>
      </c>
      <c r="K203" s="38" t="n">
        <v>21.170139</v>
      </c>
      <c r="L203" s="38" t="n">
        <v>106.102396</v>
      </c>
      <c r="M203" s="39" t="n">
        <v>623</v>
      </c>
      <c r="N203" s="39" t="n">
        <v>713</v>
      </c>
      <c r="O203" s="23" t="inlineStr">
        <is>
          <t>10:23</t>
        </is>
      </c>
      <c r="P203" s="23" t="inlineStr">
        <is>
          <t>11:53</t>
        </is>
      </c>
      <c r="Q203" s="24" t="n">
        <v>35</v>
      </c>
      <c r="R203" s="32" t="n">
        <v>-1906</v>
      </c>
      <c r="S203" s="33" t="n">
        <v>-4.64</v>
      </c>
      <c r="T203" s="23" t="inlineStr">
        <is>
          <t>5T</t>
        </is>
      </c>
      <c r="U203" s="23" t="inlineStr">
        <is>
          <t>8T</t>
        </is>
      </c>
      <c r="V203" s="23" t="inlineStr">
        <is>
          <t>Đông Bắc</t>
        </is>
      </c>
      <c r="W203" s="23" t="inlineStr">
        <is>
          <t>CR-ĐÔNG-03</t>
        </is>
      </c>
      <c r="X203" s="23" t="inlineStr">
        <is>
          <t>A - SLA chặt</t>
        </is>
      </c>
      <c r="Y203" s="35" t="n">
        <v>0</v>
      </c>
      <c r="Z203" s="32" t="n">
        <v>150000</v>
      </c>
      <c r="AA203" s="23" t="inlineStr">
        <is>
          <t>Yes</t>
        </is>
      </c>
      <c r="AB203" s="23" t="inlineStr">
        <is>
          <t>2026-06-05</t>
        </is>
      </c>
      <c r="AC203" s="23" t="inlineStr">
        <is>
          <t>Ready</t>
        </is>
      </c>
      <c r="AD203" s="23" t="inlineStr">
        <is>
          <t>Delivery paired with same order and same vehicle unless transshipment enabled</t>
        </is>
      </c>
    </row>
    <row r="204" ht="18" customHeight="1" s="17">
      <c r="A204" s="21" t="inlineStr">
        <is>
          <t>S3</t>
        </is>
      </c>
      <c r="B204" s="21" t="inlineStr">
        <is>
          <t>S3-ORD-028</t>
        </is>
      </c>
      <c r="C204" s="21" t="inlineStr">
        <is>
          <t>S3-ORD-028-P</t>
        </is>
      </c>
      <c r="D204" s="21" t="inlineStr">
        <is>
          <t>Pickup</t>
        </is>
      </c>
      <c r="E204" s="21" t="inlineStr">
        <is>
          <t>S3-ORD-028-D</t>
        </is>
      </c>
      <c r="F204" s="21" t="inlineStr">
        <is>
          <t>S3-ORD-028</t>
        </is>
      </c>
      <c r="G204" s="21" t="inlineStr">
        <is>
          <t>PK_HPL_LB</t>
        </is>
      </c>
      <c r="H204" s="21" t="inlineStr">
        <is>
          <t>HPL Depot Long Biên - 20 Thạch Bàn</t>
        </is>
      </c>
      <c r="I204" s="21" t="inlineStr">
        <is>
          <t>Hà Nội</t>
        </is>
      </c>
      <c r="J204" s="21" t="inlineStr">
        <is>
          <t>Long Biên</t>
        </is>
      </c>
      <c r="K204" s="36" t="n">
        <v>21.0261548385</v>
      </c>
      <c r="L204" s="36" t="n">
        <v>105.914182238</v>
      </c>
      <c r="M204" s="37" t="n">
        <v>420</v>
      </c>
      <c r="N204" s="37" t="n">
        <v>510</v>
      </c>
      <c r="O204" s="21" t="inlineStr">
        <is>
          <t>07:00</t>
        </is>
      </c>
      <c r="P204" s="21" t="inlineStr">
        <is>
          <t>08:30</t>
        </is>
      </c>
      <c r="Q204" s="22" t="n">
        <v>40</v>
      </c>
      <c r="R204" s="28" t="n">
        <v>2249</v>
      </c>
      <c r="S204" s="29" t="n">
        <v>11.28</v>
      </c>
      <c r="T204" s="21" t="inlineStr">
        <is>
          <t>5T</t>
        </is>
      </c>
      <c r="U204" s="21" t="inlineStr">
        <is>
          <t>1.25T</t>
        </is>
      </c>
      <c r="V204" s="21" t="inlineStr">
        <is>
          <t>Nội thành Hà Nội</t>
        </is>
      </c>
      <c r="W204" s="21" t="inlineStr">
        <is>
          <t>CR-NỘIT-04</t>
        </is>
      </c>
      <c r="X204" s="21" t="inlineStr">
        <is>
          <t>B - Thường</t>
        </is>
      </c>
      <c r="Y204" s="31" t="n">
        <v>1020000</v>
      </c>
      <c r="Z204" s="28" t="n">
        <v>80000</v>
      </c>
      <c r="AA204" s="21" t="inlineStr">
        <is>
          <t>Yes</t>
        </is>
      </c>
      <c r="AB204" s="21" t="inlineStr">
        <is>
          <t>2026-06-05</t>
        </is>
      </c>
      <c r="AC204" s="21" t="inlineStr">
        <is>
          <t>Review</t>
        </is>
      </c>
      <c r="AD204" s="21" t="inlineStr">
        <is>
          <t>Pickup must happen before paired delivery</t>
        </is>
      </c>
    </row>
    <row r="205" ht="18" customHeight="1" s="17">
      <c r="A205" s="23" t="inlineStr">
        <is>
          <t>S3</t>
        </is>
      </c>
      <c r="B205" s="23" t="inlineStr">
        <is>
          <t>S3-ORD-028</t>
        </is>
      </c>
      <c r="C205" s="23" t="inlineStr">
        <is>
          <t>S3-ORD-028-D</t>
        </is>
      </c>
      <c r="D205" s="23" t="inlineStr">
        <is>
          <t>Delivery</t>
        </is>
      </c>
      <c r="E205" s="23" t="inlineStr">
        <is>
          <t>S3-ORD-028-P</t>
        </is>
      </c>
      <c r="F205" s="23" t="inlineStr">
        <is>
          <t>S3-ORD-028</t>
        </is>
      </c>
      <c r="G205" s="23" t="inlineStr">
        <is>
          <t>DL_HN_LOTTE_BD</t>
        </is>
      </c>
      <c r="H205" s="23" t="inlineStr">
        <is>
          <t>LOTTE MART Ba Đình</t>
        </is>
      </c>
      <c r="I205" s="23" t="inlineStr">
        <is>
          <t>Hà Nội</t>
        </is>
      </c>
      <c r="J205" s="23" t="inlineStr">
        <is>
          <t>Ba Đình</t>
        </is>
      </c>
      <c r="K205" s="38" t="n">
        <v>21.032177</v>
      </c>
      <c r="L205" s="38" t="n">
        <v>105.812441</v>
      </c>
      <c r="M205" s="39" t="n">
        <v>476</v>
      </c>
      <c r="N205" s="39" t="n">
        <v>566</v>
      </c>
      <c r="O205" s="23" t="inlineStr">
        <is>
          <t>07:56</t>
        </is>
      </c>
      <c r="P205" s="23" t="inlineStr">
        <is>
          <t>09:26</t>
        </is>
      </c>
      <c r="Q205" s="24" t="n">
        <v>45</v>
      </c>
      <c r="R205" s="32" t="n">
        <v>-2249</v>
      </c>
      <c r="S205" s="33" t="n">
        <v>-11.28</v>
      </c>
      <c r="T205" s="23" t="inlineStr">
        <is>
          <t>5T</t>
        </is>
      </c>
      <c r="U205" s="23" t="inlineStr">
        <is>
          <t>1.25T</t>
        </is>
      </c>
      <c r="V205" s="23" t="inlineStr">
        <is>
          <t>Nội thành Hà Nội</t>
        </is>
      </c>
      <c r="W205" s="23" t="inlineStr">
        <is>
          <t>CR-NỘIT-04</t>
        </is>
      </c>
      <c r="X205" s="23" t="inlineStr">
        <is>
          <t>B - Thường</t>
        </is>
      </c>
      <c r="Y205" s="35" t="n">
        <v>0</v>
      </c>
      <c r="Z205" s="32" t="n">
        <v>80000</v>
      </c>
      <c r="AA205" s="23" t="inlineStr">
        <is>
          <t>Yes</t>
        </is>
      </c>
      <c r="AB205" s="23" t="inlineStr">
        <is>
          <t>2026-06-05</t>
        </is>
      </c>
      <c r="AC205" s="23" t="inlineStr">
        <is>
          <t>Review</t>
        </is>
      </c>
      <c r="AD205" s="23" t="inlineStr">
        <is>
          <t>Delivery paired with same order and same vehicle unless transshipment enabled</t>
        </is>
      </c>
    </row>
    <row r="206" ht="18" customHeight="1" s="17">
      <c r="A206" s="21" t="inlineStr">
        <is>
          <t>S3</t>
        </is>
      </c>
      <c r="B206" s="21" t="inlineStr">
        <is>
          <t>S3-ORD-029</t>
        </is>
      </c>
      <c r="C206" s="21" t="inlineStr">
        <is>
          <t>S3-ORD-029-P</t>
        </is>
      </c>
      <c r="D206" s="21" t="inlineStr">
        <is>
          <t>Pickup</t>
        </is>
      </c>
      <c r="E206" s="21" t="inlineStr">
        <is>
          <t>S3-ORD-029-D</t>
        </is>
      </c>
      <c r="F206" s="21" t="inlineStr">
        <is>
          <t>S3-ORD-029</t>
        </is>
      </c>
      <c r="G206" s="21" t="inlineStr">
        <is>
          <t>PK_HPL_LB</t>
        </is>
      </c>
      <c r="H206" s="21" t="inlineStr">
        <is>
          <t>HPL Depot Long Biên - 20 Thạch Bàn</t>
        </is>
      </c>
      <c r="I206" s="21" t="inlineStr">
        <is>
          <t>Hà Nội</t>
        </is>
      </c>
      <c r="J206" s="21" t="inlineStr">
        <is>
          <t>Long Biên</t>
        </is>
      </c>
      <c r="K206" s="36" t="n">
        <v>21.0261548385</v>
      </c>
      <c r="L206" s="36" t="n">
        <v>105.914182238</v>
      </c>
      <c r="M206" s="37" t="n">
        <v>420</v>
      </c>
      <c r="N206" s="37" t="n">
        <v>540</v>
      </c>
      <c r="O206" s="21" t="inlineStr">
        <is>
          <t>07:00</t>
        </is>
      </c>
      <c r="P206" s="21" t="inlineStr">
        <is>
          <t>09:00</t>
        </is>
      </c>
      <c r="Q206" s="22" t="n">
        <v>25</v>
      </c>
      <c r="R206" s="28" t="n">
        <v>271</v>
      </c>
      <c r="S206" s="29" t="n">
        <v>0.76</v>
      </c>
      <c r="T206" s="21" t="inlineStr">
        <is>
          <t>5 tạ</t>
        </is>
      </c>
      <c r="U206" s="21" t="inlineStr">
        <is>
          <t>1.25T</t>
        </is>
      </c>
      <c r="V206" s="21" t="inlineStr">
        <is>
          <t>Nội thành Hà Nội</t>
        </is>
      </c>
      <c r="W206" s="21" t="inlineStr">
        <is>
          <t>CR-NỘIT-05</t>
        </is>
      </c>
      <c r="X206" s="21" t="inlineStr">
        <is>
          <t>C - Có thể thương lượng</t>
        </is>
      </c>
      <c r="Y206" s="31" t="n">
        <v>470000</v>
      </c>
      <c r="Z206" s="28" t="n">
        <v>80000</v>
      </c>
      <c r="AA206" s="21" t="inlineStr">
        <is>
          <t>Yes</t>
        </is>
      </c>
      <c r="AB206" s="21" t="inlineStr">
        <is>
          <t>2026-06-05</t>
        </is>
      </c>
      <c r="AC206" s="21" t="inlineStr">
        <is>
          <t>Ready</t>
        </is>
      </c>
      <c r="AD206" s="21" t="inlineStr">
        <is>
          <t>Pickup must happen before paired delivery</t>
        </is>
      </c>
    </row>
    <row r="207" ht="18" customHeight="1" s="17">
      <c r="A207" s="23" t="inlineStr">
        <is>
          <t>S3</t>
        </is>
      </c>
      <c r="B207" s="23" t="inlineStr">
        <is>
          <t>S3-ORD-029</t>
        </is>
      </c>
      <c r="C207" s="23" t="inlineStr">
        <is>
          <t>S3-ORD-029-D</t>
        </is>
      </c>
      <c r="D207" s="23" t="inlineStr">
        <is>
          <t>Delivery</t>
        </is>
      </c>
      <c r="E207" s="23" t="inlineStr">
        <is>
          <t>S3-ORD-029-P</t>
        </is>
      </c>
      <c r="F207" s="23" t="inlineStr">
        <is>
          <t>S3-ORD-029</t>
        </is>
      </c>
      <c r="G207" s="23" t="inlineStr">
        <is>
          <t>DL_HN_TRUONGDINH</t>
        </is>
      </c>
      <c r="H207" s="23" t="inlineStr">
        <is>
          <t>VINMART Trương Định</t>
        </is>
      </c>
      <c r="I207" s="23" t="inlineStr">
        <is>
          <t>Hà Nội</t>
        </is>
      </c>
      <c r="J207" s="23" t="inlineStr">
        <is>
          <t>Hoàng Mai</t>
        </is>
      </c>
      <c r="K207" s="38" t="n">
        <v>20.979293</v>
      </c>
      <c r="L207" s="38" t="n">
        <v>105.844708</v>
      </c>
      <c r="M207" s="39" t="n">
        <v>493</v>
      </c>
      <c r="N207" s="39" t="n">
        <v>583</v>
      </c>
      <c r="O207" s="23" t="inlineStr">
        <is>
          <t>08:13</t>
        </is>
      </c>
      <c r="P207" s="23" t="inlineStr">
        <is>
          <t>09:43</t>
        </is>
      </c>
      <c r="Q207" s="24" t="n">
        <v>20</v>
      </c>
      <c r="R207" s="32" t="n">
        <v>-271</v>
      </c>
      <c r="S207" s="33" t="n">
        <v>-0.76</v>
      </c>
      <c r="T207" s="23" t="inlineStr">
        <is>
          <t>5 tạ</t>
        </is>
      </c>
      <c r="U207" s="23" t="inlineStr">
        <is>
          <t>1.25T</t>
        </is>
      </c>
      <c r="V207" s="23" t="inlineStr">
        <is>
          <t>Nội thành Hà Nội</t>
        </is>
      </c>
      <c r="W207" s="23" t="inlineStr">
        <is>
          <t>CR-NỘIT-05</t>
        </is>
      </c>
      <c r="X207" s="23" t="inlineStr">
        <is>
          <t>C - Có thể thương lượng</t>
        </is>
      </c>
      <c r="Y207" s="35" t="n">
        <v>0</v>
      </c>
      <c r="Z207" s="32" t="n">
        <v>80000</v>
      </c>
      <c r="AA207" s="23" t="inlineStr">
        <is>
          <t>Yes</t>
        </is>
      </c>
      <c r="AB207" s="23" t="inlineStr">
        <is>
          <t>2026-06-05</t>
        </is>
      </c>
      <c r="AC207" s="23" t="inlineStr">
        <is>
          <t>Ready</t>
        </is>
      </c>
      <c r="AD207" s="23" t="inlineStr">
        <is>
          <t>Delivery paired with same order and same vehicle unless transshipment enabled</t>
        </is>
      </c>
    </row>
    <row r="208" ht="18" customHeight="1" s="17">
      <c r="A208" s="21" t="inlineStr">
        <is>
          <t>S3</t>
        </is>
      </c>
      <c r="B208" s="21" t="inlineStr">
        <is>
          <t>S3-ORD-030</t>
        </is>
      </c>
      <c r="C208" s="21" t="inlineStr">
        <is>
          <t>S3-ORD-030-P</t>
        </is>
      </c>
      <c r="D208" s="21" t="inlineStr">
        <is>
          <t>Pickup</t>
        </is>
      </c>
      <c r="E208" s="21" t="inlineStr">
        <is>
          <t>S3-ORD-030-D</t>
        </is>
      </c>
      <c r="F208" s="21" t="inlineStr">
        <is>
          <t>S3-ORD-030</t>
        </is>
      </c>
      <c r="G208" s="21" t="inlineStr">
        <is>
          <t>PK_LINFOX_VSIP</t>
        </is>
      </c>
      <c r="H208" s="21" t="inlineStr">
        <is>
          <t>Kho Linfox KCN VSIP Bắc Ninh</t>
        </is>
      </c>
      <c r="I208" s="21" t="inlineStr">
        <is>
          <t>Bắc Ninh</t>
        </is>
      </c>
      <c r="J208" s="21" t="inlineStr">
        <is>
          <t>Từ Sơn</t>
        </is>
      </c>
      <c r="K208" s="36" t="n">
        <v>21.082707</v>
      </c>
      <c r="L208" s="36" t="n">
        <v>105.997949</v>
      </c>
      <c r="M208" s="37" t="n">
        <v>510</v>
      </c>
      <c r="N208" s="37" t="n">
        <v>630</v>
      </c>
      <c r="O208" s="21" t="inlineStr">
        <is>
          <t>08:30</t>
        </is>
      </c>
      <c r="P208" s="21" t="inlineStr">
        <is>
          <t>10:30</t>
        </is>
      </c>
      <c r="Q208" s="22" t="n">
        <v>25</v>
      </c>
      <c r="R208" s="28" t="n">
        <v>1138</v>
      </c>
      <c r="S208" s="29" t="n">
        <v>2.04</v>
      </c>
      <c r="T208" s="21" t="inlineStr">
        <is>
          <t>1.25T</t>
        </is>
      </c>
      <c r="U208" s="21" t="inlineStr">
        <is>
          <t>5T</t>
        </is>
      </c>
      <c r="V208" s="21" t="inlineStr">
        <is>
          <t>Đông Bắc</t>
        </is>
      </c>
      <c r="W208" s="21" t="inlineStr">
        <is>
          <t>CR-ĐÔNG-01</t>
        </is>
      </c>
      <c r="X208" s="21" t="inlineStr">
        <is>
          <t>B - Thường</t>
        </is>
      </c>
      <c r="Y208" s="31" t="n">
        <v>1390000</v>
      </c>
      <c r="Z208" s="28" t="n">
        <v>80000</v>
      </c>
      <c r="AA208" s="21" t="inlineStr">
        <is>
          <t>Yes</t>
        </is>
      </c>
      <c r="AB208" s="21" t="inlineStr">
        <is>
          <t>2026-06-05</t>
        </is>
      </c>
      <c r="AC208" s="21" t="inlineStr">
        <is>
          <t>Ready</t>
        </is>
      </c>
      <c r="AD208" s="21" t="inlineStr">
        <is>
          <t>Pickup must happen before paired delivery</t>
        </is>
      </c>
    </row>
    <row r="209" ht="18" customHeight="1" s="17">
      <c r="A209" s="23" t="inlineStr">
        <is>
          <t>S3</t>
        </is>
      </c>
      <c r="B209" s="23" t="inlineStr">
        <is>
          <t>S3-ORD-030</t>
        </is>
      </c>
      <c r="C209" s="23" t="inlineStr">
        <is>
          <t>S3-ORD-030-D</t>
        </is>
      </c>
      <c r="D209" s="23" t="inlineStr">
        <is>
          <t>Delivery</t>
        </is>
      </c>
      <c r="E209" s="23" t="inlineStr">
        <is>
          <t>S3-ORD-030-P</t>
        </is>
      </c>
      <c r="F209" s="23" t="inlineStr">
        <is>
          <t>S3-ORD-030</t>
        </is>
      </c>
      <c r="G209" s="23" t="inlineStr">
        <is>
          <t>DL_HP_HONGBANG</t>
        </is>
      </c>
      <c r="H209" s="23" t="inlineStr">
        <is>
          <t>MM Hồng Bàng</t>
        </is>
      </c>
      <c r="I209" s="23" t="inlineStr">
        <is>
          <t>Hải Phòng</t>
        </is>
      </c>
      <c r="J209" s="23" t="inlineStr">
        <is>
          <t>Hồng Bàng</t>
        </is>
      </c>
      <c r="K209" s="38" t="n">
        <v>20.856112</v>
      </c>
      <c r="L209" s="38" t="n">
        <v>106.682239</v>
      </c>
      <c r="M209" s="39" t="n">
        <v>749</v>
      </c>
      <c r="N209" s="39" t="n">
        <v>839</v>
      </c>
      <c r="O209" s="23" t="inlineStr">
        <is>
          <t>12:29</t>
        </is>
      </c>
      <c r="P209" s="23" t="inlineStr">
        <is>
          <t>13:59</t>
        </is>
      </c>
      <c r="Q209" s="24" t="n">
        <v>30</v>
      </c>
      <c r="R209" s="32" t="n">
        <v>-1138</v>
      </c>
      <c r="S209" s="33" t="n">
        <v>-2.04</v>
      </c>
      <c r="T209" s="23" t="inlineStr">
        <is>
          <t>1.25T</t>
        </is>
      </c>
      <c r="U209" s="23" t="inlineStr">
        <is>
          <t>5T</t>
        </is>
      </c>
      <c r="V209" s="23" t="inlineStr">
        <is>
          <t>Đông Bắc</t>
        </is>
      </c>
      <c r="W209" s="23" t="inlineStr">
        <is>
          <t>CR-ĐÔNG-01</t>
        </is>
      </c>
      <c r="X209" s="23" t="inlineStr">
        <is>
          <t>B - Thường</t>
        </is>
      </c>
      <c r="Y209" s="35" t="n">
        <v>0</v>
      </c>
      <c r="Z209" s="32" t="n">
        <v>80000</v>
      </c>
      <c r="AA209" s="23" t="inlineStr">
        <is>
          <t>Yes</t>
        </is>
      </c>
      <c r="AB209" s="23" t="inlineStr">
        <is>
          <t>2026-06-05</t>
        </is>
      </c>
      <c r="AC209" s="23" t="inlineStr">
        <is>
          <t>Ready</t>
        </is>
      </c>
      <c r="AD209" s="23" t="inlineStr">
        <is>
          <t>Delivery paired with same order and same vehicle unless transshipment enabled</t>
        </is>
      </c>
    </row>
    <row r="210" ht="18" customHeight="1" s="17">
      <c r="A210" s="21" t="inlineStr">
        <is>
          <t>S3</t>
        </is>
      </c>
      <c r="B210" s="21" t="inlineStr">
        <is>
          <t>S3-ORD-031</t>
        </is>
      </c>
      <c r="C210" s="21" t="inlineStr">
        <is>
          <t>S3-ORD-031-P</t>
        </is>
      </c>
      <c r="D210" s="21" t="inlineStr">
        <is>
          <t>Pickup</t>
        </is>
      </c>
      <c r="E210" s="21" t="inlineStr">
        <is>
          <t>S3-ORD-031-D</t>
        </is>
      </c>
      <c r="F210" s="21" t="inlineStr">
        <is>
          <t>S3-ORD-031</t>
        </is>
      </c>
      <c r="G210" s="21" t="inlineStr">
        <is>
          <t>PK_HPL_LB</t>
        </is>
      </c>
      <c r="H210" s="21" t="inlineStr">
        <is>
          <t>HPL Depot Long Biên - 20 Thạch Bàn</t>
        </is>
      </c>
      <c r="I210" s="21" t="inlineStr">
        <is>
          <t>Hà Nội</t>
        </is>
      </c>
      <c r="J210" s="21" t="inlineStr">
        <is>
          <t>Long Biên</t>
        </is>
      </c>
      <c r="K210" s="36" t="n">
        <v>21.0261548385</v>
      </c>
      <c r="L210" s="36" t="n">
        <v>105.914182238</v>
      </c>
      <c r="M210" s="37" t="n">
        <v>450</v>
      </c>
      <c r="N210" s="37" t="n">
        <v>540</v>
      </c>
      <c r="O210" s="21" t="inlineStr">
        <is>
          <t>07:30</t>
        </is>
      </c>
      <c r="P210" s="21" t="inlineStr">
        <is>
          <t>09:00</t>
        </is>
      </c>
      <c r="Q210" s="22" t="n">
        <v>40</v>
      </c>
      <c r="R210" s="28" t="n">
        <v>1826</v>
      </c>
      <c r="S210" s="29" t="n">
        <v>3.26</v>
      </c>
      <c r="T210" s="21" t="inlineStr">
        <is>
          <t>5T</t>
        </is>
      </c>
      <c r="U210" s="21" t="inlineStr">
        <is>
          <t>8T</t>
        </is>
      </c>
      <c r="V210" s="21" t="inlineStr">
        <is>
          <t>Bắc Trung Bộ</t>
        </is>
      </c>
      <c r="W210" s="21" t="inlineStr">
        <is>
          <t>CR-BẮCT-02</t>
        </is>
      </c>
      <c r="X210" s="21" t="inlineStr">
        <is>
          <t>C - Có thể thương lượng</t>
        </is>
      </c>
      <c r="Y210" s="31" t="n">
        <v>1310000</v>
      </c>
      <c r="Z210" s="28" t="n">
        <v>80000</v>
      </c>
      <c r="AA210" s="21" t="inlineStr">
        <is>
          <t>Yes</t>
        </is>
      </c>
      <c r="AB210" s="21" t="inlineStr">
        <is>
          <t>2026-06-05</t>
        </is>
      </c>
      <c r="AC210" s="21" t="inlineStr">
        <is>
          <t>Ready</t>
        </is>
      </c>
      <c r="AD210" s="21" t="inlineStr">
        <is>
          <t>Pickup must happen before paired delivery</t>
        </is>
      </c>
    </row>
    <row r="211" ht="18" customHeight="1" s="17">
      <c r="A211" s="23" t="inlineStr">
        <is>
          <t>S3</t>
        </is>
      </c>
      <c r="B211" s="23" t="inlineStr">
        <is>
          <t>S3-ORD-031</t>
        </is>
      </c>
      <c r="C211" s="23" t="inlineStr">
        <is>
          <t>S3-ORD-031-D</t>
        </is>
      </c>
      <c r="D211" s="23" t="inlineStr">
        <is>
          <t>Delivery</t>
        </is>
      </c>
      <c r="E211" s="23" t="inlineStr">
        <is>
          <t>S3-ORD-031-P</t>
        </is>
      </c>
      <c r="F211" s="23" t="inlineStr">
        <is>
          <t>S3-ORD-031</t>
        </is>
      </c>
      <c r="G211" s="23" t="inlineStr">
        <is>
          <t>DL_HN_GO_HANAM</t>
        </is>
      </c>
      <c r="H211" s="23" t="inlineStr">
        <is>
          <t>GO! Hà Nam</t>
        </is>
      </c>
      <c r="I211" s="23" t="inlineStr">
        <is>
          <t>Ninh Bình</t>
        </is>
      </c>
      <c r="J211" s="23" t="inlineStr">
        <is>
          <t>Phủ Lý</t>
        </is>
      </c>
      <c r="K211" s="38" t="n">
        <v>20.541</v>
      </c>
      <c r="L211" s="38" t="n">
        <v>105.913</v>
      </c>
      <c r="M211" s="39" t="n">
        <v>610</v>
      </c>
      <c r="N211" s="39" t="n">
        <v>790</v>
      </c>
      <c r="O211" s="23" t="inlineStr">
        <is>
          <t>10:10</t>
        </is>
      </c>
      <c r="P211" s="23" t="inlineStr">
        <is>
          <t>13:10</t>
        </is>
      </c>
      <c r="Q211" s="24" t="n">
        <v>45</v>
      </c>
      <c r="R211" s="32" t="n">
        <v>-1826</v>
      </c>
      <c r="S211" s="33" t="n">
        <v>-3.26</v>
      </c>
      <c r="T211" s="23" t="inlineStr">
        <is>
          <t>5T</t>
        </is>
      </c>
      <c r="U211" s="23" t="inlineStr">
        <is>
          <t>8T</t>
        </is>
      </c>
      <c r="V211" s="23" t="inlineStr">
        <is>
          <t>Bắc Trung Bộ</t>
        </is>
      </c>
      <c r="W211" s="23" t="inlineStr">
        <is>
          <t>CR-BẮCT-02</t>
        </is>
      </c>
      <c r="X211" s="23" t="inlineStr">
        <is>
          <t>C - Có thể thương lượng</t>
        </is>
      </c>
      <c r="Y211" s="35" t="n">
        <v>0</v>
      </c>
      <c r="Z211" s="32" t="n">
        <v>80000</v>
      </c>
      <c r="AA211" s="23" t="inlineStr">
        <is>
          <t>Yes</t>
        </is>
      </c>
      <c r="AB211" s="23" t="inlineStr">
        <is>
          <t>2026-06-05</t>
        </is>
      </c>
      <c r="AC211" s="23" t="inlineStr">
        <is>
          <t>Ready</t>
        </is>
      </c>
      <c r="AD211" s="23" t="inlineStr">
        <is>
          <t>Delivery paired with same order and same vehicle unless transshipment enabled</t>
        </is>
      </c>
    </row>
    <row r="212" ht="18" customHeight="1" s="17">
      <c r="A212" s="21" t="inlineStr">
        <is>
          <t>S3</t>
        </is>
      </c>
      <c r="B212" s="21" t="inlineStr">
        <is>
          <t>S3-ORD-032</t>
        </is>
      </c>
      <c r="C212" s="21" t="inlineStr">
        <is>
          <t>S3-ORD-032-P</t>
        </is>
      </c>
      <c r="D212" s="21" t="inlineStr">
        <is>
          <t>Pickup</t>
        </is>
      </c>
      <c r="E212" s="21" t="inlineStr">
        <is>
          <t>S3-ORD-032-D</t>
        </is>
      </c>
      <c r="F212" s="21" t="inlineStr">
        <is>
          <t>S3-ORD-032</t>
        </is>
      </c>
      <c r="G212" s="21" t="inlineStr">
        <is>
          <t>PK_LINFOX_VSIP</t>
        </is>
      </c>
      <c r="H212" s="21" t="inlineStr">
        <is>
          <t>Kho Linfox KCN VSIP Bắc Ninh</t>
        </is>
      </c>
      <c r="I212" s="21" t="inlineStr">
        <is>
          <t>Bắc Ninh</t>
        </is>
      </c>
      <c r="J212" s="21" t="inlineStr">
        <is>
          <t>Từ Sơn</t>
        </is>
      </c>
      <c r="K212" s="36" t="n">
        <v>21.082707</v>
      </c>
      <c r="L212" s="36" t="n">
        <v>105.997949</v>
      </c>
      <c r="M212" s="37" t="n">
        <v>420</v>
      </c>
      <c r="N212" s="37" t="n">
        <v>570</v>
      </c>
      <c r="O212" s="21" t="inlineStr">
        <is>
          <t>07:00</t>
        </is>
      </c>
      <c r="P212" s="21" t="inlineStr">
        <is>
          <t>09:30</t>
        </is>
      </c>
      <c r="Q212" s="22" t="n">
        <v>25</v>
      </c>
      <c r="R212" s="28" t="n">
        <v>472</v>
      </c>
      <c r="S212" s="29" t="n">
        <v>3.17</v>
      </c>
      <c r="T212" s="21" t="inlineStr">
        <is>
          <t>5 tạ</t>
        </is>
      </c>
      <c r="U212" s="21" t="inlineStr">
        <is>
          <t>1.25T</t>
        </is>
      </c>
      <c r="V212" s="21" t="inlineStr">
        <is>
          <t>Nội thành Hà Nội</t>
        </is>
      </c>
      <c r="W212" s="21" t="inlineStr">
        <is>
          <t>CR-NỘIT-03</t>
        </is>
      </c>
      <c r="X212" s="21" t="inlineStr">
        <is>
          <t>B - Thường</t>
        </is>
      </c>
      <c r="Y212" s="31" t="n">
        <v>530000</v>
      </c>
      <c r="Z212" s="28" t="n">
        <v>80000</v>
      </c>
      <c r="AA212" s="21" t="inlineStr">
        <is>
          <t>Yes</t>
        </is>
      </c>
      <c r="AB212" s="21" t="inlineStr">
        <is>
          <t>2026-06-05</t>
        </is>
      </c>
      <c r="AC212" s="21" t="inlineStr">
        <is>
          <t>Ready</t>
        </is>
      </c>
      <c r="AD212" s="21" t="inlineStr">
        <is>
          <t>Pickup must happen before paired delivery</t>
        </is>
      </c>
    </row>
    <row r="213" ht="18" customHeight="1" s="17">
      <c r="A213" s="23" t="inlineStr">
        <is>
          <t>S3</t>
        </is>
      </c>
      <c r="B213" s="23" t="inlineStr">
        <is>
          <t>S3-ORD-032</t>
        </is>
      </c>
      <c r="C213" s="23" t="inlineStr">
        <is>
          <t>S3-ORD-032-D</t>
        </is>
      </c>
      <c r="D213" s="23" t="inlineStr">
        <is>
          <t>Delivery</t>
        </is>
      </c>
      <c r="E213" s="23" t="inlineStr">
        <is>
          <t>S3-ORD-032-P</t>
        </is>
      </c>
      <c r="F213" s="23" t="inlineStr">
        <is>
          <t>S3-ORD-032</t>
        </is>
      </c>
      <c r="G213" s="23" t="inlineStr">
        <is>
          <t>DL_HN_THAIDUONG</t>
        </is>
      </c>
      <c r="H213" s="23" t="inlineStr">
        <is>
          <t>Thái Dương</t>
        </is>
      </c>
      <c r="I213" s="23" t="inlineStr">
        <is>
          <t>Hà Nội</t>
        </is>
      </c>
      <c r="J213" s="23" t="inlineStr">
        <is>
          <t>Hà Nội</t>
        </is>
      </c>
      <c r="K213" s="38" t="n">
        <v>20.929215</v>
      </c>
      <c r="L213" s="38" t="n">
        <v>105.869998</v>
      </c>
      <c r="M213" s="39" t="n">
        <v>528</v>
      </c>
      <c r="N213" s="39" t="n">
        <v>648</v>
      </c>
      <c r="O213" s="23" t="inlineStr">
        <is>
          <t>08:48</t>
        </is>
      </c>
      <c r="P213" s="23" t="inlineStr">
        <is>
          <t>10:48</t>
        </is>
      </c>
      <c r="Q213" s="24" t="n">
        <v>20</v>
      </c>
      <c r="R213" s="32" t="n">
        <v>-472</v>
      </c>
      <c r="S213" s="33" t="n">
        <v>-3.17</v>
      </c>
      <c r="T213" s="23" t="inlineStr">
        <is>
          <t>5 tạ</t>
        </is>
      </c>
      <c r="U213" s="23" t="inlineStr">
        <is>
          <t>1.25T</t>
        </is>
      </c>
      <c r="V213" s="23" t="inlineStr">
        <is>
          <t>Nội thành Hà Nội</t>
        </is>
      </c>
      <c r="W213" s="23" t="inlineStr">
        <is>
          <t>CR-NỘIT-03</t>
        </is>
      </c>
      <c r="X213" s="23" t="inlineStr">
        <is>
          <t>B - Thường</t>
        </is>
      </c>
      <c r="Y213" s="35" t="n">
        <v>0</v>
      </c>
      <c r="Z213" s="32" t="n">
        <v>80000</v>
      </c>
      <c r="AA213" s="23" t="inlineStr">
        <is>
          <t>Yes</t>
        </is>
      </c>
      <c r="AB213" s="23" t="inlineStr">
        <is>
          <t>2026-06-05</t>
        </is>
      </c>
      <c r="AC213" s="23" t="inlineStr">
        <is>
          <t>Ready</t>
        </is>
      </c>
      <c r="AD213" s="23" t="inlineStr">
        <is>
          <t>Delivery paired with same order and same vehicle unless transshipment enabled</t>
        </is>
      </c>
    </row>
    <row r="214" ht="18" customHeight="1" s="17">
      <c r="A214" s="21" t="inlineStr">
        <is>
          <t>S3</t>
        </is>
      </c>
      <c r="B214" s="21" t="inlineStr">
        <is>
          <t>S3-ORD-033</t>
        </is>
      </c>
      <c r="C214" s="21" t="inlineStr">
        <is>
          <t>S3-ORD-033-P</t>
        </is>
      </c>
      <c r="D214" s="21" t="inlineStr">
        <is>
          <t>Pickup</t>
        </is>
      </c>
      <c r="E214" s="21" t="inlineStr">
        <is>
          <t>S3-ORD-033-D</t>
        </is>
      </c>
      <c r="F214" s="21" t="inlineStr">
        <is>
          <t>S3-ORD-033</t>
        </is>
      </c>
      <c r="G214" s="21" t="inlineStr">
        <is>
          <t>PK_HPL_LB</t>
        </is>
      </c>
      <c r="H214" s="21" t="inlineStr">
        <is>
          <t>HPL Depot Long Biên - 20 Thạch Bàn</t>
        </is>
      </c>
      <c r="I214" s="21" t="inlineStr">
        <is>
          <t>Hà Nội</t>
        </is>
      </c>
      <c r="J214" s="21" t="inlineStr">
        <is>
          <t>Long Biên</t>
        </is>
      </c>
      <c r="K214" s="36" t="n">
        <v>21.0261548385</v>
      </c>
      <c r="L214" s="36" t="n">
        <v>105.914182238</v>
      </c>
      <c r="M214" s="37" t="n">
        <v>450</v>
      </c>
      <c r="N214" s="37" t="n">
        <v>600</v>
      </c>
      <c r="O214" s="21" t="inlineStr">
        <is>
          <t>07:30</t>
        </is>
      </c>
      <c r="P214" s="21" t="inlineStr">
        <is>
          <t>10:00</t>
        </is>
      </c>
      <c r="Q214" s="22" t="n">
        <v>40</v>
      </c>
      <c r="R214" s="28" t="n">
        <v>2518</v>
      </c>
      <c r="S214" s="29" t="n">
        <v>7.36</v>
      </c>
      <c r="T214" s="21" t="inlineStr">
        <is>
          <t>5T</t>
        </is>
      </c>
      <c r="U214" s="21" t="inlineStr">
        <is>
          <t>8T</t>
        </is>
      </c>
      <c r="V214" s="21" t="inlineStr">
        <is>
          <t>Đông Bắc</t>
        </is>
      </c>
      <c r="W214" s="21" t="inlineStr">
        <is>
          <t>CR-ĐÔNG-04</t>
        </is>
      </c>
      <c r="X214" s="21" t="inlineStr">
        <is>
          <t>C - Có thể thương lượng</t>
        </is>
      </c>
      <c r="Y214" s="31" t="n">
        <v>2330000</v>
      </c>
      <c r="Z214" s="28" t="n">
        <v>80000</v>
      </c>
      <c r="AA214" s="21" t="inlineStr">
        <is>
          <t>Yes</t>
        </is>
      </c>
      <c r="AB214" s="21" t="inlineStr">
        <is>
          <t>2026-06-05</t>
        </is>
      </c>
      <c r="AC214" s="21" t="inlineStr">
        <is>
          <t>Ready</t>
        </is>
      </c>
      <c r="AD214" s="21" t="inlineStr">
        <is>
          <t>Pickup must happen before paired delivery</t>
        </is>
      </c>
    </row>
    <row r="215" ht="18" customHeight="1" s="17">
      <c r="A215" s="23" t="inlineStr">
        <is>
          <t>S3</t>
        </is>
      </c>
      <c r="B215" s="23" t="inlineStr">
        <is>
          <t>S3-ORD-033</t>
        </is>
      </c>
      <c r="C215" s="23" t="inlineStr">
        <is>
          <t>S3-ORD-033-D</t>
        </is>
      </c>
      <c r="D215" s="23" t="inlineStr">
        <is>
          <t>Delivery</t>
        </is>
      </c>
      <c r="E215" s="23" t="inlineStr">
        <is>
          <t>S3-ORD-033-P</t>
        </is>
      </c>
      <c r="F215" s="23" t="inlineStr">
        <is>
          <t>S3-ORD-033</t>
        </is>
      </c>
      <c r="G215" s="23" t="inlineStr">
        <is>
          <t>DL_QN_UONGBI</t>
        </is>
      </c>
      <c r="H215" s="23" t="inlineStr">
        <is>
          <t>VINMART Uông Bí</t>
        </is>
      </c>
      <c r="I215" s="23" t="inlineStr">
        <is>
          <t>Quảng Ninh</t>
        </is>
      </c>
      <c r="J215" s="23" t="inlineStr">
        <is>
          <t>Uông Bí</t>
        </is>
      </c>
      <c r="K215" s="38" t="n">
        <v>21.031495</v>
      </c>
      <c r="L215" s="38" t="n">
        <v>106.76688</v>
      </c>
      <c r="M215" s="39" t="n">
        <v>756</v>
      </c>
      <c r="N215" s="39" t="n">
        <v>846</v>
      </c>
      <c r="O215" s="23" t="inlineStr">
        <is>
          <t>12:36</t>
        </is>
      </c>
      <c r="P215" s="23" t="inlineStr">
        <is>
          <t>14:06</t>
        </is>
      </c>
      <c r="Q215" s="24" t="n">
        <v>35</v>
      </c>
      <c r="R215" s="32" t="n">
        <v>-2518</v>
      </c>
      <c r="S215" s="33" t="n">
        <v>-7.36</v>
      </c>
      <c r="T215" s="23" t="inlineStr">
        <is>
          <t>5T</t>
        </is>
      </c>
      <c r="U215" s="23" t="inlineStr">
        <is>
          <t>8T</t>
        </is>
      </c>
      <c r="V215" s="23" t="inlineStr">
        <is>
          <t>Đông Bắc</t>
        </is>
      </c>
      <c r="W215" s="23" t="inlineStr">
        <is>
          <t>CR-ĐÔNG-04</t>
        </is>
      </c>
      <c r="X215" s="23" t="inlineStr">
        <is>
          <t>C - Có thể thương lượng</t>
        </is>
      </c>
      <c r="Y215" s="35" t="n">
        <v>0</v>
      </c>
      <c r="Z215" s="32" t="n">
        <v>80000</v>
      </c>
      <c r="AA215" s="23" t="inlineStr">
        <is>
          <t>Yes</t>
        </is>
      </c>
      <c r="AB215" s="23" t="inlineStr">
        <is>
          <t>2026-06-05</t>
        </is>
      </c>
      <c r="AC215" s="23" t="inlineStr">
        <is>
          <t>Ready</t>
        </is>
      </c>
      <c r="AD215" s="23" t="inlineStr">
        <is>
          <t>Delivery paired with same order and same vehicle unless transshipment enabled</t>
        </is>
      </c>
    </row>
    <row r="216" ht="18" customHeight="1" s="17">
      <c r="A216" s="21" t="inlineStr">
        <is>
          <t>S3</t>
        </is>
      </c>
      <c r="B216" s="21" t="inlineStr">
        <is>
          <t>S3-ORD-034</t>
        </is>
      </c>
      <c r="C216" s="21" t="inlineStr">
        <is>
          <t>S3-ORD-034-P</t>
        </is>
      </c>
      <c r="D216" s="21" t="inlineStr">
        <is>
          <t>Pickup</t>
        </is>
      </c>
      <c r="E216" s="21" t="inlineStr">
        <is>
          <t>S3-ORD-034-D</t>
        </is>
      </c>
      <c r="F216" s="21" t="inlineStr">
        <is>
          <t>S3-ORD-034</t>
        </is>
      </c>
      <c r="G216" s="21" t="inlineStr">
        <is>
          <t>PK_LINFOX_VSIP</t>
        </is>
      </c>
      <c r="H216" s="21" t="inlineStr">
        <is>
          <t>Kho Linfox KCN VSIP Bắc Ninh</t>
        </is>
      </c>
      <c r="I216" s="21" t="inlineStr">
        <is>
          <t>Bắc Ninh</t>
        </is>
      </c>
      <c r="J216" s="21" t="inlineStr">
        <is>
          <t>Từ Sơn</t>
        </is>
      </c>
      <c r="K216" s="36" t="n">
        <v>21.082707</v>
      </c>
      <c r="L216" s="36" t="n">
        <v>105.997949</v>
      </c>
      <c r="M216" s="37" t="n">
        <v>510</v>
      </c>
      <c r="N216" s="37" t="n">
        <v>630</v>
      </c>
      <c r="O216" s="21" t="inlineStr">
        <is>
          <t>08:30</t>
        </is>
      </c>
      <c r="P216" s="21" t="inlineStr">
        <is>
          <t>10:30</t>
        </is>
      </c>
      <c r="Q216" s="22" t="n">
        <v>40</v>
      </c>
      <c r="R216" s="28" t="n">
        <v>1131</v>
      </c>
      <c r="S216" s="29" t="n">
        <v>10.14</v>
      </c>
      <c r="T216" s="21" t="inlineStr">
        <is>
          <t>5T</t>
        </is>
      </c>
      <c r="U216" s="21" t="inlineStr">
        <is>
          <t>1.25T</t>
        </is>
      </c>
      <c r="V216" s="21" t="inlineStr">
        <is>
          <t>Nội thành Hà Nội</t>
        </is>
      </c>
      <c r="W216" s="21" t="inlineStr">
        <is>
          <t>CR-NỘIT-05</t>
        </is>
      </c>
      <c r="X216" s="21" t="inlineStr">
        <is>
          <t>C - Có thể thương lượng</t>
        </is>
      </c>
      <c r="Y216" s="31" t="n">
        <v>740000</v>
      </c>
      <c r="Z216" s="28" t="n">
        <v>80000</v>
      </c>
      <c r="AA216" s="21" t="inlineStr">
        <is>
          <t>Yes</t>
        </is>
      </c>
      <c r="AB216" s="21" t="inlineStr">
        <is>
          <t>2026-06-05</t>
        </is>
      </c>
      <c r="AC216" s="21" t="inlineStr">
        <is>
          <t>Review</t>
        </is>
      </c>
      <c r="AD216" s="21" t="inlineStr">
        <is>
          <t>Pickup must happen before paired delivery</t>
        </is>
      </c>
    </row>
    <row r="217" ht="18" customHeight="1" s="17">
      <c r="A217" s="23" t="inlineStr">
        <is>
          <t>S3</t>
        </is>
      </c>
      <c r="B217" s="23" t="inlineStr">
        <is>
          <t>S3-ORD-034</t>
        </is>
      </c>
      <c r="C217" s="23" t="inlineStr">
        <is>
          <t>S3-ORD-034-D</t>
        </is>
      </c>
      <c r="D217" s="23" t="inlineStr">
        <is>
          <t>Delivery</t>
        </is>
      </c>
      <c r="E217" s="23" t="inlineStr">
        <is>
          <t>S3-ORD-034-P</t>
        </is>
      </c>
      <c r="F217" s="23" t="inlineStr">
        <is>
          <t>S3-ORD-034</t>
        </is>
      </c>
      <c r="G217" s="23" t="inlineStr">
        <is>
          <t>DL_HN_TIMESCITY</t>
        </is>
      </c>
      <c r="H217" s="23" t="inlineStr">
        <is>
          <t>VINMART Times City</t>
        </is>
      </c>
      <c r="I217" s="23" t="inlineStr">
        <is>
          <t>Hà Nội</t>
        </is>
      </c>
      <c r="J217" s="23" t="inlineStr">
        <is>
          <t>Hai Bà Trưng</t>
        </is>
      </c>
      <c r="K217" s="38" t="n">
        <v>20.994022</v>
      </c>
      <c r="L217" s="38" t="n">
        <v>105.869639</v>
      </c>
      <c r="M217" s="39" t="n">
        <v>645</v>
      </c>
      <c r="N217" s="39" t="n">
        <v>825</v>
      </c>
      <c r="O217" s="23" t="inlineStr">
        <is>
          <t>10:45</t>
        </is>
      </c>
      <c r="P217" s="23" t="inlineStr">
        <is>
          <t>13:45</t>
        </is>
      </c>
      <c r="Q217" s="24" t="n">
        <v>45</v>
      </c>
      <c r="R217" s="32" t="n">
        <v>-1131</v>
      </c>
      <c r="S217" s="33" t="n">
        <v>-10.14</v>
      </c>
      <c r="T217" s="23" t="inlineStr">
        <is>
          <t>5T</t>
        </is>
      </c>
      <c r="U217" s="23" t="inlineStr">
        <is>
          <t>1.25T</t>
        </is>
      </c>
      <c r="V217" s="23" t="inlineStr">
        <is>
          <t>Nội thành Hà Nội</t>
        </is>
      </c>
      <c r="W217" s="23" t="inlineStr">
        <is>
          <t>CR-NỘIT-05</t>
        </is>
      </c>
      <c r="X217" s="23" t="inlineStr">
        <is>
          <t>C - Có thể thương lượng</t>
        </is>
      </c>
      <c r="Y217" s="35" t="n">
        <v>0</v>
      </c>
      <c r="Z217" s="32" t="n">
        <v>80000</v>
      </c>
      <c r="AA217" s="23" t="inlineStr">
        <is>
          <t>Yes</t>
        </is>
      </c>
      <c r="AB217" s="23" t="inlineStr">
        <is>
          <t>2026-06-05</t>
        </is>
      </c>
      <c r="AC217" s="23" t="inlineStr">
        <is>
          <t>Review</t>
        </is>
      </c>
      <c r="AD217" s="23" t="inlineStr">
        <is>
          <t>Delivery paired with same order and same vehicle unless transshipment enabled</t>
        </is>
      </c>
    </row>
    <row r="218" ht="18" customHeight="1" s="17">
      <c r="A218" s="21" t="inlineStr">
        <is>
          <t>S3</t>
        </is>
      </c>
      <c r="B218" s="21" t="inlineStr">
        <is>
          <t>S3-ORD-035</t>
        </is>
      </c>
      <c r="C218" s="21" t="inlineStr">
        <is>
          <t>S3-ORD-035-P</t>
        </is>
      </c>
      <c r="D218" s="21" t="inlineStr">
        <is>
          <t>Pickup</t>
        </is>
      </c>
      <c r="E218" s="21" t="inlineStr">
        <is>
          <t>S3-ORD-035-D</t>
        </is>
      </c>
      <c r="F218" s="21" t="inlineStr">
        <is>
          <t>S3-ORD-035</t>
        </is>
      </c>
      <c r="G218" s="21" t="inlineStr">
        <is>
          <t>PK_HPL_LB</t>
        </is>
      </c>
      <c r="H218" s="21" t="inlineStr">
        <is>
          <t>HPL Depot Long Biên - 20 Thạch Bàn</t>
        </is>
      </c>
      <c r="I218" s="21" t="inlineStr">
        <is>
          <t>Hà Nội</t>
        </is>
      </c>
      <c r="J218" s="21" t="inlineStr">
        <is>
          <t>Long Biên</t>
        </is>
      </c>
      <c r="K218" s="36" t="n">
        <v>21.0261548385</v>
      </c>
      <c r="L218" s="36" t="n">
        <v>105.914182238</v>
      </c>
      <c r="M218" s="37" t="n">
        <v>510</v>
      </c>
      <c r="N218" s="37" t="n">
        <v>660</v>
      </c>
      <c r="O218" s="21" t="inlineStr">
        <is>
          <t>08:30</t>
        </is>
      </c>
      <c r="P218" s="21" t="inlineStr">
        <is>
          <t>11:00</t>
        </is>
      </c>
      <c r="Q218" s="22" t="n">
        <v>40</v>
      </c>
      <c r="R218" s="28" t="n">
        <v>2482</v>
      </c>
      <c r="S218" s="29" t="n">
        <v>12.43</v>
      </c>
      <c r="T218" s="21" t="inlineStr">
        <is>
          <t>5T</t>
        </is>
      </c>
      <c r="U218" s="21" t="inlineStr">
        <is>
          <t>8T</t>
        </is>
      </c>
      <c r="V218" s="21" t="inlineStr">
        <is>
          <t>Tây Bắc</t>
        </is>
      </c>
      <c r="W218" s="21" t="inlineStr">
        <is>
          <t>CR-TÂYB-01</t>
        </is>
      </c>
      <c r="X218" s="21" t="inlineStr">
        <is>
          <t>B - Thường</t>
        </is>
      </c>
      <c r="Y218" s="31" t="n">
        <v>1610000</v>
      </c>
      <c r="Z218" s="28" t="n">
        <v>80000</v>
      </c>
      <c r="AA218" s="21" t="inlineStr">
        <is>
          <t>Yes</t>
        </is>
      </c>
      <c r="AB218" s="21" t="inlineStr">
        <is>
          <t>2026-06-05</t>
        </is>
      </c>
      <c r="AC218" s="21" t="inlineStr">
        <is>
          <t>Ready</t>
        </is>
      </c>
      <c r="AD218" s="21" t="inlineStr">
        <is>
          <t>Pickup must happen before paired delivery</t>
        </is>
      </c>
    </row>
    <row r="219" ht="18" customHeight="1" s="17">
      <c r="A219" s="23" t="inlineStr">
        <is>
          <t>S3</t>
        </is>
      </c>
      <c r="B219" s="23" t="inlineStr">
        <is>
          <t>S3-ORD-035</t>
        </is>
      </c>
      <c r="C219" s="23" t="inlineStr">
        <is>
          <t>S3-ORD-035-D</t>
        </is>
      </c>
      <c r="D219" s="23" t="inlineStr">
        <is>
          <t>Delivery</t>
        </is>
      </c>
      <c r="E219" s="23" t="inlineStr">
        <is>
          <t>S3-ORD-035-P</t>
        </is>
      </c>
      <c r="F219" s="23" t="inlineStr">
        <is>
          <t>S3-ORD-035</t>
        </is>
      </c>
      <c r="G219" s="23" t="inlineStr">
        <is>
          <t>DL_TN_SIEUTHI</t>
        </is>
      </c>
      <c r="H219" s="23" t="inlineStr">
        <is>
          <t>Siêu thị Thái Nguyên</t>
        </is>
      </c>
      <c r="I219" s="23" t="inlineStr">
        <is>
          <t>Thái Nguyên</t>
        </is>
      </c>
      <c r="J219" s="23" t="inlineStr">
        <is>
          <t>Thái Nguyên</t>
        </is>
      </c>
      <c r="K219" s="38" t="n">
        <v>21.594221</v>
      </c>
      <c r="L219" s="38" t="n">
        <v>105.84817</v>
      </c>
      <c r="M219" s="39" t="n">
        <v>690</v>
      </c>
      <c r="N219" s="39" t="n">
        <v>840</v>
      </c>
      <c r="O219" s="23" t="inlineStr">
        <is>
          <t>11:30</t>
        </is>
      </c>
      <c r="P219" s="23" t="inlineStr">
        <is>
          <t>14:00</t>
        </is>
      </c>
      <c r="Q219" s="24" t="n">
        <v>45</v>
      </c>
      <c r="R219" s="32" t="n">
        <v>-2482</v>
      </c>
      <c r="S219" s="33" t="n">
        <v>-12.43</v>
      </c>
      <c r="T219" s="23" t="inlineStr">
        <is>
          <t>5T</t>
        </is>
      </c>
      <c r="U219" s="23" t="inlineStr">
        <is>
          <t>8T</t>
        </is>
      </c>
      <c r="V219" s="23" t="inlineStr">
        <is>
          <t>Tây Bắc</t>
        </is>
      </c>
      <c r="W219" s="23" t="inlineStr">
        <is>
          <t>CR-TÂYB-01</t>
        </is>
      </c>
      <c r="X219" s="23" t="inlineStr">
        <is>
          <t>B - Thường</t>
        </is>
      </c>
      <c r="Y219" s="35" t="n">
        <v>0</v>
      </c>
      <c r="Z219" s="32" t="n">
        <v>80000</v>
      </c>
      <c r="AA219" s="23" t="inlineStr">
        <is>
          <t>Yes</t>
        </is>
      </c>
      <c r="AB219" s="23" t="inlineStr">
        <is>
          <t>2026-06-05</t>
        </is>
      </c>
      <c r="AC219" s="23" t="inlineStr">
        <is>
          <t>Ready</t>
        </is>
      </c>
      <c r="AD219" s="23" t="inlineStr">
        <is>
          <t>Delivery paired with same order and same vehicle unless transshipment enabled</t>
        </is>
      </c>
    </row>
    <row r="220" ht="18" customHeight="1" s="17">
      <c r="A220" s="21" t="inlineStr">
        <is>
          <t>S3</t>
        </is>
      </c>
      <c r="B220" s="21" t="inlineStr">
        <is>
          <t>S3-ORD-036</t>
        </is>
      </c>
      <c r="C220" s="21" t="inlineStr">
        <is>
          <t>S3-ORD-036-P</t>
        </is>
      </c>
      <c r="D220" s="21" t="inlineStr">
        <is>
          <t>Pickup</t>
        </is>
      </c>
      <c r="E220" s="21" t="inlineStr">
        <is>
          <t>S3-ORD-036-D</t>
        </is>
      </c>
      <c r="F220" s="21" t="inlineStr">
        <is>
          <t>S3-ORD-036</t>
        </is>
      </c>
      <c r="G220" s="21" t="inlineStr">
        <is>
          <t>PK_NA_BACVINH</t>
        </is>
      </c>
      <c r="H220" s="21" t="inlineStr">
        <is>
          <t>Kho DC Vinh - KCN Bắc Vinh</t>
        </is>
      </c>
      <c r="I220" s="21" t="inlineStr">
        <is>
          <t>Nghệ An</t>
        </is>
      </c>
      <c r="J220" s="21" t="inlineStr">
        <is>
          <t>Vinh</t>
        </is>
      </c>
      <c r="K220" s="36" t="n">
        <v>18.733</v>
      </c>
      <c r="L220" s="36" t="n">
        <v>105.681</v>
      </c>
      <c r="M220" s="37" t="n">
        <v>510</v>
      </c>
      <c r="N220" s="37" t="n">
        <v>600</v>
      </c>
      <c r="O220" s="21" t="inlineStr">
        <is>
          <t>08:30</t>
        </is>
      </c>
      <c r="P220" s="21" t="inlineStr">
        <is>
          <t>10:00</t>
        </is>
      </c>
      <c r="Q220" s="22" t="n">
        <v>40</v>
      </c>
      <c r="R220" s="28" t="n">
        <v>6564</v>
      </c>
      <c r="S220" s="29" t="n">
        <v>11.81</v>
      </c>
      <c r="T220" s="21" t="inlineStr">
        <is>
          <t>8T</t>
        </is>
      </c>
      <c r="U220" s="21" t="inlineStr">
        <is>
          <t>5T</t>
        </is>
      </c>
      <c r="V220" s="21" t="inlineStr">
        <is>
          <t>Bắc Trung Bộ</t>
        </is>
      </c>
      <c r="W220" s="21" t="inlineStr">
        <is>
          <t>CR-BẮCT-02</t>
        </is>
      </c>
      <c r="X220" s="21" t="inlineStr">
        <is>
          <t>B - Thường</t>
        </is>
      </c>
      <c r="Y220" s="31" t="n">
        <v>1130000</v>
      </c>
      <c r="Z220" s="28" t="n">
        <v>80000</v>
      </c>
      <c r="AA220" s="21" t="inlineStr">
        <is>
          <t>Yes</t>
        </is>
      </c>
      <c r="AB220" s="21" t="inlineStr">
        <is>
          <t>2026-06-05</t>
        </is>
      </c>
      <c r="AC220" s="21" t="inlineStr">
        <is>
          <t>Review</t>
        </is>
      </c>
      <c r="AD220" s="21" t="inlineStr">
        <is>
          <t>Pickup must happen before paired delivery</t>
        </is>
      </c>
    </row>
    <row r="221" ht="18" customHeight="1" s="17">
      <c r="A221" s="23" t="inlineStr">
        <is>
          <t>S3</t>
        </is>
      </c>
      <c r="B221" s="23" t="inlineStr">
        <is>
          <t>S3-ORD-036</t>
        </is>
      </c>
      <c r="C221" s="23" t="inlineStr">
        <is>
          <t>S3-ORD-036-D</t>
        </is>
      </c>
      <c r="D221" s="23" t="inlineStr">
        <is>
          <t>Delivery</t>
        </is>
      </c>
      <c r="E221" s="23" t="inlineStr">
        <is>
          <t>S3-ORD-036-P</t>
        </is>
      </c>
      <c r="F221" s="23" t="inlineStr">
        <is>
          <t>S3-ORD-036</t>
        </is>
      </c>
      <c r="G221" s="23" t="inlineStr">
        <is>
          <t>DL_NA_SIEUTHI</t>
        </is>
      </c>
      <c r="H221" s="23" t="inlineStr">
        <is>
          <t>Siêu thị Vinh</t>
        </is>
      </c>
      <c r="I221" s="23" t="inlineStr">
        <is>
          <t>Nghệ An</t>
        </is>
      </c>
      <c r="J221" s="23" t="inlineStr">
        <is>
          <t>Vinh</t>
        </is>
      </c>
      <c r="K221" s="38" t="n">
        <v>18.679586</v>
      </c>
      <c r="L221" s="38" t="n">
        <v>105.681101</v>
      </c>
      <c r="M221" s="39" t="n">
        <v>613</v>
      </c>
      <c r="N221" s="39" t="n">
        <v>703</v>
      </c>
      <c r="O221" s="23" t="inlineStr">
        <is>
          <t>10:13</t>
        </is>
      </c>
      <c r="P221" s="23" t="inlineStr">
        <is>
          <t>11:43</t>
        </is>
      </c>
      <c r="Q221" s="24" t="n">
        <v>35</v>
      </c>
      <c r="R221" s="32" t="n">
        <v>-6564</v>
      </c>
      <c r="S221" s="33" t="n">
        <v>-11.81</v>
      </c>
      <c r="T221" s="23" t="inlineStr">
        <is>
          <t>8T</t>
        </is>
      </c>
      <c r="U221" s="23" t="inlineStr">
        <is>
          <t>5T</t>
        </is>
      </c>
      <c r="V221" s="23" t="inlineStr">
        <is>
          <t>Bắc Trung Bộ</t>
        </is>
      </c>
      <c r="W221" s="23" t="inlineStr">
        <is>
          <t>CR-BẮCT-02</t>
        </is>
      </c>
      <c r="X221" s="23" t="inlineStr">
        <is>
          <t>B - Thường</t>
        </is>
      </c>
      <c r="Y221" s="35" t="n">
        <v>0</v>
      </c>
      <c r="Z221" s="32" t="n">
        <v>80000</v>
      </c>
      <c r="AA221" s="23" t="inlineStr">
        <is>
          <t>Yes</t>
        </is>
      </c>
      <c r="AB221" s="23" t="inlineStr">
        <is>
          <t>2026-06-05</t>
        </is>
      </c>
      <c r="AC221" s="23" t="inlineStr">
        <is>
          <t>Review</t>
        </is>
      </c>
      <c r="AD221" s="23" t="inlineStr">
        <is>
          <t>Delivery paired with same order and same vehicle unless transshipment enabled</t>
        </is>
      </c>
    </row>
    <row r="222" ht="18" customHeight="1" s="17">
      <c r="A222" s="21" t="inlineStr">
        <is>
          <t>S3</t>
        </is>
      </c>
      <c r="B222" s="21" t="inlineStr">
        <is>
          <t>S3-ORD-037</t>
        </is>
      </c>
      <c r="C222" s="21" t="inlineStr">
        <is>
          <t>S3-ORD-037-P</t>
        </is>
      </c>
      <c r="D222" s="21" t="inlineStr">
        <is>
          <t>Pickup</t>
        </is>
      </c>
      <c r="E222" s="21" t="inlineStr">
        <is>
          <t>S3-ORD-037-D</t>
        </is>
      </c>
      <c r="F222" s="21" t="inlineStr">
        <is>
          <t>S3-ORD-037</t>
        </is>
      </c>
      <c r="G222" s="21" t="inlineStr">
        <is>
          <t>PK_HPL_LB</t>
        </is>
      </c>
      <c r="H222" s="21" t="inlineStr">
        <is>
          <t>HPL Depot Long Biên - 20 Thạch Bàn</t>
        </is>
      </c>
      <c r="I222" s="21" t="inlineStr">
        <is>
          <t>Hà Nội</t>
        </is>
      </c>
      <c r="J222" s="21" t="inlineStr">
        <is>
          <t>Long Biên</t>
        </is>
      </c>
      <c r="K222" s="36" t="n">
        <v>21.0261548385</v>
      </c>
      <c r="L222" s="36" t="n">
        <v>105.914182238</v>
      </c>
      <c r="M222" s="37" t="n">
        <v>480</v>
      </c>
      <c r="N222" s="37" t="n">
        <v>630</v>
      </c>
      <c r="O222" s="21" t="inlineStr">
        <is>
          <t>08:00</t>
        </is>
      </c>
      <c r="P222" s="21" t="inlineStr">
        <is>
          <t>10:30</t>
        </is>
      </c>
      <c r="Q222" s="22" t="n">
        <v>40</v>
      </c>
      <c r="R222" s="28" t="n">
        <v>1831</v>
      </c>
      <c r="S222" s="29" t="n">
        <v>4.46</v>
      </c>
      <c r="T222" s="21" t="inlineStr">
        <is>
          <t>5T</t>
        </is>
      </c>
      <c r="U222" s="21" t="inlineStr">
        <is>
          <t>8T</t>
        </is>
      </c>
      <c r="V222" s="21" t="inlineStr">
        <is>
          <t>Đông Bắc</t>
        </is>
      </c>
      <c r="W222" s="21" t="inlineStr">
        <is>
          <t>CR-ĐÔNG-03</t>
        </is>
      </c>
      <c r="X222" s="21" t="inlineStr">
        <is>
          <t>C - Có thể thương lượng</t>
        </is>
      </c>
      <c r="Y222" s="31" t="n">
        <v>1720000</v>
      </c>
      <c r="Z222" s="28" t="n">
        <v>80000</v>
      </c>
      <c r="AA222" s="21" t="inlineStr">
        <is>
          <t>Yes</t>
        </is>
      </c>
      <c r="AB222" s="21" t="inlineStr">
        <is>
          <t>2026-06-05</t>
        </is>
      </c>
      <c r="AC222" s="21" t="inlineStr">
        <is>
          <t>Ready</t>
        </is>
      </c>
      <c r="AD222" s="21" t="inlineStr">
        <is>
          <t>Pickup must happen before paired delivery</t>
        </is>
      </c>
    </row>
    <row r="223" ht="18" customHeight="1" s="17">
      <c r="A223" s="23" t="inlineStr">
        <is>
          <t>S3</t>
        </is>
      </c>
      <c r="B223" s="23" t="inlineStr">
        <is>
          <t>S3-ORD-037</t>
        </is>
      </c>
      <c r="C223" s="23" t="inlineStr">
        <is>
          <t>S3-ORD-037-D</t>
        </is>
      </c>
      <c r="D223" s="23" t="inlineStr">
        <is>
          <t>Delivery</t>
        </is>
      </c>
      <c r="E223" s="23" t="inlineStr">
        <is>
          <t>S3-ORD-037-P</t>
        </is>
      </c>
      <c r="F223" s="23" t="inlineStr">
        <is>
          <t>S3-ORD-037</t>
        </is>
      </c>
      <c r="G223" s="23" t="inlineStr">
        <is>
          <t>DL_QN_UONGBI</t>
        </is>
      </c>
      <c r="H223" s="23" t="inlineStr">
        <is>
          <t>VINMART Uông Bí</t>
        </is>
      </c>
      <c r="I223" s="23" t="inlineStr">
        <is>
          <t>Quảng Ninh</t>
        </is>
      </c>
      <c r="J223" s="23" t="inlineStr">
        <is>
          <t>Uông Bí</t>
        </is>
      </c>
      <c r="K223" s="38" t="n">
        <v>21.031495</v>
      </c>
      <c r="L223" s="38" t="n">
        <v>106.76688</v>
      </c>
      <c r="M223" s="39" t="n">
        <v>757</v>
      </c>
      <c r="N223" s="39" t="n">
        <v>847</v>
      </c>
      <c r="O223" s="23" t="inlineStr">
        <is>
          <t>12:37</t>
        </is>
      </c>
      <c r="P223" s="23" t="inlineStr">
        <is>
          <t>14:07</t>
        </is>
      </c>
      <c r="Q223" s="24" t="n">
        <v>35</v>
      </c>
      <c r="R223" s="32" t="n">
        <v>-1831</v>
      </c>
      <c r="S223" s="33" t="n">
        <v>-4.46</v>
      </c>
      <c r="T223" s="23" t="inlineStr">
        <is>
          <t>5T</t>
        </is>
      </c>
      <c r="U223" s="23" t="inlineStr">
        <is>
          <t>8T</t>
        </is>
      </c>
      <c r="V223" s="23" t="inlineStr">
        <is>
          <t>Đông Bắc</t>
        </is>
      </c>
      <c r="W223" s="23" t="inlineStr">
        <is>
          <t>CR-ĐÔNG-03</t>
        </is>
      </c>
      <c r="X223" s="23" t="inlineStr">
        <is>
          <t>C - Có thể thương lượng</t>
        </is>
      </c>
      <c r="Y223" s="35" t="n">
        <v>0</v>
      </c>
      <c r="Z223" s="32" t="n">
        <v>80000</v>
      </c>
      <c r="AA223" s="23" t="inlineStr">
        <is>
          <t>Yes</t>
        </is>
      </c>
      <c r="AB223" s="23" t="inlineStr">
        <is>
          <t>2026-06-05</t>
        </is>
      </c>
      <c r="AC223" s="23" t="inlineStr">
        <is>
          <t>Ready</t>
        </is>
      </c>
      <c r="AD223" s="23" t="inlineStr">
        <is>
          <t>Delivery paired with same order and same vehicle unless transshipment enabled</t>
        </is>
      </c>
    </row>
    <row r="224" ht="18" customHeight="1" s="17">
      <c r="A224" s="21" t="inlineStr">
        <is>
          <t>S3</t>
        </is>
      </c>
      <c r="B224" s="21" t="inlineStr">
        <is>
          <t>S3-ORD-038</t>
        </is>
      </c>
      <c r="C224" s="21" t="inlineStr">
        <is>
          <t>S3-ORD-038-P</t>
        </is>
      </c>
      <c r="D224" s="21" t="inlineStr">
        <is>
          <t>Pickup</t>
        </is>
      </c>
      <c r="E224" s="21" t="inlineStr">
        <is>
          <t>S3-ORD-038-D</t>
        </is>
      </c>
      <c r="F224" s="21" t="inlineStr">
        <is>
          <t>S3-ORD-038</t>
        </is>
      </c>
      <c r="G224" s="21" t="inlineStr">
        <is>
          <t>PK_LINFOX_VSIP</t>
        </is>
      </c>
      <c r="H224" s="21" t="inlineStr">
        <is>
          <t>Kho Linfox KCN VSIP Bắc Ninh</t>
        </is>
      </c>
      <c r="I224" s="21" t="inlineStr">
        <is>
          <t>Bắc Ninh</t>
        </is>
      </c>
      <c r="J224" s="21" t="inlineStr">
        <is>
          <t>Từ Sơn</t>
        </is>
      </c>
      <c r="K224" s="36" t="n">
        <v>21.082707</v>
      </c>
      <c r="L224" s="36" t="n">
        <v>105.997949</v>
      </c>
      <c r="M224" s="37" t="n">
        <v>450</v>
      </c>
      <c r="N224" s="37" t="n">
        <v>600</v>
      </c>
      <c r="O224" s="21" t="inlineStr">
        <is>
          <t>07:30</t>
        </is>
      </c>
      <c r="P224" s="21" t="inlineStr">
        <is>
          <t>10:00</t>
        </is>
      </c>
      <c r="Q224" s="22" t="n">
        <v>40</v>
      </c>
      <c r="R224" s="28" t="n">
        <v>635</v>
      </c>
      <c r="S224" s="29" t="n">
        <v>16.26</v>
      </c>
      <c r="T224" s="21" t="inlineStr">
        <is>
          <t>5T</t>
        </is>
      </c>
      <c r="U224" s="21" t="inlineStr">
        <is>
          <t>1.25T</t>
        </is>
      </c>
      <c r="V224" s="21" t="inlineStr">
        <is>
          <t>Nội thành Hà Nội</t>
        </is>
      </c>
      <c r="W224" s="21" t="inlineStr">
        <is>
          <t>CR-NỘIT-04</t>
        </is>
      </c>
      <c r="X224" s="21" t="inlineStr">
        <is>
          <t>A - SLA chặt</t>
        </is>
      </c>
      <c r="Y224" s="31" t="n">
        <v>920000</v>
      </c>
      <c r="Z224" s="28" t="n">
        <v>150000</v>
      </c>
      <c r="AA224" s="21" t="inlineStr">
        <is>
          <t>Yes</t>
        </is>
      </c>
      <c r="AB224" s="21" t="inlineStr">
        <is>
          <t>2026-06-05</t>
        </is>
      </c>
      <c r="AC224" s="21" t="inlineStr">
        <is>
          <t>Review</t>
        </is>
      </c>
      <c r="AD224" s="21" t="inlineStr">
        <is>
          <t>Pickup must happen before paired delivery</t>
        </is>
      </c>
    </row>
    <row r="225" ht="18" customHeight="1" s="17">
      <c r="A225" s="23" t="inlineStr">
        <is>
          <t>S3</t>
        </is>
      </c>
      <c r="B225" s="23" t="inlineStr">
        <is>
          <t>S3-ORD-038</t>
        </is>
      </c>
      <c r="C225" s="23" t="inlineStr">
        <is>
          <t>S3-ORD-038-D</t>
        </is>
      </c>
      <c r="D225" s="23" t="inlineStr">
        <is>
          <t>Delivery</t>
        </is>
      </c>
      <c r="E225" s="23" t="inlineStr">
        <is>
          <t>S3-ORD-038-P</t>
        </is>
      </c>
      <c r="F225" s="23" t="inlineStr">
        <is>
          <t>S3-ORD-038</t>
        </is>
      </c>
      <c r="G225" s="23" t="inlineStr">
        <is>
          <t>DL_HN_GARDEN</t>
        </is>
      </c>
      <c r="H225" s="23" t="inlineStr">
        <is>
          <t>TOPS MARKET Garden Mall</t>
        </is>
      </c>
      <c r="I225" s="23" t="inlineStr">
        <is>
          <t>Hà Nội</t>
        </is>
      </c>
      <c r="J225" s="23" t="inlineStr">
        <is>
          <t>Nam Từ Liêm</t>
        </is>
      </c>
      <c r="K225" s="38" t="n">
        <v>21.015324</v>
      </c>
      <c r="L225" s="38" t="n">
        <v>105.777839</v>
      </c>
      <c r="M225" s="39" t="n">
        <v>669</v>
      </c>
      <c r="N225" s="39" t="n">
        <v>819</v>
      </c>
      <c r="O225" s="23" t="inlineStr">
        <is>
          <t>11:09</t>
        </is>
      </c>
      <c r="P225" s="23" t="inlineStr">
        <is>
          <t>13:39</t>
        </is>
      </c>
      <c r="Q225" s="24" t="n">
        <v>45</v>
      </c>
      <c r="R225" s="32" t="n">
        <v>-635</v>
      </c>
      <c r="S225" s="33" t="n">
        <v>-16.26</v>
      </c>
      <c r="T225" s="23" t="inlineStr">
        <is>
          <t>5T</t>
        </is>
      </c>
      <c r="U225" s="23" t="inlineStr">
        <is>
          <t>1.25T</t>
        </is>
      </c>
      <c r="V225" s="23" t="inlineStr">
        <is>
          <t>Nội thành Hà Nội</t>
        </is>
      </c>
      <c r="W225" s="23" t="inlineStr">
        <is>
          <t>CR-NỘIT-04</t>
        </is>
      </c>
      <c r="X225" s="23" t="inlineStr">
        <is>
          <t>A - SLA chặt</t>
        </is>
      </c>
      <c r="Y225" s="35" t="n">
        <v>0</v>
      </c>
      <c r="Z225" s="32" t="n">
        <v>150000</v>
      </c>
      <c r="AA225" s="23" t="inlineStr">
        <is>
          <t>Yes</t>
        </is>
      </c>
      <c r="AB225" s="23" t="inlineStr">
        <is>
          <t>2026-06-05</t>
        </is>
      </c>
      <c r="AC225" s="23" t="inlineStr">
        <is>
          <t>Review</t>
        </is>
      </c>
      <c r="AD225" s="23" t="inlineStr">
        <is>
          <t>Delivery paired with same order and same vehicle unless transshipment enabled</t>
        </is>
      </c>
    </row>
    <row r="226" ht="18" customHeight="1" s="17">
      <c r="A226" s="21" t="inlineStr">
        <is>
          <t>S3</t>
        </is>
      </c>
      <c r="B226" s="21" t="inlineStr">
        <is>
          <t>S3-ORD-039</t>
        </is>
      </c>
      <c r="C226" s="21" t="inlineStr">
        <is>
          <t>S3-ORD-039-P</t>
        </is>
      </c>
      <c r="D226" s="21" t="inlineStr">
        <is>
          <t>Pickup</t>
        </is>
      </c>
      <c r="E226" s="21" t="inlineStr">
        <is>
          <t>S3-ORD-039-D</t>
        </is>
      </c>
      <c r="F226" s="21" t="inlineStr">
        <is>
          <t>S3-ORD-039</t>
        </is>
      </c>
      <c r="G226" s="21" t="inlineStr">
        <is>
          <t>PK_HY_MYHAO</t>
        </is>
      </c>
      <c r="H226" s="21" t="inlineStr">
        <is>
          <t>Kho/Nhà máy khách hàng Mỹ Hào</t>
        </is>
      </c>
      <c r="I226" s="21" t="inlineStr">
        <is>
          <t>Hưng Yên</t>
        </is>
      </c>
      <c r="J226" s="21" t="inlineStr">
        <is>
          <t>Mỹ Hào</t>
        </is>
      </c>
      <c r="K226" s="36" t="n">
        <v>20.9329</v>
      </c>
      <c r="L226" s="36" t="n">
        <v>106.065</v>
      </c>
      <c r="M226" s="37" t="n">
        <v>510</v>
      </c>
      <c r="N226" s="37" t="n">
        <v>600</v>
      </c>
      <c r="O226" s="21" t="inlineStr">
        <is>
          <t>08:30</t>
        </is>
      </c>
      <c r="P226" s="21" t="inlineStr">
        <is>
          <t>10:00</t>
        </is>
      </c>
      <c r="Q226" s="22" t="n">
        <v>25</v>
      </c>
      <c r="R226" s="28" t="n">
        <v>375</v>
      </c>
      <c r="S226" s="29" t="n">
        <v>0.72</v>
      </c>
      <c r="T226" s="21" t="inlineStr">
        <is>
          <t>5 tạ</t>
        </is>
      </c>
      <c r="U226" s="21" t="inlineStr">
        <is>
          <t>1.25T</t>
        </is>
      </c>
      <c r="V226" s="21" t="inlineStr">
        <is>
          <t>Nội thành Hà Nội</t>
        </is>
      </c>
      <c r="W226" s="21" t="inlineStr">
        <is>
          <t>CR-NỘIT-05</t>
        </is>
      </c>
      <c r="X226" s="21" t="inlineStr">
        <is>
          <t>A - SLA chặt</t>
        </is>
      </c>
      <c r="Y226" s="31" t="n">
        <v>870000</v>
      </c>
      <c r="Z226" s="28" t="n">
        <v>150000</v>
      </c>
      <c r="AA226" s="21" t="inlineStr">
        <is>
          <t>Yes</t>
        </is>
      </c>
      <c r="AB226" s="21" t="inlineStr">
        <is>
          <t>2026-06-05</t>
        </is>
      </c>
      <c r="AC226" s="21" t="inlineStr">
        <is>
          <t>Ready</t>
        </is>
      </c>
      <c r="AD226" s="21" t="inlineStr">
        <is>
          <t>Pickup must happen before paired delivery</t>
        </is>
      </c>
    </row>
    <row r="227" ht="18" customHeight="1" s="17">
      <c r="A227" s="23" t="inlineStr">
        <is>
          <t>S3</t>
        </is>
      </c>
      <c r="B227" s="23" t="inlineStr">
        <is>
          <t>S3-ORD-039</t>
        </is>
      </c>
      <c r="C227" s="23" t="inlineStr">
        <is>
          <t>S3-ORD-039-D</t>
        </is>
      </c>
      <c r="D227" s="23" t="inlineStr">
        <is>
          <t>Delivery</t>
        </is>
      </c>
      <c r="E227" s="23" t="inlineStr">
        <is>
          <t>S3-ORD-039-P</t>
        </is>
      </c>
      <c r="F227" s="23" t="inlineStr">
        <is>
          <t>S3-ORD-039</t>
        </is>
      </c>
      <c r="G227" s="23" t="inlineStr">
        <is>
          <t>DL_HN_PNT</t>
        </is>
      </c>
      <c r="H227" s="23" t="inlineStr">
        <is>
          <t>VINMART Phạm Ngọc Thạch</t>
        </is>
      </c>
      <c r="I227" s="23" t="inlineStr">
        <is>
          <t>Hà Nội</t>
        </is>
      </c>
      <c r="J227" s="23" t="inlineStr">
        <is>
          <t>Đống Đa</t>
        </is>
      </c>
      <c r="K227" s="38" t="n">
        <v>21.006268</v>
      </c>
      <c r="L227" s="38" t="n">
        <v>105.831931</v>
      </c>
      <c r="M227" s="39" t="n">
        <v>654</v>
      </c>
      <c r="N227" s="39" t="n">
        <v>804</v>
      </c>
      <c r="O227" s="23" t="inlineStr">
        <is>
          <t>10:54</t>
        </is>
      </c>
      <c r="P227" s="23" t="inlineStr">
        <is>
          <t>13:24</t>
        </is>
      </c>
      <c r="Q227" s="24" t="n">
        <v>20</v>
      </c>
      <c r="R227" s="32" t="n">
        <v>-375</v>
      </c>
      <c r="S227" s="33" t="n">
        <v>-0.72</v>
      </c>
      <c r="T227" s="23" t="inlineStr">
        <is>
          <t>5 tạ</t>
        </is>
      </c>
      <c r="U227" s="23" t="inlineStr">
        <is>
          <t>1.25T</t>
        </is>
      </c>
      <c r="V227" s="23" t="inlineStr">
        <is>
          <t>Nội thành Hà Nội</t>
        </is>
      </c>
      <c r="W227" s="23" t="inlineStr">
        <is>
          <t>CR-NỘIT-05</t>
        </is>
      </c>
      <c r="X227" s="23" t="inlineStr">
        <is>
          <t>A - SLA chặt</t>
        </is>
      </c>
      <c r="Y227" s="35" t="n">
        <v>0</v>
      </c>
      <c r="Z227" s="32" t="n">
        <v>150000</v>
      </c>
      <c r="AA227" s="23" t="inlineStr">
        <is>
          <t>Yes</t>
        </is>
      </c>
      <c r="AB227" s="23" t="inlineStr">
        <is>
          <t>2026-06-05</t>
        </is>
      </c>
      <c r="AC227" s="23" t="inlineStr">
        <is>
          <t>Ready</t>
        </is>
      </c>
      <c r="AD227" s="23" t="inlineStr">
        <is>
          <t>Delivery paired with same order and same vehicle unless transshipment enabled</t>
        </is>
      </c>
    </row>
    <row r="228" ht="18" customHeight="1" s="17">
      <c r="A228" s="21" t="inlineStr">
        <is>
          <t>S3</t>
        </is>
      </c>
      <c r="B228" s="21" t="inlineStr">
        <is>
          <t>S3-ORD-040</t>
        </is>
      </c>
      <c r="C228" s="21" t="inlineStr">
        <is>
          <t>S3-ORD-040-P</t>
        </is>
      </c>
      <c r="D228" s="21" t="inlineStr">
        <is>
          <t>Pickup</t>
        </is>
      </c>
      <c r="E228" s="21" t="inlineStr">
        <is>
          <t>S3-ORD-040-D</t>
        </is>
      </c>
      <c r="F228" s="21" t="inlineStr">
        <is>
          <t>S3-ORD-040</t>
        </is>
      </c>
      <c r="G228" s="21" t="inlineStr">
        <is>
          <t>PK_NA_BACVINH</t>
        </is>
      </c>
      <c r="H228" s="21" t="inlineStr">
        <is>
          <t>Kho DC Vinh - KCN Bắc Vinh</t>
        </is>
      </c>
      <c r="I228" s="21" t="inlineStr">
        <is>
          <t>Nghệ An</t>
        </is>
      </c>
      <c r="J228" s="21" t="inlineStr">
        <is>
          <t>Vinh</t>
        </is>
      </c>
      <c r="K228" s="36" t="n">
        <v>18.733</v>
      </c>
      <c r="L228" s="36" t="n">
        <v>105.681</v>
      </c>
      <c r="M228" s="37" t="n">
        <v>480</v>
      </c>
      <c r="N228" s="37" t="n">
        <v>570</v>
      </c>
      <c r="O228" s="21" t="inlineStr">
        <is>
          <t>08:00</t>
        </is>
      </c>
      <c r="P228" s="21" t="inlineStr">
        <is>
          <t>09:30</t>
        </is>
      </c>
      <c r="Q228" s="22" t="n">
        <v>40</v>
      </c>
      <c r="R228" s="28" t="n">
        <v>7877</v>
      </c>
      <c r="S228" s="29" t="n">
        <v>13.8</v>
      </c>
      <c r="T228" s="21" t="inlineStr">
        <is>
          <t>8T</t>
        </is>
      </c>
      <c r="U228" s="21" t="inlineStr">
        <is>
          <t>8T</t>
        </is>
      </c>
      <c r="V228" s="21" t="inlineStr">
        <is>
          <t>Bắc Trung Bộ</t>
        </is>
      </c>
      <c r="W228" s="21" t="inlineStr">
        <is>
          <t>CR-BẮCT-01</t>
        </is>
      </c>
      <c r="X228" s="21" t="inlineStr">
        <is>
          <t>B - Thường</t>
        </is>
      </c>
      <c r="Y228" s="31" t="n">
        <v>11290000</v>
      </c>
      <c r="Z228" s="28" t="n">
        <v>80000</v>
      </c>
      <c r="AA228" s="21" t="inlineStr">
        <is>
          <t>Yes</t>
        </is>
      </c>
      <c r="AB228" s="21" t="inlineStr">
        <is>
          <t>2026-06-05</t>
        </is>
      </c>
      <c r="AC228" s="21" t="inlineStr">
        <is>
          <t>Ready</t>
        </is>
      </c>
      <c r="AD228" s="21" t="inlineStr">
        <is>
          <t>Pickup must happen before paired delivery</t>
        </is>
      </c>
    </row>
    <row r="229" ht="18" customHeight="1" s="17">
      <c r="A229" s="23" t="inlineStr">
        <is>
          <t>S3</t>
        </is>
      </c>
      <c r="B229" s="23" t="inlineStr">
        <is>
          <t>S3-ORD-040</t>
        </is>
      </c>
      <c r="C229" s="23" t="inlineStr">
        <is>
          <t>S3-ORD-040-D</t>
        </is>
      </c>
      <c r="D229" s="23" t="inlineStr">
        <is>
          <t>Delivery</t>
        </is>
      </c>
      <c r="E229" s="23" t="inlineStr">
        <is>
          <t>S3-ORD-040-P</t>
        </is>
      </c>
      <c r="F229" s="23" t="inlineStr">
        <is>
          <t>S3-ORD-040</t>
        </is>
      </c>
      <c r="G229" s="23" t="inlineStr">
        <is>
          <t>DL_NB_SIEUTHI</t>
        </is>
      </c>
      <c r="H229" s="23" t="inlineStr">
        <is>
          <t>Siêu thị Ninh Bình</t>
        </is>
      </c>
      <c r="I229" s="23" t="inlineStr">
        <is>
          <t>Ninh Bình</t>
        </is>
      </c>
      <c r="J229" s="23" t="inlineStr">
        <is>
          <t>Hoa Lư</t>
        </is>
      </c>
      <c r="K229" s="38" t="n">
        <v>20.250614</v>
      </c>
      <c r="L229" s="38" t="n">
        <v>105.974454</v>
      </c>
      <c r="M229" s="39" t="n">
        <v>866</v>
      </c>
      <c r="N229" s="39" t="n">
        <v>986</v>
      </c>
      <c r="O229" s="23" t="inlineStr">
        <is>
          <t>14:26</t>
        </is>
      </c>
      <c r="P229" s="23" t="inlineStr">
        <is>
          <t>16:26</t>
        </is>
      </c>
      <c r="Q229" s="24" t="n">
        <v>35</v>
      </c>
      <c r="R229" s="32" t="n">
        <v>-7877</v>
      </c>
      <c r="S229" s="33" t="n">
        <v>-13.8</v>
      </c>
      <c r="T229" s="23" t="inlineStr">
        <is>
          <t>8T</t>
        </is>
      </c>
      <c r="U229" s="23" t="inlineStr">
        <is>
          <t>8T</t>
        </is>
      </c>
      <c r="V229" s="23" t="inlineStr">
        <is>
          <t>Bắc Trung Bộ</t>
        </is>
      </c>
      <c r="W229" s="23" t="inlineStr">
        <is>
          <t>CR-BẮCT-01</t>
        </is>
      </c>
      <c r="X229" s="23" t="inlineStr">
        <is>
          <t>B - Thường</t>
        </is>
      </c>
      <c r="Y229" s="35" t="n">
        <v>0</v>
      </c>
      <c r="Z229" s="32" t="n">
        <v>80000</v>
      </c>
      <c r="AA229" s="23" t="inlineStr">
        <is>
          <t>Yes</t>
        </is>
      </c>
      <c r="AB229" s="23" t="inlineStr">
        <is>
          <t>2026-06-05</t>
        </is>
      </c>
      <c r="AC229" s="23" t="inlineStr">
        <is>
          <t>Ready</t>
        </is>
      </c>
      <c r="AD229" s="23" t="inlineStr">
        <is>
          <t>Delivery paired with same order and same vehicle unless transshipment enabled</t>
        </is>
      </c>
    </row>
    <row r="230" ht="18" customHeight="1" s="17">
      <c r="A230" s="21" t="inlineStr">
        <is>
          <t>S3</t>
        </is>
      </c>
      <c r="B230" s="21" t="inlineStr">
        <is>
          <t>S3-ORD-041</t>
        </is>
      </c>
      <c r="C230" s="21" t="inlineStr">
        <is>
          <t>S3-ORD-041-P</t>
        </is>
      </c>
      <c r="D230" s="21" t="inlineStr">
        <is>
          <t>Pickup</t>
        </is>
      </c>
      <c r="E230" s="21" t="inlineStr">
        <is>
          <t>S3-ORD-041-D</t>
        </is>
      </c>
      <c r="F230" s="21" t="inlineStr">
        <is>
          <t>S3-ORD-041</t>
        </is>
      </c>
      <c r="G230" s="21" t="inlineStr">
        <is>
          <t>PK_HPL_LB</t>
        </is>
      </c>
      <c r="H230" s="21" t="inlineStr">
        <is>
          <t>HPL Depot Long Biên - 20 Thạch Bàn</t>
        </is>
      </c>
      <c r="I230" s="21" t="inlineStr">
        <is>
          <t>Hà Nội</t>
        </is>
      </c>
      <c r="J230" s="21" t="inlineStr">
        <is>
          <t>Long Biên</t>
        </is>
      </c>
      <c r="K230" s="36" t="n">
        <v>21.0261548385</v>
      </c>
      <c r="L230" s="36" t="n">
        <v>105.914182238</v>
      </c>
      <c r="M230" s="37" t="n">
        <v>450</v>
      </c>
      <c r="N230" s="37" t="n">
        <v>600</v>
      </c>
      <c r="O230" s="21" t="inlineStr">
        <is>
          <t>07:30</t>
        </is>
      </c>
      <c r="P230" s="21" t="inlineStr">
        <is>
          <t>10:00</t>
        </is>
      </c>
      <c r="Q230" s="22" t="n">
        <v>25</v>
      </c>
      <c r="R230" s="28" t="n">
        <v>383</v>
      </c>
      <c r="S230" s="29" t="n">
        <v>0.83</v>
      </c>
      <c r="T230" s="21" t="inlineStr">
        <is>
          <t>5 tạ</t>
        </is>
      </c>
      <c r="U230" s="21" t="inlineStr">
        <is>
          <t>1.25T</t>
        </is>
      </c>
      <c r="V230" s="21" t="inlineStr">
        <is>
          <t>Nội thành Hà Nội</t>
        </is>
      </c>
      <c r="W230" s="21" t="inlineStr">
        <is>
          <t>CR-NỘIT-02</t>
        </is>
      </c>
      <c r="X230" s="21" t="inlineStr">
        <is>
          <t>A - SLA chặt</t>
        </is>
      </c>
      <c r="Y230" s="31" t="n">
        <v>820000</v>
      </c>
      <c r="Z230" s="28" t="n">
        <v>150000</v>
      </c>
      <c r="AA230" s="21" t="inlineStr">
        <is>
          <t>Yes</t>
        </is>
      </c>
      <c r="AB230" s="21" t="inlineStr">
        <is>
          <t>2026-06-05</t>
        </is>
      </c>
      <c r="AC230" s="21" t="inlineStr">
        <is>
          <t>Ready</t>
        </is>
      </c>
      <c r="AD230" s="21" t="inlineStr">
        <is>
          <t>Pickup must happen before paired delivery</t>
        </is>
      </c>
    </row>
    <row r="231" ht="18" customHeight="1" s="17">
      <c r="A231" s="23" t="inlineStr">
        <is>
          <t>S3</t>
        </is>
      </c>
      <c r="B231" s="23" t="inlineStr">
        <is>
          <t>S3-ORD-041</t>
        </is>
      </c>
      <c r="C231" s="23" t="inlineStr">
        <is>
          <t>S3-ORD-041-D</t>
        </is>
      </c>
      <c r="D231" s="23" t="inlineStr">
        <is>
          <t>Delivery</t>
        </is>
      </c>
      <c r="E231" s="23" t="inlineStr">
        <is>
          <t>S3-ORD-041-P</t>
        </is>
      </c>
      <c r="F231" s="23" t="inlineStr">
        <is>
          <t>S3-ORD-041</t>
        </is>
      </c>
      <c r="G231" s="23" t="inlineStr">
        <is>
          <t>DL_HN_NAMDUONG</t>
        </is>
      </c>
      <c r="H231" s="23" t="inlineStr">
        <is>
          <t>Nam Dương</t>
        </is>
      </c>
      <c r="I231" s="23" t="inlineStr">
        <is>
          <t>Hà Nội</t>
        </is>
      </c>
      <c r="J231" s="23" t="inlineStr">
        <is>
          <t>Hà Nội</t>
        </is>
      </c>
      <c r="K231" s="38" t="n">
        <v>21.062911</v>
      </c>
      <c r="L231" s="38" t="n">
        <v>105.832351</v>
      </c>
      <c r="M231" s="39" t="n">
        <v>522</v>
      </c>
      <c r="N231" s="39" t="n">
        <v>672</v>
      </c>
      <c r="O231" s="23" t="inlineStr">
        <is>
          <t>08:42</t>
        </is>
      </c>
      <c r="P231" s="23" t="inlineStr">
        <is>
          <t>11:12</t>
        </is>
      </c>
      <c r="Q231" s="24" t="n">
        <v>20</v>
      </c>
      <c r="R231" s="32" t="n">
        <v>-383</v>
      </c>
      <c r="S231" s="33" t="n">
        <v>-0.83</v>
      </c>
      <c r="T231" s="23" t="inlineStr">
        <is>
          <t>5 tạ</t>
        </is>
      </c>
      <c r="U231" s="23" t="inlineStr">
        <is>
          <t>1.25T</t>
        </is>
      </c>
      <c r="V231" s="23" t="inlineStr">
        <is>
          <t>Nội thành Hà Nội</t>
        </is>
      </c>
      <c r="W231" s="23" t="inlineStr">
        <is>
          <t>CR-NỘIT-02</t>
        </is>
      </c>
      <c r="X231" s="23" t="inlineStr">
        <is>
          <t>A - SLA chặt</t>
        </is>
      </c>
      <c r="Y231" s="35" t="n">
        <v>0</v>
      </c>
      <c r="Z231" s="32" t="n">
        <v>150000</v>
      </c>
      <c r="AA231" s="23" t="inlineStr">
        <is>
          <t>Yes</t>
        </is>
      </c>
      <c r="AB231" s="23" t="inlineStr">
        <is>
          <t>2026-06-05</t>
        </is>
      </c>
      <c r="AC231" s="23" t="inlineStr">
        <is>
          <t>Ready</t>
        </is>
      </c>
      <c r="AD231" s="23" t="inlineStr">
        <is>
          <t>Delivery paired with same order and same vehicle unless transshipment enabled</t>
        </is>
      </c>
    </row>
    <row r="232" ht="18" customHeight="1" s="17">
      <c r="A232" s="21" t="inlineStr">
        <is>
          <t>S3</t>
        </is>
      </c>
      <c r="B232" s="21" t="inlineStr">
        <is>
          <t>S3-ORD-042</t>
        </is>
      </c>
      <c r="C232" s="21" t="inlineStr">
        <is>
          <t>S3-ORD-042-P</t>
        </is>
      </c>
      <c r="D232" s="21" t="inlineStr">
        <is>
          <t>Pickup</t>
        </is>
      </c>
      <c r="E232" s="21" t="inlineStr">
        <is>
          <t>S3-ORD-042-D</t>
        </is>
      </c>
      <c r="F232" s="21" t="inlineStr">
        <is>
          <t>S3-ORD-042</t>
        </is>
      </c>
      <c r="G232" s="21" t="inlineStr">
        <is>
          <t>PK_LINFOX_VSIP</t>
        </is>
      </c>
      <c r="H232" s="21" t="inlineStr">
        <is>
          <t>Kho Linfox KCN VSIP Bắc Ninh</t>
        </is>
      </c>
      <c r="I232" s="21" t="inlineStr">
        <is>
          <t>Bắc Ninh</t>
        </is>
      </c>
      <c r="J232" s="21" t="inlineStr">
        <is>
          <t>Từ Sơn</t>
        </is>
      </c>
      <c r="K232" s="36" t="n">
        <v>21.082707</v>
      </c>
      <c r="L232" s="36" t="n">
        <v>105.997949</v>
      </c>
      <c r="M232" s="37" t="n">
        <v>420</v>
      </c>
      <c r="N232" s="37" t="n">
        <v>570</v>
      </c>
      <c r="O232" s="21" t="inlineStr">
        <is>
          <t>07:00</t>
        </is>
      </c>
      <c r="P232" s="21" t="inlineStr">
        <is>
          <t>09:30</t>
        </is>
      </c>
      <c r="Q232" s="22" t="n">
        <v>40</v>
      </c>
      <c r="R232" s="28" t="n">
        <v>1735</v>
      </c>
      <c r="S232" s="29" t="n">
        <v>4.15</v>
      </c>
      <c r="T232" s="21" t="inlineStr">
        <is>
          <t>5T</t>
        </is>
      </c>
      <c r="U232" s="21" t="inlineStr">
        <is>
          <t>8T</t>
        </is>
      </c>
      <c r="V232" s="21" t="inlineStr">
        <is>
          <t>Đông Bắc</t>
        </is>
      </c>
      <c r="W232" s="21" t="inlineStr">
        <is>
          <t>CR-ĐÔNG-03</t>
        </is>
      </c>
      <c r="X232" s="21" t="inlineStr">
        <is>
          <t>C - Có thể thương lượng</t>
        </is>
      </c>
      <c r="Y232" s="31" t="n">
        <v>1770000</v>
      </c>
      <c r="Z232" s="28" t="n">
        <v>80000</v>
      </c>
      <c r="AA232" s="21" t="inlineStr">
        <is>
          <t>Yes</t>
        </is>
      </c>
      <c r="AB232" s="21" t="inlineStr">
        <is>
          <t>2026-06-05</t>
        </is>
      </c>
      <c r="AC232" s="21" t="inlineStr">
        <is>
          <t>Ready</t>
        </is>
      </c>
      <c r="AD232" s="21" t="inlineStr">
        <is>
          <t>Pickup must happen before paired delivery</t>
        </is>
      </c>
    </row>
    <row r="233" ht="18" customHeight="1" s="17">
      <c r="A233" s="23" t="inlineStr">
        <is>
          <t>S3</t>
        </is>
      </c>
      <c r="B233" s="23" t="inlineStr">
        <is>
          <t>S3-ORD-042</t>
        </is>
      </c>
      <c r="C233" s="23" t="inlineStr">
        <is>
          <t>S3-ORD-042-D</t>
        </is>
      </c>
      <c r="D233" s="23" t="inlineStr">
        <is>
          <t>Delivery</t>
        </is>
      </c>
      <c r="E233" s="23" t="inlineStr">
        <is>
          <t>S3-ORD-042-P</t>
        </is>
      </c>
      <c r="F233" s="23" t="inlineStr">
        <is>
          <t>S3-ORD-042</t>
        </is>
      </c>
      <c r="G233" s="23" t="inlineStr">
        <is>
          <t>DL_QN_UONGBI</t>
        </is>
      </c>
      <c r="H233" s="23" t="inlineStr">
        <is>
          <t>VINMART Uông Bí</t>
        </is>
      </c>
      <c r="I233" s="23" t="inlineStr">
        <is>
          <t>Quảng Ninh</t>
        </is>
      </c>
      <c r="J233" s="23" t="inlineStr">
        <is>
          <t>Uông Bí</t>
        </is>
      </c>
      <c r="K233" s="38" t="n">
        <v>21.031495</v>
      </c>
      <c r="L233" s="38" t="n">
        <v>106.76688</v>
      </c>
      <c r="M233" s="39" t="n">
        <v>653</v>
      </c>
      <c r="N233" s="39" t="n">
        <v>743</v>
      </c>
      <c r="O233" s="23" t="inlineStr">
        <is>
          <t>10:53</t>
        </is>
      </c>
      <c r="P233" s="23" t="inlineStr">
        <is>
          <t>12:23</t>
        </is>
      </c>
      <c r="Q233" s="24" t="n">
        <v>35</v>
      </c>
      <c r="R233" s="32" t="n">
        <v>-1735</v>
      </c>
      <c r="S233" s="33" t="n">
        <v>-4.15</v>
      </c>
      <c r="T233" s="23" t="inlineStr">
        <is>
          <t>5T</t>
        </is>
      </c>
      <c r="U233" s="23" t="inlineStr">
        <is>
          <t>8T</t>
        </is>
      </c>
      <c r="V233" s="23" t="inlineStr">
        <is>
          <t>Đông Bắc</t>
        </is>
      </c>
      <c r="W233" s="23" t="inlineStr">
        <is>
          <t>CR-ĐÔNG-03</t>
        </is>
      </c>
      <c r="X233" s="23" t="inlineStr">
        <is>
          <t>C - Có thể thương lượng</t>
        </is>
      </c>
      <c r="Y233" s="35" t="n">
        <v>0</v>
      </c>
      <c r="Z233" s="32" t="n">
        <v>80000</v>
      </c>
      <c r="AA233" s="23" t="inlineStr">
        <is>
          <t>Yes</t>
        </is>
      </c>
      <c r="AB233" s="23" t="inlineStr">
        <is>
          <t>2026-06-05</t>
        </is>
      </c>
      <c r="AC233" s="23" t="inlineStr">
        <is>
          <t>Ready</t>
        </is>
      </c>
      <c r="AD233" s="23" t="inlineStr">
        <is>
          <t>Delivery paired with same order and same vehicle unless transshipment enabled</t>
        </is>
      </c>
    </row>
    <row r="234" ht="18" customHeight="1" s="17">
      <c r="A234" s="21" t="inlineStr">
        <is>
          <t>S3</t>
        </is>
      </c>
      <c r="B234" s="21" t="inlineStr">
        <is>
          <t>S3-ORD-043</t>
        </is>
      </c>
      <c r="C234" s="21" t="inlineStr">
        <is>
          <t>S3-ORD-043-P</t>
        </is>
      </c>
      <c r="D234" s="21" t="inlineStr">
        <is>
          <t>Pickup</t>
        </is>
      </c>
      <c r="E234" s="21" t="inlineStr">
        <is>
          <t>S3-ORD-043-D</t>
        </is>
      </c>
      <c r="F234" s="21" t="inlineStr">
        <is>
          <t>S3-ORD-043</t>
        </is>
      </c>
      <c r="G234" s="21" t="inlineStr">
        <is>
          <t>PK_HPL_LB</t>
        </is>
      </c>
      <c r="H234" s="21" t="inlineStr">
        <is>
          <t>HPL Depot Long Biên - 20 Thạch Bàn</t>
        </is>
      </c>
      <c r="I234" s="21" t="inlineStr">
        <is>
          <t>Hà Nội</t>
        </is>
      </c>
      <c r="J234" s="21" t="inlineStr">
        <is>
          <t>Long Biên</t>
        </is>
      </c>
      <c r="K234" s="36" t="n">
        <v>21.0261548385</v>
      </c>
      <c r="L234" s="36" t="n">
        <v>105.914182238</v>
      </c>
      <c r="M234" s="37" t="n">
        <v>540</v>
      </c>
      <c r="N234" s="37" t="n">
        <v>660</v>
      </c>
      <c r="O234" s="21" t="inlineStr">
        <is>
          <t>09:00</t>
        </is>
      </c>
      <c r="P234" s="21" t="inlineStr">
        <is>
          <t>11:00</t>
        </is>
      </c>
      <c r="Q234" s="22" t="n">
        <v>40</v>
      </c>
      <c r="R234" s="28" t="n">
        <v>1414</v>
      </c>
      <c r="S234" s="29" t="n">
        <v>2.67</v>
      </c>
      <c r="T234" s="21" t="inlineStr">
        <is>
          <t>5T</t>
        </is>
      </c>
      <c r="U234" s="21" t="inlineStr">
        <is>
          <t>1.25T</t>
        </is>
      </c>
      <c r="V234" s="21" t="inlineStr">
        <is>
          <t>Nội thành Hà Nội</t>
        </is>
      </c>
      <c r="W234" s="21" t="inlineStr">
        <is>
          <t>CR-NỘIT-04</t>
        </is>
      </c>
      <c r="X234" s="21" t="inlineStr">
        <is>
          <t>A - SLA chặt</t>
        </is>
      </c>
      <c r="Y234" s="31" t="n">
        <v>720000</v>
      </c>
      <c r="Z234" s="28" t="n">
        <v>150000</v>
      </c>
      <c r="AA234" s="21" t="inlineStr">
        <is>
          <t>Yes</t>
        </is>
      </c>
      <c r="AB234" s="21" t="inlineStr">
        <is>
          <t>2026-06-05</t>
        </is>
      </c>
      <c r="AC234" s="21" t="inlineStr">
        <is>
          <t>Review</t>
        </is>
      </c>
      <c r="AD234" s="21" t="inlineStr">
        <is>
          <t>Pickup must happen before paired delivery</t>
        </is>
      </c>
    </row>
    <row r="235" ht="18" customHeight="1" s="17">
      <c r="A235" s="23" t="inlineStr">
        <is>
          <t>S3</t>
        </is>
      </c>
      <c r="B235" s="23" t="inlineStr">
        <is>
          <t>S3-ORD-043</t>
        </is>
      </c>
      <c r="C235" s="23" t="inlineStr">
        <is>
          <t>S3-ORD-043-D</t>
        </is>
      </c>
      <c r="D235" s="23" t="inlineStr">
        <is>
          <t>Delivery</t>
        </is>
      </c>
      <c r="E235" s="23" t="inlineStr">
        <is>
          <t>S3-ORD-043-P</t>
        </is>
      </c>
      <c r="F235" s="23" t="inlineStr">
        <is>
          <t>S3-ORD-043</t>
        </is>
      </c>
      <c r="G235" s="23" t="inlineStr">
        <is>
          <t>DL_HN_ROYAL</t>
        </is>
      </c>
      <c r="H235" s="23" t="inlineStr">
        <is>
          <t>VINMART Royal City</t>
        </is>
      </c>
      <c r="I235" s="23" t="inlineStr">
        <is>
          <t>Hà Nội</t>
        </is>
      </c>
      <c r="J235" s="23" t="inlineStr">
        <is>
          <t>Thanh Xuân</t>
        </is>
      </c>
      <c r="K235" s="38" t="n">
        <v>21.003388</v>
      </c>
      <c r="L235" s="38" t="n">
        <v>105.816212</v>
      </c>
      <c r="M235" s="39" t="n">
        <v>631</v>
      </c>
      <c r="N235" s="39" t="n">
        <v>811</v>
      </c>
      <c r="O235" s="23" t="inlineStr">
        <is>
          <t>10:31</t>
        </is>
      </c>
      <c r="P235" s="23" t="inlineStr">
        <is>
          <t>13:31</t>
        </is>
      </c>
      <c r="Q235" s="24" t="n">
        <v>45</v>
      </c>
      <c r="R235" s="32" t="n">
        <v>-1414</v>
      </c>
      <c r="S235" s="33" t="n">
        <v>-2.67</v>
      </c>
      <c r="T235" s="23" t="inlineStr">
        <is>
          <t>5T</t>
        </is>
      </c>
      <c r="U235" s="23" t="inlineStr">
        <is>
          <t>1.25T</t>
        </is>
      </c>
      <c r="V235" s="23" t="inlineStr">
        <is>
          <t>Nội thành Hà Nội</t>
        </is>
      </c>
      <c r="W235" s="23" t="inlineStr">
        <is>
          <t>CR-NỘIT-04</t>
        </is>
      </c>
      <c r="X235" s="23" t="inlineStr">
        <is>
          <t>A - SLA chặt</t>
        </is>
      </c>
      <c r="Y235" s="35" t="n">
        <v>0</v>
      </c>
      <c r="Z235" s="32" t="n">
        <v>150000</v>
      </c>
      <c r="AA235" s="23" t="inlineStr">
        <is>
          <t>Yes</t>
        </is>
      </c>
      <c r="AB235" s="23" t="inlineStr">
        <is>
          <t>2026-06-05</t>
        </is>
      </c>
      <c r="AC235" s="23" t="inlineStr">
        <is>
          <t>Review</t>
        </is>
      </c>
      <c r="AD235" s="23" t="inlineStr">
        <is>
          <t>Delivery paired with same order and same vehicle unless transshipment enabled</t>
        </is>
      </c>
    </row>
    <row r="236" ht="18" customHeight="1" s="17">
      <c r="A236" s="21" t="inlineStr">
        <is>
          <t>S3</t>
        </is>
      </c>
      <c r="B236" s="21" t="inlineStr">
        <is>
          <t>S3-ORD-044</t>
        </is>
      </c>
      <c r="C236" s="21" t="inlineStr">
        <is>
          <t>S3-ORD-044-P</t>
        </is>
      </c>
      <c r="D236" s="21" t="inlineStr">
        <is>
          <t>Pickup</t>
        </is>
      </c>
      <c r="E236" s="21" t="inlineStr">
        <is>
          <t>S3-ORD-044-D</t>
        </is>
      </c>
      <c r="F236" s="21" t="inlineStr">
        <is>
          <t>S3-ORD-044</t>
        </is>
      </c>
      <c r="G236" s="21" t="inlineStr">
        <is>
          <t>PK_HPL_LB</t>
        </is>
      </c>
      <c r="H236" s="21" t="inlineStr">
        <is>
          <t>HPL Depot Long Biên - 20 Thạch Bàn</t>
        </is>
      </c>
      <c r="I236" s="21" t="inlineStr">
        <is>
          <t>Hà Nội</t>
        </is>
      </c>
      <c r="J236" s="21" t="inlineStr">
        <is>
          <t>Long Biên</t>
        </is>
      </c>
      <c r="K236" s="36" t="n">
        <v>21.0261548385</v>
      </c>
      <c r="L236" s="36" t="n">
        <v>105.914182238</v>
      </c>
      <c r="M236" s="37" t="n">
        <v>480</v>
      </c>
      <c r="N236" s="37" t="n">
        <v>570</v>
      </c>
      <c r="O236" s="21" t="inlineStr">
        <is>
          <t>08:00</t>
        </is>
      </c>
      <c r="P236" s="21" t="inlineStr">
        <is>
          <t>09:30</t>
        </is>
      </c>
      <c r="Q236" s="22" t="n">
        <v>40</v>
      </c>
      <c r="R236" s="28" t="n">
        <v>7725</v>
      </c>
      <c r="S236" s="29" t="n">
        <v>14.89</v>
      </c>
      <c r="T236" s="21" t="inlineStr">
        <is>
          <t>8T</t>
        </is>
      </c>
      <c r="U236" s="21" t="inlineStr">
        <is>
          <t>5T</t>
        </is>
      </c>
      <c r="V236" s="21" t="inlineStr">
        <is>
          <t>Đông Bắc</t>
        </is>
      </c>
      <c r="W236" s="21" t="inlineStr">
        <is>
          <t>CR-ĐÔNG-05</t>
        </is>
      </c>
      <c r="X236" s="21" t="inlineStr">
        <is>
          <t>A - SLA chặt</t>
        </is>
      </c>
      <c r="Y236" s="31" t="n">
        <v>4950000</v>
      </c>
      <c r="Z236" s="28" t="n">
        <v>150000</v>
      </c>
      <c r="AA236" s="21" t="inlineStr">
        <is>
          <t>Yes</t>
        </is>
      </c>
      <c r="AB236" s="21" t="inlineStr">
        <is>
          <t>2026-06-05</t>
        </is>
      </c>
      <c r="AC236" s="21" t="inlineStr">
        <is>
          <t>Review</t>
        </is>
      </c>
      <c r="AD236" s="21" t="inlineStr">
        <is>
          <t>Pickup must happen before paired delivery</t>
        </is>
      </c>
    </row>
    <row r="237" ht="18" customHeight="1" s="17">
      <c r="A237" s="23" t="inlineStr">
        <is>
          <t>S3</t>
        </is>
      </c>
      <c r="B237" s="23" t="inlineStr">
        <is>
          <t>S3-ORD-044</t>
        </is>
      </c>
      <c r="C237" s="23" t="inlineStr">
        <is>
          <t>S3-ORD-044-D</t>
        </is>
      </c>
      <c r="D237" s="23" t="inlineStr">
        <is>
          <t>Delivery</t>
        </is>
      </c>
      <c r="E237" s="23" t="inlineStr">
        <is>
          <t>S3-ORD-044-P</t>
        </is>
      </c>
      <c r="F237" s="23" t="inlineStr">
        <is>
          <t>S3-ORD-044</t>
        </is>
      </c>
      <c r="G237" s="23" t="inlineStr">
        <is>
          <t>DL_HP_HONGBANG</t>
        </is>
      </c>
      <c r="H237" s="23" t="inlineStr">
        <is>
          <t>MM Hồng Bàng</t>
        </is>
      </c>
      <c r="I237" s="23" t="inlineStr">
        <is>
          <t>Hải Phòng</t>
        </is>
      </c>
      <c r="J237" s="23" t="inlineStr">
        <is>
          <t>Hồng Bàng</t>
        </is>
      </c>
      <c r="K237" s="38" t="n">
        <v>20.856112</v>
      </c>
      <c r="L237" s="38" t="n">
        <v>106.682239</v>
      </c>
      <c r="M237" s="39" t="n">
        <v>779</v>
      </c>
      <c r="N237" s="39" t="n">
        <v>929</v>
      </c>
      <c r="O237" s="23" t="inlineStr">
        <is>
          <t>12:59</t>
        </is>
      </c>
      <c r="P237" s="23" t="inlineStr">
        <is>
          <t>15:29</t>
        </is>
      </c>
      <c r="Q237" s="24" t="n">
        <v>45</v>
      </c>
      <c r="R237" s="32" t="n">
        <v>-7725</v>
      </c>
      <c r="S237" s="33" t="n">
        <v>-14.89</v>
      </c>
      <c r="T237" s="23" t="inlineStr">
        <is>
          <t>8T</t>
        </is>
      </c>
      <c r="U237" s="23" t="inlineStr">
        <is>
          <t>5T</t>
        </is>
      </c>
      <c r="V237" s="23" t="inlineStr">
        <is>
          <t>Đông Bắc</t>
        </is>
      </c>
      <c r="W237" s="23" t="inlineStr">
        <is>
          <t>CR-ĐÔNG-05</t>
        </is>
      </c>
      <c r="X237" s="23" t="inlineStr">
        <is>
          <t>A - SLA chặt</t>
        </is>
      </c>
      <c r="Y237" s="35" t="n">
        <v>0</v>
      </c>
      <c r="Z237" s="32" t="n">
        <v>150000</v>
      </c>
      <c r="AA237" s="23" t="inlineStr">
        <is>
          <t>Yes</t>
        </is>
      </c>
      <c r="AB237" s="23" t="inlineStr">
        <is>
          <t>2026-06-05</t>
        </is>
      </c>
      <c r="AC237" s="23" t="inlineStr">
        <is>
          <t>Review</t>
        </is>
      </c>
      <c r="AD237" s="23" t="inlineStr">
        <is>
          <t>Delivery paired with same order and same vehicle unless transshipment enabled</t>
        </is>
      </c>
    </row>
    <row r="238" ht="18" customHeight="1" s="17">
      <c r="A238" s="21" t="inlineStr">
        <is>
          <t>S3</t>
        </is>
      </c>
      <c r="B238" s="21" t="inlineStr">
        <is>
          <t>S3-ORD-045</t>
        </is>
      </c>
      <c r="C238" s="21" t="inlineStr">
        <is>
          <t>S3-ORD-045-P</t>
        </is>
      </c>
      <c r="D238" s="21" t="inlineStr">
        <is>
          <t>Pickup</t>
        </is>
      </c>
      <c r="E238" s="21" t="inlineStr">
        <is>
          <t>S3-ORD-045-D</t>
        </is>
      </c>
      <c r="F238" s="21" t="inlineStr">
        <is>
          <t>S3-ORD-045</t>
        </is>
      </c>
      <c r="G238" s="21" t="inlineStr">
        <is>
          <t>PK_NA_BACVINH</t>
        </is>
      </c>
      <c r="H238" s="21" t="inlineStr">
        <is>
          <t>Kho DC Vinh - KCN Bắc Vinh</t>
        </is>
      </c>
      <c r="I238" s="21" t="inlineStr">
        <is>
          <t>Nghệ An</t>
        </is>
      </c>
      <c r="J238" s="21" t="inlineStr">
        <is>
          <t>Vinh</t>
        </is>
      </c>
      <c r="K238" s="36" t="n">
        <v>18.733</v>
      </c>
      <c r="L238" s="36" t="n">
        <v>105.681</v>
      </c>
      <c r="M238" s="37" t="n">
        <v>420</v>
      </c>
      <c r="N238" s="37" t="n">
        <v>570</v>
      </c>
      <c r="O238" s="21" t="inlineStr">
        <is>
          <t>07:00</t>
        </is>
      </c>
      <c r="P238" s="21" t="inlineStr">
        <is>
          <t>09:30</t>
        </is>
      </c>
      <c r="Q238" s="22" t="n">
        <v>120</v>
      </c>
      <c r="R238" s="28" t="n">
        <v>7891</v>
      </c>
      <c r="S238" s="29" t="n">
        <v>135.51</v>
      </c>
      <c r="T238" s="21" t="inlineStr">
        <is>
          <t>Container</t>
        </is>
      </c>
      <c r="U238" s="21" t="inlineStr">
        <is>
          <t>8T</t>
        </is>
      </c>
      <c r="V238" s="21" t="inlineStr">
        <is>
          <t>Bắc Trung Bộ</t>
        </is>
      </c>
      <c r="W238" s="21" t="inlineStr">
        <is>
          <t>CR-BẮCT-01</t>
        </is>
      </c>
      <c r="X238" s="21" t="inlineStr">
        <is>
          <t>B - Thường</t>
        </is>
      </c>
      <c r="Y238" s="31" t="n">
        <v>13160000</v>
      </c>
      <c r="Z238" s="28" t="n">
        <v>80000</v>
      </c>
      <c r="AA238" s="21" t="inlineStr">
        <is>
          <t>Yes</t>
        </is>
      </c>
      <c r="AB238" s="21" t="inlineStr">
        <is>
          <t>2026-06-05</t>
        </is>
      </c>
      <c r="AC238" s="21" t="inlineStr">
        <is>
          <t>Review</t>
        </is>
      </c>
      <c r="AD238" s="21" t="inlineStr">
        <is>
          <t>Pickup must happen before paired delivery</t>
        </is>
      </c>
    </row>
    <row r="239" ht="18" customHeight="1" s="17">
      <c r="A239" s="23" t="inlineStr">
        <is>
          <t>S3</t>
        </is>
      </c>
      <c r="B239" s="23" t="inlineStr">
        <is>
          <t>S3-ORD-045</t>
        </is>
      </c>
      <c r="C239" s="23" t="inlineStr">
        <is>
          <t>S3-ORD-045-D</t>
        </is>
      </c>
      <c r="D239" s="23" t="inlineStr">
        <is>
          <t>Delivery</t>
        </is>
      </c>
      <c r="E239" s="23" t="inlineStr">
        <is>
          <t>S3-ORD-045-P</t>
        </is>
      </c>
      <c r="F239" s="23" t="inlineStr">
        <is>
          <t>S3-ORD-045</t>
        </is>
      </c>
      <c r="G239" s="23" t="inlineStr">
        <is>
          <t>DL_HN_GO_HANAM</t>
        </is>
      </c>
      <c r="H239" s="23" t="inlineStr">
        <is>
          <t>GO! Hà Nam</t>
        </is>
      </c>
      <c r="I239" s="23" t="inlineStr">
        <is>
          <t>Ninh Bình</t>
        </is>
      </c>
      <c r="J239" s="23" t="inlineStr">
        <is>
          <t>Phủ Lý</t>
        </is>
      </c>
      <c r="K239" s="38" t="n">
        <v>20.541</v>
      </c>
      <c r="L239" s="38" t="n">
        <v>105.913</v>
      </c>
      <c r="M239" s="39" t="n">
        <v>878</v>
      </c>
      <c r="N239" s="39" t="n">
        <v>998</v>
      </c>
      <c r="O239" s="23" t="inlineStr">
        <is>
          <t>14:38</t>
        </is>
      </c>
      <c r="P239" s="23" t="inlineStr">
        <is>
          <t>16:38</t>
        </is>
      </c>
      <c r="Q239" s="24" t="n">
        <v>100</v>
      </c>
      <c r="R239" s="32" t="n">
        <v>-7891</v>
      </c>
      <c r="S239" s="33" t="n">
        <v>-135.51</v>
      </c>
      <c r="T239" s="23" t="inlineStr">
        <is>
          <t>Container</t>
        </is>
      </c>
      <c r="U239" s="23" t="inlineStr">
        <is>
          <t>8T</t>
        </is>
      </c>
      <c r="V239" s="23" t="inlineStr">
        <is>
          <t>Bắc Trung Bộ</t>
        </is>
      </c>
      <c r="W239" s="23" t="inlineStr">
        <is>
          <t>CR-BẮCT-01</t>
        </is>
      </c>
      <c r="X239" s="23" t="inlineStr">
        <is>
          <t>B - Thường</t>
        </is>
      </c>
      <c r="Y239" s="35" t="n">
        <v>0</v>
      </c>
      <c r="Z239" s="32" t="n">
        <v>80000</v>
      </c>
      <c r="AA239" s="23" t="inlineStr">
        <is>
          <t>Yes</t>
        </is>
      </c>
      <c r="AB239" s="23" t="inlineStr">
        <is>
          <t>2026-06-05</t>
        </is>
      </c>
      <c r="AC239" s="23" t="inlineStr">
        <is>
          <t>Review</t>
        </is>
      </c>
      <c r="AD239" s="23" t="inlineStr">
        <is>
          <t>Delivery paired with same order and same vehicle unless transshipment enabled</t>
        </is>
      </c>
    </row>
    <row r="240" ht="18" customHeight="1" s="17">
      <c r="A240" s="21" t="inlineStr">
        <is>
          <t>S3</t>
        </is>
      </c>
      <c r="B240" s="21" t="inlineStr">
        <is>
          <t>S3-ORD-046</t>
        </is>
      </c>
      <c r="C240" s="21" t="inlineStr">
        <is>
          <t>S3-ORD-046-P</t>
        </is>
      </c>
      <c r="D240" s="21" t="inlineStr">
        <is>
          <t>Pickup</t>
        </is>
      </c>
      <c r="E240" s="21" t="inlineStr">
        <is>
          <t>S3-ORD-046-D</t>
        </is>
      </c>
      <c r="F240" s="21" t="inlineStr">
        <is>
          <t>S3-ORD-046</t>
        </is>
      </c>
      <c r="G240" s="21" t="inlineStr">
        <is>
          <t>PK_LINFOX_VSIP</t>
        </is>
      </c>
      <c r="H240" s="21" t="inlineStr">
        <is>
          <t>Kho Linfox KCN VSIP Bắc Ninh</t>
        </is>
      </c>
      <c r="I240" s="21" t="inlineStr">
        <is>
          <t>Bắc Ninh</t>
        </is>
      </c>
      <c r="J240" s="21" t="inlineStr">
        <is>
          <t>Từ Sơn</t>
        </is>
      </c>
      <c r="K240" s="36" t="n">
        <v>21.082707</v>
      </c>
      <c r="L240" s="36" t="n">
        <v>105.997949</v>
      </c>
      <c r="M240" s="37" t="n">
        <v>480</v>
      </c>
      <c r="N240" s="37" t="n">
        <v>600</v>
      </c>
      <c r="O240" s="21" t="inlineStr">
        <is>
          <t>08:00</t>
        </is>
      </c>
      <c r="P240" s="21" t="inlineStr">
        <is>
          <t>10:00</t>
        </is>
      </c>
      <c r="Q240" s="22" t="n">
        <v>40</v>
      </c>
      <c r="R240" s="28" t="n">
        <v>6612</v>
      </c>
      <c r="S240" s="29" t="n">
        <v>26.07</v>
      </c>
      <c r="T240" s="21" t="inlineStr">
        <is>
          <t>8T</t>
        </is>
      </c>
      <c r="U240" s="21" t="inlineStr">
        <is>
          <t>8T</t>
        </is>
      </c>
      <c r="V240" s="21" t="inlineStr">
        <is>
          <t>Đông Bắc</t>
        </is>
      </c>
      <c r="W240" s="21" t="inlineStr">
        <is>
          <t>CR-ĐÔNG-02</t>
        </is>
      </c>
      <c r="X240" s="21" t="inlineStr">
        <is>
          <t>C - Có thể thương lượng</t>
        </is>
      </c>
      <c r="Y240" s="31" t="n">
        <v>4090000</v>
      </c>
      <c r="Z240" s="28" t="n">
        <v>80000</v>
      </c>
      <c r="AA240" s="21" t="inlineStr">
        <is>
          <t>Yes</t>
        </is>
      </c>
      <c r="AB240" s="21" t="inlineStr">
        <is>
          <t>2026-06-05</t>
        </is>
      </c>
      <c r="AC240" s="21" t="inlineStr">
        <is>
          <t>Ready</t>
        </is>
      </c>
      <c r="AD240" s="21" t="inlineStr">
        <is>
          <t>Pickup must happen before paired delivery</t>
        </is>
      </c>
    </row>
    <row r="241" ht="18" customHeight="1" s="17">
      <c r="A241" s="23" t="inlineStr">
        <is>
          <t>S3</t>
        </is>
      </c>
      <c r="B241" s="23" t="inlineStr">
        <is>
          <t>S3-ORD-046</t>
        </is>
      </c>
      <c r="C241" s="23" t="inlineStr">
        <is>
          <t>S3-ORD-046-D</t>
        </is>
      </c>
      <c r="D241" s="23" t="inlineStr">
        <is>
          <t>Delivery</t>
        </is>
      </c>
      <c r="E241" s="23" t="inlineStr">
        <is>
          <t>S3-ORD-046-P</t>
        </is>
      </c>
      <c r="F241" s="23" t="inlineStr">
        <is>
          <t>S3-ORD-046</t>
        </is>
      </c>
      <c r="G241" s="23" t="inlineStr">
        <is>
          <t>DL_QN_UONGBI</t>
        </is>
      </c>
      <c r="H241" s="23" t="inlineStr">
        <is>
          <t>VINMART Uông Bí</t>
        </is>
      </c>
      <c r="I241" s="23" t="inlineStr">
        <is>
          <t>Quảng Ninh</t>
        </is>
      </c>
      <c r="J241" s="23" t="inlineStr">
        <is>
          <t>Uông Bí</t>
        </is>
      </c>
      <c r="K241" s="38" t="n">
        <v>21.031495</v>
      </c>
      <c r="L241" s="38" t="n">
        <v>106.76688</v>
      </c>
      <c r="M241" s="39" t="n">
        <v>681</v>
      </c>
      <c r="N241" s="39" t="n">
        <v>861</v>
      </c>
      <c r="O241" s="23" t="inlineStr">
        <is>
          <t>11:21</t>
        </is>
      </c>
      <c r="P241" s="23" t="inlineStr">
        <is>
          <t>14:21</t>
        </is>
      </c>
      <c r="Q241" s="24" t="n">
        <v>35</v>
      </c>
      <c r="R241" s="32" t="n">
        <v>-6612</v>
      </c>
      <c r="S241" s="33" t="n">
        <v>-26.07</v>
      </c>
      <c r="T241" s="23" t="inlineStr">
        <is>
          <t>8T</t>
        </is>
      </c>
      <c r="U241" s="23" t="inlineStr">
        <is>
          <t>8T</t>
        </is>
      </c>
      <c r="V241" s="23" t="inlineStr">
        <is>
          <t>Đông Bắc</t>
        </is>
      </c>
      <c r="W241" s="23" t="inlineStr">
        <is>
          <t>CR-ĐÔNG-02</t>
        </is>
      </c>
      <c r="X241" s="23" t="inlineStr">
        <is>
          <t>C - Có thể thương lượng</t>
        </is>
      </c>
      <c r="Y241" s="35" t="n">
        <v>0</v>
      </c>
      <c r="Z241" s="32" t="n">
        <v>80000</v>
      </c>
      <c r="AA241" s="23" t="inlineStr">
        <is>
          <t>Yes</t>
        </is>
      </c>
      <c r="AB241" s="23" t="inlineStr">
        <is>
          <t>2026-06-05</t>
        </is>
      </c>
      <c r="AC241" s="23" t="inlineStr">
        <is>
          <t>Ready</t>
        </is>
      </c>
      <c r="AD241" s="23" t="inlineStr">
        <is>
          <t>Delivery paired with same order and same vehicle unless transshipment enabled</t>
        </is>
      </c>
    </row>
    <row r="242" ht="18" customHeight="1" s="17">
      <c r="A242" s="21" t="inlineStr">
        <is>
          <t>S3</t>
        </is>
      </c>
      <c r="B242" s="21" t="inlineStr">
        <is>
          <t>S3-ORD-047</t>
        </is>
      </c>
      <c r="C242" s="21" t="inlineStr">
        <is>
          <t>S3-ORD-047-P</t>
        </is>
      </c>
      <c r="D242" s="21" t="inlineStr">
        <is>
          <t>Pickup</t>
        </is>
      </c>
      <c r="E242" s="21" t="inlineStr">
        <is>
          <t>S3-ORD-047-D</t>
        </is>
      </c>
      <c r="F242" s="21" t="inlineStr">
        <is>
          <t>S3-ORD-047</t>
        </is>
      </c>
      <c r="G242" s="21" t="inlineStr">
        <is>
          <t>PK_HY_MYHAO</t>
        </is>
      </c>
      <c r="H242" s="21" t="inlineStr">
        <is>
          <t>Kho/Nhà máy khách hàng Mỹ Hào</t>
        </is>
      </c>
      <c r="I242" s="21" t="inlineStr">
        <is>
          <t>Hưng Yên</t>
        </is>
      </c>
      <c r="J242" s="21" t="inlineStr">
        <is>
          <t>Mỹ Hào</t>
        </is>
      </c>
      <c r="K242" s="36" t="n">
        <v>20.9329</v>
      </c>
      <c r="L242" s="36" t="n">
        <v>106.065</v>
      </c>
      <c r="M242" s="37" t="n">
        <v>480</v>
      </c>
      <c r="N242" s="37" t="n">
        <v>600</v>
      </c>
      <c r="O242" s="21" t="inlineStr">
        <is>
          <t>08:00</t>
        </is>
      </c>
      <c r="P242" s="21" t="inlineStr">
        <is>
          <t>10:00</t>
        </is>
      </c>
      <c r="Q242" s="22" t="n">
        <v>40</v>
      </c>
      <c r="R242" s="28" t="n">
        <v>535</v>
      </c>
      <c r="S242" s="29" t="n">
        <v>12.91</v>
      </c>
      <c r="T242" s="21" t="inlineStr">
        <is>
          <t>5T</t>
        </is>
      </c>
      <c r="U242" s="21" t="inlineStr">
        <is>
          <t>1.25T</t>
        </is>
      </c>
      <c r="V242" s="21" t="inlineStr">
        <is>
          <t>Nội thành Hà Nội</t>
        </is>
      </c>
      <c r="W242" s="21" t="inlineStr">
        <is>
          <t>CR-NỘIT-03</t>
        </is>
      </c>
      <c r="X242" s="21" t="inlineStr">
        <is>
          <t>B - Thường</t>
        </is>
      </c>
      <c r="Y242" s="31" t="n">
        <v>920000</v>
      </c>
      <c r="Z242" s="28" t="n">
        <v>80000</v>
      </c>
      <c r="AA242" s="21" t="inlineStr">
        <is>
          <t>Yes</t>
        </is>
      </c>
      <c r="AB242" s="21" t="inlineStr">
        <is>
          <t>2026-06-05</t>
        </is>
      </c>
      <c r="AC242" s="21" t="inlineStr">
        <is>
          <t>Review</t>
        </is>
      </c>
      <c r="AD242" s="21" t="inlineStr">
        <is>
          <t>Pickup must happen before paired delivery</t>
        </is>
      </c>
    </row>
    <row r="243" ht="18" customHeight="1" s="17">
      <c r="A243" s="23" t="inlineStr">
        <is>
          <t>S3</t>
        </is>
      </c>
      <c r="B243" s="23" t="inlineStr">
        <is>
          <t>S3-ORD-047</t>
        </is>
      </c>
      <c r="C243" s="23" t="inlineStr">
        <is>
          <t>S3-ORD-047-D</t>
        </is>
      </c>
      <c r="D243" s="23" t="inlineStr">
        <is>
          <t>Delivery</t>
        </is>
      </c>
      <c r="E243" s="23" t="inlineStr">
        <is>
          <t>S3-ORD-047-P</t>
        </is>
      </c>
      <c r="F243" s="23" t="inlineStr">
        <is>
          <t>S3-ORD-047</t>
        </is>
      </c>
      <c r="G243" s="23" t="inlineStr">
        <is>
          <t>DL_HN_BACTULIEM</t>
        </is>
      </c>
      <c r="H243" s="23" t="inlineStr">
        <is>
          <t>VINMART Bắc Từ Liêm</t>
        </is>
      </c>
      <c r="I243" s="23" t="inlineStr">
        <is>
          <t>Hà Nội</t>
        </is>
      </c>
      <c r="J243" s="23" t="inlineStr">
        <is>
          <t>Bắc Từ Liêm</t>
        </is>
      </c>
      <c r="K243" s="38" t="n">
        <v>21.052701</v>
      </c>
      <c r="L243" s="38" t="n">
        <v>105.780729</v>
      </c>
      <c r="M243" s="39" t="n">
        <v>626</v>
      </c>
      <c r="N243" s="39" t="n">
        <v>746</v>
      </c>
      <c r="O243" s="23" t="inlineStr">
        <is>
          <t>10:26</t>
        </is>
      </c>
      <c r="P243" s="23" t="inlineStr">
        <is>
          <t>12:26</t>
        </is>
      </c>
      <c r="Q243" s="24" t="n">
        <v>35</v>
      </c>
      <c r="R243" s="32" t="n">
        <v>-535</v>
      </c>
      <c r="S243" s="33" t="n">
        <v>-12.91</v>
      </c>
      <c r="T243" s="23" t="inlineStr">
        <is>
          <t>5T</t>
        </is>
      </c>
      <c r="U243" s="23" t="inlineStr">
        <is>
          <t>1.25T</t>
        </is>
      </c>
      <c r="V243" s="23" t="inlineStr">
        <is>
          <t>Nội thành Hà Nội</t>
        </is>
      </c>
      <c r="W243" s="23" t="inlineStr">
        <is>
          <t>CR-NỘIT-03</t>
        </is>
      </c>
      <c r="X243" s="23" t="inlineStr">
        <is>
          <t>B - Thường</t>
        </is>
      </c>
      <c r="Y243" s="35" t="n">
        <v>0</v>
      </c>
      <c r="Z243" s="32" t="n">
        <v>80000</v>
      </c>
      <c r="AA243" s="23" t="inlineStr">
        <is>
          <t>Yes</t>
        </is>
      </c>
      <c r="AB243" s="23" t="inlineStr">
        <is>
          <t>2026-06-05</t>
        </is>
      </c>
      <c r="AC243" s="23" t="inlineStr">
        <is>
          <t>Review</t>
        </is>
      </c>
      <c r="AD243" s="23" t="inlineStr">
        <is>
          <t>Delivery paired with same order and same vehicle unless transshipment enabled</t>
        </is>
      </c>
    </row>
    <row r="244" ht="18" customHeight="1" s="17">
      <c r="A244" s="21" t="inlineStr">
        <is>
          <t>S3</t>
        </is>
      </c>
      <c r="B244" s="21" t="inlineStr">
        <is>
          <t>S3-ORD-048</t>
        </is>
      </c>
      <c r="C244" s="21" t="inlineStr">
        <is>
          <t>S3-ORD-048-P</t>
        </is>
      </c>
      <c r="D244" s="21" t="inlineStr">
        <is>
          <t>Pickup</t>
        </is>
      </c>
      <c r="E244" s="21" t="inlineStr">
        <is>
          <t>S3-ORD-048-D</t>
        </is>
      </c>
      <c r="F244" s="21" t="inlineStr">
        <is>
          <t>S3-ORD-048</t>
        </is>
      </c>
      <c r="G244" s="21" t="inlineStr">
        <is>
          <t>PK_HY_MYHAO</t>
        </is>
      </c>
      <c r="H244" s="21" t="inlineStr">
        <is>
          <t>Kho/Nhà máy khách hàng Mỹ Hào</t>
        </is>
      </c>
      <c r="I244" s="21" t="inlineStr">
        <is>
          <t>Hưng Yên</t>
        </is>
      </c>
      <c r="J244" s="21" t="inlineStr">
        <is>
          <t>Mỹ Hào</t>
        </is>
      </c>
      <c r="K244" s="36" t="n">
        <v>20.9329</v>
      </c>
      <c r="L244" s="36" t="n">
        <v>106.065</v>
      </c>
      <c r="M244" s="37" t="n">
        <v>510</v>
      </c>
      <c r="N244" s="37" t="n">
        <v>660</v>
      </c>
      <c r="O244" s="21" t="inlineStr">
        <is>
          <t>08:30</t>
        </is>
      </c>
      <c r="P244" s="21" t="inlineStr">
        <is>
          <t>11:00</t>
        </is>
      </c>
      <c r="Q244" s="22" t="n">
        <v>40</v>
      </c>
      <c r="R244" s="28" t="n">
        <v>1639</v>
      </c>
      <c r="S244" s="29" t="n">
        <v>8.300000000000001</v>
      </c>
      <c r="T244" s="21" t="inlineStr">
        <is>
          <t>5T</t>
        </is>
      </c>
      <c r="U244" s="21" t="inlineStr">
        <is>
          <t>1.25T</t>
        </is>
      </c>
      <c r="V244" s="21" t="inlineStr">
        <is>
          <t>Nội thành Hà Nội</t>
        </is>
      </c>
      <c r="W244" s="21" t="inlineStr">
        <is>
          <t>CR-NỘIT-04</t>
        </is>
      </c>
      <c r="X244" s="21" t="inlineStr">
        <is>
          <t>A - SLA chặt</t>
        </is>
      </c>
      <c r="Y244" s="31" t="n">
        <v>980000</v>
      </c>
      <c r="Z244" s="28" t="n">
        <v>150000</v>
      </c>
      <c r="AA244" s="21" t="inlineStr">
        <is>
          <t>Yes</t>
        </is>
      </c>
      <c r="AB244" s="21" t="inlineStr">
        <is>
          <t>2026-06-05</t>
        </is>
      </c>
      <c r="AC244" s="21" t="inlineStr">
        <is>
          <t>Review</t>
        </is>
      </c>
      <c r="AD244" s="21" t="inlineStr">
        <is>
          <t>Pickup must happen before paired delivery</t>
        </is>
      </c>
    </row>
    <row r="245" ht="18" customHeight="1" s="17">
      <c r="A245" s="23" t="inlineStr">
        <is>
          <t>S3</t>
        </is>
      </c>
      <c r="B245" s="23" t="inlineStr">
        <is>
          <t>S3-ORD-048</t>
        </is>
      </c>
      <c r="C245" s="23" t="inlineStr">
        <is>
          <t>S3-ORD-048-D</t>
        </is>
      </c>
      <c r="D245" s="23" t="inlineStr">
        <is>
          <t>Delivery</t>
        </is>
      </c>
      <c r="E245" s="23" t="inlineStr">
        <is>
          <t>S3-ORD-048-P</t>
        </is>
      </c>
      <c r="F245" s="23" t="inlineStr">
        <is>
          <t>S3-ORD-048</t>
        </is>
      </c>
      <c r="G245" s="23" t="inlineStr">
        <is>
          <t>DL_HN_PARKCITY</t>
        </is>
      </c>
      <c r="H245" s="23" t="inlineStr">
        <is>
          <t>TOPS MARKET ParkCity</t>
        </is>
      </c>
      <c r="I245" s="23" t="inlineStr">
        <is>
          <t>Hà Nội</t>
        </is>
      </c>
      <c r="J245" s="23" t="inlineStr">
        <is>
          <t>Hà Đông</t>
        </is>
      </c>
      <c r="K245" s="38" t="n">
        <v>20.965724</v>
      </c>
      <c r="L245" s="38" t="n">
        <v>105.756143</v>
      </c>
      <c r="M245" s="39" t="n">
        <v>595</v>
      </c>
      <c r="N245" s="39" t="n">
        <v>685</v>
      </c>
      <c r="O245" s="23" t="inlineStr">
        <is>
          <t>09:55</t>
        </is>
      </c>
      <c r="P245" s="23" t="inlineStr">
        <is>
          <t>11:25</t>
        </is>
      </c>
      <c r="Q245" s="24" t="n">
        <v>45</v>
      </c>
      <c r="R245" s="32" t="n">
        <v>-1639</v>
      </c>
      <c r="S245" s="33" t="n">
        <v>-8.300000000000001</v>
      </c>
      <c r="T245" s="23" t="inlineStr">
        <is>
          <t>5T</t>
        </is>
      </c>
      <c r="U245" s="23" t="inlineStr">
        <is>
          <t>1.25T</t>
        </is>
      </c>
      <c r="V245" s="23" t="inlineStr">
        <is>
          <t>Nội thành Hà Nội</t>
        </is>
      </c>
      <c r="W245" s="23" t="inlineStr">
        <is>
          <t>CR-NỘIT-04</t>
        </is>
      </c>
      <c r="X245" s="23" t="inlineStr">
        <is>
          <t>A - SLA chặt</t>
        </is>
      </c>
      <c r="Y245" s="35" t="n">
        <v>0</v>
      </c>
      <c r="Z245" s="32" t="n">
        <v>150000</v>
      </c>
      <c r="AA245" s="23" t="inlineStr">
        <is>
          <t>Yes</t>
        </is>
      </c>
      <c r="AB245" s="23" t="inlineStr">
        <is>
          <t>2026-06-05</t>
        </is>
      </c>
      <c r="AC245" s="23" t="inlineStr">
        <is>
          <t>Review</t>
        </is>
      </c>
      <c r="AD245" s="23" t="inlineStr">
        <is>
          <t>Delivery paired with same order and same vehicle unless transshipment enabled</t>
        </is>
      </c>
    </row>
    <row r="246" ht="18" customHeight="1" s="17">
      <c r="A246" s="21" t="inlineStr">
        <is>
          <t>S3</t>
        </is>
      </c>
      <c r="B246" s="21" t="inlineStr">
        <is>
          <t>S3-ORD-049</t>
        </is>
      </c>
      <c r="C246" s="21" t="inlineStr">
        <is>
          <t>S3-ORD-049-P</t>
        </is>
      </c>
      <c r="D246" s="21" t="inlineStr">
        <is>
          <t>Pickup</t>
        </is>
      </c>
      <c r="E246" s="21" t="inlineStr">
        <is>
          <t>S3-ORD-049-D</t>
        </is>
      </c>
      <c r="F246" s="21" t="inlineStr">
        <is>
          <t>S3-ORD-049</t>
        </is>
      </c>
      <c r="G246" s="21" t="inlineStr">
        <is>
          <t>PK_HPL_LB</t>
        </is>
      </c>
      <c r="H246" s="21" t="inlineStr">
        <is>
          <t>HPL Depot Long Biên - 20 Thạch Bàn</t>
        </is>
      </c>
      <c r="I246" s="21" t="inlineStr">
        <is>
          <t>Hà Nội</t>
        </is>
      </c>
      <c r="J246" s="21" t="inlineStr">
        <is>
          <t>Long Biên</t>
        </is>
      </c>
      <c r="K246" s="36" t="n">
        <v>21.0261548385</v>
      </c>
      <c r="L246" s="36" t="n">
        <v>105.914182238</v>
      </c>
      <c r="M246" s="37" t="n">
        <v>420</v>
      </c>
      <c r="N246" s="37" t="n">
        <v>510</v>
      </c>
      <c r="O246" s="21" t="inlineStr">
        <is>
          <t>07:00</t>
        </is>
      </c>
      <c r="P246" s="21" t="inlineStr">
        <is>
          <t>08:30</t>
        </is>
      </c>
      <c r="Q246" s="22" t="n">
        <v>40</v>
      </c>
      <c r="R246" s="28" t="n">
        <v>4395</v>
      </c>
      <c r="S246" s="29" t="n">
        <v>7.61</v>
      </c>
      <c r="T246" s="21" t="inlineStr">
        <is>
          <t>5T</t>
        </is>
      </c>
      <c r="U246" s="21" t="inlineStr">
        <is>
          <t>5T</t>
        </is>
      </c>
      <c r="V246" s="21" t="inlineStr">
        <is>
          <t>Bắc Trung Bộ</t>
        </is>
      </c>
      <c r="W246" s="21" t="inlineStr">
        <is>
          <t>CR-BẮCT-05</t>
        </is>
      </c>
      <c r="X246" s="21" t="inlineStr">
        <is>
          <t>C - Có thể thương lượng</t>
        </is>
      </c>
      <c r="Y246" s="31" t="n">
        <v>5220000</v>
      </c>
      <c r="Z246" s="28" t="n">
        <v>80000</v>
      </c>
      <c r="AA246" s="21" t="inlineStr">
        <is>
          <t>Yes</t>
        </is>
      </c>
      <c r="AB246" s="21" t="inlineStr">
        <is>
          <t>2026-06-05</t>
        </is>
      </c>
      <c r="AC246" s="21" t="inlineStr">
        <is>
          <t>Ready</t>
        </is>
      </c>
      <c r="AD246" s="21" t="inlineStr">
        <is>
          <t>Pickup must happen before paired delivery</t>
        </is>
      </c>
    </row>
    <row r="247" ht="18" customHeight="1" s="17">
      <c r="A247" s="23" t="inlineStr">
        <is>
          <t>S3</t>
        </is>
      </c>
      <c r="B247" s="23" t="inlineStr">
        <is>
          <t>S3-ORD-049</t>
        </is>
      </c>
      <c r="C247" s="23" t="inlineStr">
        <is>
          <t>S3-ORD-049-D</t>
        </is>
      </c>
      <c r="D247" s="23" t="inlineStr">
        <is>
          <t>Delivery</t>
        </is>
      </c>
      <c r="E247" s="23" t="inlineStr">
        <is>
          <t>S3-ORD-049-P</t>
        </is>
      </c>
      <c r="F247" s="23" t="inlineStr">
        <is>
          <t>S3-ORD-049</t>
        </is>
      </c>
      <c r="G247" s="23" t="inlineStr">
        <is>
          <t>DL_TH_SIEUTHI</t>
        </is>
      </c>
      <c r="H247" s="23" t="inlineStr">
        <is>
          <t>Siêu thị Thanh Hóa</t>
        </is>
      </c>
      <c r="I247" s="23" t="inlineStr">
        <is>
          <t>Thanh Hóa</t>
        </is>
      </c>
      <c r="J247" s="23" t="inlineStr">
        <is>
          <t>Hạc Thành</t>
        </is>
      </c>
      <c r="K247" s="38" t="n">
        <v>19.8076</v>
      </c>
      <c r="L247" s="38" t="n">
        <v>105.77639</v>
      </c>
      <c r="M247" s="39" t="n">
        <v>677</v>
      </c>
      <c r="N247" s="39" t="n">
        <v>797</v>
      </c>
      <c r="O247" s="23" t="inlineStr">
        <is>
          <t>11:17</t>
        </is>
      </c>
      <c r="P247" s="23" t="inlineStr">
        <is>
          <t>13:17</t>
        </is>
      </c>
      <c r="Q247" s="24" t="n">
        <v>45</v>
      </c>
      <c r="R247" s="32" t="n">
        <v>-4395</v>
      </c>
      <c r="S247" s="33" t="n">
        <v>-7.61</v>
      </c>
      <c r="T247" s="23" t="inlineStr">
        <is>
          <t>5T</t>
        </is>
      </c>
      <c r="U247" s="23" t="inlineStr">
        <is>
          <t>5T</t>
        </is>
      </c>
      <c r="V247" s="23" t="inlineStr">
        <is>
          <t>Bắc Trung Bộ</t>
        </is>
      </c>
      <c r="W247" s="23" t="inlineStr">
        <is>
          <t>CR-BẮCT-05</t>
        </is>
      </c>
      <c r="X247" s="23" t="inlineStr">
        <is>
          <t>C - Có thể thương lượng</t>
        </is>
      </c>
      <c r="Y247" s="35" t="n">
        <v>0</v>
      </c>
      <c r="Z247" s="32" t="n">
        <v>80000</v>
      </c>
      <c r="AA247" s="23" t="inlineStr">
        <is>
          <t>Yes</t>
        </is>
      </c>
      <c r="AB247" s="23" t="inlineStr">
        <is>
          <t>2026-06-05</t>
        </is>
      </c>
      <c r="AC247" s="23" t="inlineStr">
        <is>
          <t>Ready</t>
        </is>
      </c>
      <c r="AD247" s="23" t="inlineStr">
        <is>
          <t>Delivery paired with same order and same vehicle unless transshipment enabled</t>
        </is>
      </c>
    </row>
    <row r="248" ht="18" customHeight="1" s="17">
      <c r="A248" s="21" t="inlineStr">
        <is>
          <t>S3</t>
        </is>
      </c>
      <c r="B248" s="21" t="inlineStr">
        <is>
          <t>S3-ORD-050</t>
        </is>
      </c>
      <c r="C248" s="21" t="inlineStr">
        <is>
          <t>S3-ORD-050-P</t>
        </is>
      </c>
      <c r="D248" s="21" t="inlineStr">
        <is>
          <t>Pickup</t>
        </is>
      </c>
      <c r="E248" s="21" t="inlineStr">
        <is>
          <t>S3-ORD-050-D</t>
        </is>
      </c>
      <c r="F248" s="21" t="inlineStr">
        <is>
          <t>S3-ORD-050</t>
        </is>
      </c>
      <c r="G248" s="21" t="inlineStr">
        <is>
          <t>PK_TH_QX</t>
        </is>
      </c>
      <c r="H248" s="21" t="inlineStr">
        <is>
          <t>Kho DC Thanh Hóa - Quảng Xương</t>
        </is>
      </c>
      <c r="I248" s="21" t="inlineStr">
        <is>
          <t>Thanh Hóa</t>
        </is>
      </c>
      <c r="J248" s="21" t="inlineStr">
        <is>
          <t>Quảng Xương</t>
        </is>
      </c>
      <c r="K248" s="36" t="n">
        <v>19.731</v>
      </c>
      <c r="L248" s="36" t="n">
        <v>105.815</v>
      </c>
      <c r="M248" s="37" t="n">
        <v>420</v>
      </c>
      <c r="N248" s="37" t="n">
        <v>540</v>
      </c>
      <c r="O248" s="21" t="inlineStr">
        <is>
          <t>07:00</t>
        </is>
      </c>
      <c r="P248" s="21" t="inlineStr">
        <is>
          <t>09:00</t>
        </is>
      </c>
      <c r="Q248" s="22" t="n">
        <v>120</v>
      </c>
      <c r="R248" s="28" t="n">
        <v>10503</v>
      </c>
      <c r="S248" s="29" t="n">
        <v>29.58</v>
      </c>
      <c r="T248" s="21" t="inlineStr">
        <is>
          <t>3 chân</t>
        </is>
      </c>
      <c r="U248" s="21" t="inlineStr">
        <is>
          <t>8T</t>
        </is>
      </c>
      <c r="V248" s="21" t="inlineStr">
        <is>
          <t>Bắc Trung Bộ</t>
        </is>
      </c>
      <c r="W248" s="21" t="inlineStr">
        <is>
          <t>CR-BẮCT-01</t>
        </is>
      </c>
      <c r="X248" s="21" t="inlineStr">
        <is>
          <t>C - Có thể thương lượng</t>
        </is>
      </c>
      <c r="Y248" s="31" t="n">
        <v>10300000</v>
      </c>
      <c r="Z248" s="28" t="n">
        <v>80000</v>
      </c>
      <c r="AA248" s="21" t="inlineStr">
        <is>
          <t>Yes</t>
        </is>
      </c>
      <c r="AB248" s="21" t="inlineStr">
        <is>
          <t>2026-06-05</t>
        </is>
      </c>
      <c r="AC248" s="21" t="inlineStr">
        <is>
          <t>Review</t>
        </is>
      </c>
      <c r="AD248" s="21" t="inlineStr">
        <is>
          <t>Pickup must happen before paired delivery</t>
        </is>
      </c>
    </row>
    <row r="249" ht="18" customHeight="1" s="17">
      <c r="A249" s="23" t="inlineStr">
        <is>
          <t>S3</t>
        </is>
      </c>
      <c r="B249" s="23" t="inlineStr">
        <is>
          <t>S3-ORD-050</t>
        </is>
      </c>
      <c r="C249" s="23" t="inlineStr">
        <is>
          <t>S3-ORD-050-D</t>
        </is>
      </c>
      <c r="D249" s="23" t="inlineStr">
        <is>
          <t>Delivery</t>
        </is>
      </c>
      <c r="E249" s="23" t="inlineStr">
        <is>
          <t>S3-ORD-050-P</t>
        </is>
      </c>
      <c r="F249" s="23" t="inlineStr">
        <is>
          <t>S3-ORD-050</t>
        </is>
      </c>
      <c r="G249" s="23" t="inlineStr">
        <is>
          <t>DL_NA_MM_VINH</t>
        </is>
      </c>
      <c r="H249" s="23" t="inlineStr">
        <is>
          <t>MM Vinh</t>
        </is>
      </c>
      <c r="I249" s="23" t="inlineStr">
        <is>
          <t>Nghệ An</t>
        </is>
      </c>
      <c r="J249" s="23" t="inlineStr">
        <is>
          <t>Vinh</t>
        </is>
      </c>
      <c r="K249" s="38" t="n">
        <v>18.68052</v>
      </c>
      <c r="L249" s="38" t="n">
        <v>105.68133</v>
      </c>
      <c r="M249" s="39" t="n">
        <v>747</v>
      </c>
      <c r="N249" s="39" t="n">
        <v>867</v>
      </c>
      <c r="O249" s="23" t="inlineStr">
        <is>
          <t>12:27</t>
        </is>
      </c>
      <c r="P249" s="23" t="inlineStr">
        <is>
          <t>14:27</t>
        </is>
      </c>
      <c r="Q249" s="24" t="n">
        <v>100</v>
      </c>
      <c r="R249" s="32" t="n">
        <v>-10503</v>
      </c>
      <c r="S249" s="33" t="n">
        <v>-29.58</v>
      </c>
      <c r="T249" s="23" t="inlineStr">
        <is>
          <t>3 chân</t>
        </is>
      </c>
      <c r="U249" s="23" t="inlineStr">
        <is>
          <t>8T</t>
        </is>
      </c>
      <c r="V249" s="23" t="inlineStr">
        <is>
          <t>Bắc Trung Bộ</t>
        </is>
      </c>
      <c r="W249" s="23" t="inlineStr">
        <is>
          <t>CR-BẮCT-01</t>
        </is>
      </c>
      <c r="X249" s="23" t="inlineStr">
        <is>
          <t>C - Có thể thương lượng</t>
        </is>
      </c>
      <c r="Y249" s="35" t="n">
        <v>0</v>
      </c>
      <c r="Z249" s="32" t="n">
        <v>80000</v>
      </c>
      <c r="AA249" s="23" t="inlineStr">
        <is>
          <t>Yes</t>
        </is>
      </c>
      <c r="AB249" s="23" t="inlineStr">
        <is>
          <t>2026-06-05</t>
        </is>
      </c>
      <c r="AC249" s="23" t="inlineStr">
        <is>
          <t>Review</t>
        </is>
      </c>
      <c r="AD249" s="23" t="inlineStr">
        <is>
          <t>Delivery paired with same order and same vehicle unless transshipment enabled</t>
        </is>
      </c>
    </row>
    <row r="250" ht="18" customHeight="1" s="17">
      <c r="A250" s="21" t="inlineStr">
        <is>
          <t>S3</t>
        </is>
      </c>
      <c r="B250" s="21" t="inlineStr">
        <is>
          <t>S3-ORD-051</t>
        </is>
      </c>
      <c r="C250" s="21" t="inlineStr">
        <is>
          <t>S3-ORD-051-P</t>
        </is>
      </c>
      <c r="D250" s="21" t="inlineStr">
        <is>
          <t>Pickup</t>
        </is>
      </c>
      <c r="E250" s="21" t="inlineStr">
        <is>
          <t>S3-ORD-051-D</t>
        </is>
      </c>
      <c r="F250" s="21" t="inlineStr">
        <is>
          <t>S3-ORD-051</t>
        </is>
      </c>
      <c r="G250" s="21" t="inlineStr">
        <is>
          <t>PK_HPL_LB</t>
        </is>
      </c>
      <c r="H250" s="21" t="inlineStr">
        <is>
          <t>HPL Depot Long Biên - 20 Thạch Bàn</t>
        </is>
      </c>
      <c r="I250" s="21" t="inlineStr">
        <is>
          <t>Hà Nội</t>
        </is>
      </c>
      <c r="J250" s="21" t="inlineStr">
        <is>
          <t>Long Biên</t>
        </is>
      </c>
      <c r="K250" s="36" t="n">
        <v>21.0261548385</v>
      </c>
      <c r="L250" s="36" t="n">
        <v>105.914182238</v>
      </c>
      <c r="M250" s="37" t="n">
        <v>510</v>
      </c>
      <c r="N250" s="37" t="n">
        <v>630</v>
      </c>
      <c r="O250" s="21" t="inlineStr">
        <is>
          <t>08:30</t>
        </is>
      </c>
      <c r="P250" s="21" t="inlineStr">
        <is>
          <t>10:30</t>
        </is>
      </c>
      <c r="Q250" s="22" t="n">
        <v>25</v>
      </c>
      <c r="R250" s="28" t="n">
        <v>1220</v>
      </c>
      <c r="S250" s="29" t="n">
        <v>2.46</v>
      </c>
      <c r="T250" s="21" t="inlineStr">
        <is>
          <t>1.25T</t>
        </is>
      </c>
      <c r="U250" s="21" t="inlineStr">
        <is>
          <t>1.25T</t>
        </is>
      </c>
      <c r="V250" s="21" t="inlineStr">
        <is>
          <t>Nội thành Hà Nội</t>
        </is>
      </c>
      <c r="W250" s="21" t="inlineStr">
        <is>
          <t>CR-NỘIT-02</t>
        </is>
      </c>
      <c r="X250" s="21" t="inlineStr">
        <is>
          <t>C - Có thể thương lượng</t>
        </is>
      </c>
      <c r="Y250" s="31" t="n">
        <v>750000</v>
      </c>
      <c r="Z250" s="28" t="n">
        <v>80000</v>
      </c>
      <c r="AA250" s="21" t="inlineStr">
        <is>
          <t>Yes</t>
        </is>
      </c>
      <c r="AB250" s="21" t="inlineStr">
        <is>
          <t>2026-06-05</t>
        </is>
      </c>
      <c r="AC250" s="21" t="inlineStr">
        <is>
          <t>Ready</t>
        </is>
      </c>
      <c r="AD250" s="21" t="inlineStr">
        <is>
          <t>Pickup must happen before paired delivery</t>
        </is>
      </c>
    </row>
    <row r="251" ht="18" customHeight="1" s="17">
      <c r="A251" s="23" t="inlineStr">
        <is>
          <t>S3</t>
        </is>
      </c>
      <c r="B251" s="23" t="inlineStr">
        <is>
          <t>S3-ORD-051</t>
        </is>
      </c>
      <c r="C251" s="23" t="inlineStr">
        <is>
          <t>S3-ORD-051-D</t>
        </is>
      </c>
      <c r="D251" s="23" t="inlineStr">
        <is>
          <t>Delivery</t>
        </is>
      </c>
      <c r="E251" s="23" t="inlineStr">
        <is>
          <t>S3-ORD-051-P</t>
        </is>
      </c>
      <c r="F251" s="23" t="inlineStr">
        <is>
          <t>S3-ORD-051</t>
        </is>
      </c>
      <c r="G251" s="23" t="inlineStr">
        <is>
          <t>DL_HN_BACTULIEM</t>
        </is>
      </c>
      <c r="H251" s="23" t="inlineStr">
        <is>
          <t>VINMART Bắc Từ Liêm</t>
        </is>
      </c>
      <c r="I251" s="23" t="inlineStr">
        <is>
          <t>Hà Nội</t>
        </is>
      </c>
      <c r="J251" s="23" t="inlineStr">
        <is>
          <t>Bắc Từ Liêm</t>
        </is>
      </c>
      <c r="K251" s="38" t="n">
        <v>21.052701</v>
      </c>
      <c r="L251" s="38" t="n">
        <v>105.780729</v>
      </c>
      <c r="M251" s="39" t="n">
        <v>690</v>
      </c>
      <c r="N251" s="39" t="n">
        <v>780</v>
      </c>
      <c r="O251" s="23" t="inlineStr">
        <is>
          <t>11:30</t>
        </is>
      </c>
      <c r="P251" s="23" t="inlineStr">
        <is>
          <t>13:00</t>
        </is>
      </c>
      <c r="Q251" s="24" t="n">
        <v>20</v>
      </c>
      <c r="R251" s="32" t="n">
        <v>-1220</v>
      </c>
      <c r="S251" s="33" t="n">
        <v>-2.46</v>
      </c>
      <c r="T251" s="23" t="inlineStr">
        <is>
          <t>1.25T</t>
        </is>
      </c>
      <c r="U251" s="23" t="inlineStr">
        <is>
          <t>1.25T</t>
        </is>
      </c>
      <c r="V251" s="23" t="inlineStr">
        <is>
          <t>Nội thành Hà Nội</t>
        </is>
      </c>
      <c r="W251" s="23" t="inlineStr">
        <is>
          <t>CR-NỘIT-02</t>
        </is>
      </c>
      <c r="X251" s="23" t="inlineStr">
        <is>
          <t>C - Có thể thương lượng</t>
        </is>
      </c>
      <c r="Y251" s="35" t="n">
        <v>0</v>
      </c>
      <c r="Z251" s="32" t="n">
        <v>80000</v>
      </c>
      <c r="AA251" s="23" t="inlineStr">
        <is>
          <t>Yes</t>
        </is>
      </c>
      <c r="AB251" s="23" t="inlineStr">
        <is>
          <t>2026-06-05</t>
        </is>
      </c>
      <c r="AC251" s="23" t="inlineStr">
        <is>
          <t>Ready</t>
        </is>
      </c>
      <c r="AD251" s="23" t="inlineStr">
        <is>
          <t>Delivery paired with same order and same vehicle unless transshipment enabled</t>
        </is>
      </c>
    </row>
    <row r="252" ht="18" customHeight="1" s="17">
      <c r="A252" s="21" t="inlineStr">
        <is>
          <t>S3</t>
        </is>
      </c>
      <c r="B252" s="21" t="inlineStr">
        <is>
          <t>S3-ORD-052</t>
        </is>
      </c>
      <c r="C252" s="21" t="inlineStr">
        <is>
          <t>S3-ORD-052-P</t>
        </is>
      </c>
      <c r="D252" s="21" t="inlineStr">
        <is>
          <t>Pickup</t>
        </is>
      </c>
      <c r="E252" s="21" t="inlineStr">
        <is>
          <t>S3-ORD-052-D</t>
        </is>
      </c>
      <c r="F252" s="21" t="inlineStr">
        <is>
          <t>S3-ORD-052</t>
        </is>
      </c>
      <c r="G252" s="21" t="inlineStr">
        <is>
          <t>PK_HPL_LB</t>
        </is>
      </c>
      <c r="H252" s="21" t="inlineStr">
        <is>
          <t>HPL Depot Long Biên - 20 Thạch Bàn</t>
        </is>
      </c>
      <c r="I252" s="21" t="inlineStr">
        <is>
          <t>Hà Nội</t>
        </is>
      </c>
      <c r="J252" s="21" t="inlineStr">
        <is>
          <t>Long Biên</t>
        </is>
      </c>
      <c r="K252" s="36" t="n">
        <v>21.0261548385</v>
      </c>
      <c r="L252" s="36" t="n">
        <v>105.914182238</v>
      </c>
      <c r="M252" s="37" t="n">
        <v>420</v>
      </c>
      <c r="N252" s="37" t="n">
        <v>570</v>
      </c>
      <c r="O252" s="21" t="inlineStr">
        <is>
          <t>07:00</t>
        </is>
      </c>
      <c r="P252" s="21" t="inlineStr">
        <is>
          <t>09:30</t>
        </is>
      </c>
      <c r="Q252" s="22" t="n">
        <v>25</v>
      </c>
      <c r="R252" s="28" t="n">
        <v>201</v>
      </c>
      <c r="S252" s="29" t="n">
        <v>0.6</v>
      </c>
      <c r="T252" s="21" t="inlineStr">
        <is>
          <t>5 tạ</t>
        </is>
      </c>
      <c r="U252" s="21" t="inlineStr">
        <is>
          <t>1.25T</t>
        </is>
      </c>
      <c r="V252" s="21" t="inlineStr">
        <is>
          <t>Nội thành Hà Nội</t>
        </is>
      </c>
      <c r="W252" s="21" t="inlineStr">
        <is>
          <t>CR-NỘIT-03</t>
        </is>
      </c>
      <c r="X252" s="21" t="inlineStr">
        <is>
          <t>A - SLA chặt</t>
        </is>
      </c>
      <c r="Y252" s="31" t="n">
        <v>460000</v>
      </c>
      <c r="Z252" s="28" t="n">
        <v>150000</v>
      </c>
      <c r="AA252" s="21" t="inlineStr">
        <is>
          <t>Yes</t>
        </is>
      </c>
      <c r="AB252" s="21" t="inlineStr">
        <is>
          <t>2026-06-05</t>
        </is>
      </c>
      <c r="AC252" s="21" t="inlineStr">
        <is>
          <t>Ready</t>
        </is>
      </c>
      <c r="AD252" s="21" t="inlineStr">
        <is>
          <t>Pickup must happen before paired delivery</t>
        </is>
      </c>
    </row>
    <row r="253" ht="18" customHeight="1" s="17">
      <c r="A253" s="23" t="inlineStr">
        <is>
          <t>S3</t>
        </is>
      </c>
      <c r="B253" s="23" t="inlineStr">
        <is>
          <t>S3-ORD-052</t>
        </is>
      </c>
      <c r="C253" s="23" t="inlineStr">
        <is>
          <t>S3-ORD-052-D</t>
        </is>
      </c>
      <c r="D253" s="23" t="inlineStr">
        <is>
          <t>Delivery</t>
        </is>
      </c>
      <c r="E253" s="23" t="inlineStr">
        <is>
          <t>S3-ORD-052-P</t>
        </is>
      </c>
      <c r="F253" s="23" t="inlineStr">
        <is>
          <t>S3-ORD-052</t>
        </is>
      </c>
      <c r="G253" s="23" t="inlineStr">
        <is>
          <t>DL_HN_TIMESCITY</t>
        </is>
      </c>
      <c r="H253" s="23" t="inlineStr">
        <is>
          <t>VINMART Times City</t>
        </is>
      </c>
      <c r="I253" s="23" t="inlineStr">
        <is>
          <t>Hà Nội</t>
        </is>
      </c>
      <c r="J253" s="23" t="inlineStr">
        <is>
          <t>Hai Bà Trưng</t>
        </is>
      </c>
      <c r="K253" s="38" t="n">
        <v>20.994022</v>
      </c>
      <c r="L253" s="38" t="n">
        <v>105.869639</v>
      </c>
      <c r="M253" s="39" t="n">
        <v>545</v>
      </c>
      <c r="N253" s="39" t="n">
        <v>665</v>
      </c>
      <c r="O253" s="23" t="inlineStr">
        <is>
          <t>09:05</t>
        </is>
      </c>
      <c r="P253" s="23" t="inlineStr">
        <is>
          <t>11:05</t>
        </is>
      </c>
      <c r="Q253" s="24" t="n">
        <v>30</v>
      </c>
      <c r="R253" s="32" t="n">
        <v>-201</v>
      </c>
      <c r="S253" s="33" t="n">
        <v>-0.6</v>
      </c>
      <c r="T253" s="23" t="inlineStr">
        <is>
          <t>5 tạ</t>
        </is>
      </c>
      <c r="U253" s="23" t="inlineStr">
        <is>
          <t>1.25T</t>
        </is>
      </c>
      <c r="V253" s="23" t="inlineStr">
        <is>
          <t>Nội thành Hà Nội</t>
        </is>
      </c>
      <c r="W253" s="23" t="inlineStr">
        <is>
          <t>CR-NỘIT-03</t>
        </is>
      </c>
      <c r="X253" s="23" t="inlineStr">
        <is>
          <t>A - SLA chặt</t>
        </is>
      </c>
      <c r="Y253" s="35" t="n">
        <v>0</v>
      </c>
      <c r="Z253" s="32" t="n">
        <v>150000</v>
      </c>
      <c r="AA253" s="23" t="inlineStr">
        <is>
          <t>Yes</t>
        </is>
      </c>
      <c r="AB253" s="23" t="inlineStr">
        <is>
          <t>2026-06-05</t>
        </is>
      </c>
      <c r="AC253" s="23" t="inlineStr">
        <is>
          <t>Ready</t>
        </is>
      </c>
      <c r="AD253" s="23" t="inlineStr">
        <is>
          <t>Delivery paired with same order and same vehicle unless transshipment enabled</t>
        </is>
      </c>
    </row>
    <row r="254" ht="18" customHeight="1" s="17">
      <c r="A254" s="21" t="inlineStr">
        <is>
          <t>S3</t>
        </is>
      </c>
      <c r="B254" s="21" t="inlineStr">
        <is>
          <t>S3-ORD-053</t>
        </is>
      </c>
      <c r="C254" s="21" t="inlineStr">
        <is>
          <t>S3-ORD-053-P</t>
        </is>
      </c>
      <c r="D254" s="21" t="inlineStr">
        <is>
          <t>Pickup</t>
        </is>
      </c>
      <c r="E254" s="21" t="inlineStr">
        <is>
          <t>S3-ORD-053-D</t>
        </is>
      </c>
      <c r="F254" s="21" t="inlineStr">
        <is>
          <t>S3-ORD-053</t>
        </is>
      </c>
      <c r="G254" s="21" t="inlineStr">
        <is>
          <t>PK_HPL_LB</t>
        </is>
      </c>
      <c r="H254" s="21" t="inlineStr">
        <is>
          <t>HPL Depot Long Biên - 20 Thạch Bàn</t>
        </is>
      </c>
      <c r="I254" s="21" t="inlineStr">
        <is>
          <t>Hà Nội</t>
        </is>
      </c>
      <c r="J254" s="21" t="inlineStr">
        <is>
          <t>Long Biên</t>
        </is>
      </c>
      <c r="K254" s="36" t="n">
        <v>21.0261548385</v>
      </c>
      <c r="L254" s="36" t="n">
        <v>105.914182238</v>
      </c>
      <c r="M254" s="37" t="n">
        <v>540</v>
      </c>
      <c r="N254" s="37" t="n">
        <v>630</v>
      </c>
      <c r="O254" s="21" t="inlineStr">
        <is>
          <t>09:00</t>
        </is>
      </c>
      <c r="P254" s="21" t="inlineStr">
        <is>
          <t>10:30</t>
        </is>
      </c>
      <c r="Q254" s="22" t="n">
        <v>40</v>
      </c>
      <c r="R254" s="28" t="n">
        <v>4852</v>
      </c>
      <c r="S254" s="29" t="n">
        <v>41.52</v>
      </c>
      <c r="T254" s="21" t="inlineStr">
        <is>
          <t>8T</t>
        </is>
      </c>
      <c r="U254" s="21" t="inlineStr">
        <is>
          <t>8T</t>
        </is>
      </c>
      <c r="V254" s="21" t="inlineStr">
        <is>
          <t>Đông Nam Hà Nội</t>
        </is>
      </c>
      <c r="W254" s="21" t="inlineStr">
        <is>
          <t>CR-ĐÔNG-04</t>
        </is>
      </c>
      <c r="X254" s="21" t="inlineStr">
        <is>
          <t>C - Có thể thương lượng</t>
        </is>
      </c>
      <c r="Y254" s="31" t="n">
        <v>3150000</v>
      </c>
      <c r="Z254" s="28" t="n">
        <v>80000</v>
      </c>
      <c r="AA254" s="21" t="inlineStr">
        <is>
          <t>Yes</t>
        </is>
      </c>
      <c r="AB254" s="21" t="inlineStr">
        <is>
          <t>2026-06-05</t>
        </is>
      </c>
      <c r="AC254" s="21" t="inlineStr">
        <is>
          <t>Ready</t>
        </is>
      </c>
      <c r="AD254" s="21" t="inlineStr">
        <is>
          <t>Pickup must happen before paired delivery</t>
        </is>
      </c>
    </row>
    <row r="255" ht="18" customHeight="1" s="17">
      <c r="A255" s="23" t="inlineStr">
        <is>
          <t>S3</t>
        </is>
      </c>
      <c r="B255" s="23" t="inlineStr">
        <is>
          <t>S3-ORD-053</t>
        </is>
      </c>
      <c r="C255" s="23" t="inlineStr">
        <is>
          <t>S3-ORD-053-D</t>
        </is>
      </c>
      <c r="D255" s="23" t="inlineStr">
        <is>
          <t>Delivery</t>
        </is>
      </c>
      <c r="E255" s="23" t="inlineStr">
        <is>
          <t>S3-ORD-053-P</t>
        </is>
      </c>
      <c r="F255" s="23" t="inlineStr">
        <is>
          <t>S3-ORD-053</t>
        </is>
      </c>
      <c r="G255" s="23" t="inlineStr">
        <is>
          <t>DL_TB_SIEUTHI</t>
        </is>
      </c>
      <c r="H255" s="23" t="inlineStr">
        <is>
          <t>Siêu thị Thái Bình</t>
        </is>
      </c>
      <c r="I255" s="23" t="inlineStr">
        <is>
          <t>Hưng Yên</t>
        </is>
      </c>
      <c r="J255" s="23" t="inlineStr">
        <is>
          <t>Thái Bình</t>
        </is>
      </c>
      <c r="K255" s="38" t="n">
        <v>20.446344</v>
      </c>
      <c r="L255" s="38" t="n">
        <v>106.336582</v>
      </c>
      <c r="M255" s="39" t="n">
        <v>833</v>
      </c>
      <c r="N255" s="39" t="n">
        <v>1013</v>
      </c>
      <c r="O255" s="23" t="inlineStr">
        <is>
          <t>13:53</t>
        </is>
      </c>
      <c r="P255" s="23" t="inlineStr">
        <is>
          <t>16:53</t>
        </is>
      </c>
      <c r="Q255" s="24" t="n">
        <v>35</v>
      </c>
      <c r="R255" s="32" t="n">
        <v>-4852</v>
      </c>
      <c r="S255" s="33" t="n">
        <v>-41.52</v>
      </c>
      <c r="T255" s="23" t="inlineStr">
        <is>
          <t>8T</t>
        </is>
      </c>
      <c r="U255" s="23" t="inlineStr">
        <is>
          <t>8T</t>
        </is>
      </c>
      <c r="V255" s="23" t="inlineStr">
        <is>
          <t>Đông Nam Hà Nội</t>
        </is>
      </c>
      <c r="W255" s="23" t="inlineStr">
        <is>
          <t>CR-ĐÔNG-04</t>
        </is>
      </c>
      <c r="X255" s="23" t="inlineStr">
        <is>
          <t>C - Có thể thương lượng</t>
        </is>
      </c>
      <c r="Y255" s="35" t="n">
        <v>0</v>
      </c>
      <c r="Z255" s="32" t="n">
        <v>80000</v>
      </c>
      <c r="AA255" s="23" t="inlineStr">
        <is>
          <t>Yes</t>
        </is>
      </c>
      <c r="AB255" s="23" t="inlineStr">
        <is>
          <t>2026-06-05</t>
        </is>
      </c>
      <c r="AC255" s="23" t="inlineStr">
        <is>
          <t>Ready</t>
        </is>
      </c>
      <c r="AD255" s="23" t="inlineStr">
        <is>
          <t>Delivery paired with same order and same vehicle unless transshipment enabled</t>
        </is>
      </c>
    </row>
    <row r="256" ht="18" customHeight="1" s="17">
      <c r="A256" s="21" t="inlineStr">
        <is>
          <t>S3</t>
        </is>
      </c>
      <c r="B256" s="21" t="inlineStr">
        <is>
          <t>S3-ORD-054</t>
        </is>
      </c>
      <c r="C256" s="21" t="inlineStr">
        <is>
          <t>S3-ORD-054-P</t>
        </is>
      </c>
      <c r="D256" s="21" t="inlineStr">
        <is>
          <t>Pickup</t>
        </is>
      </c>
      <c r="E256" s="21" t="inlineStr">
        <is>
          <t>S3-ORD-054-D</t>
        </is>
      </c>
      <c r="F256" s="21" t="inlineStr">
        <is>
          <t>S3-ORD-054</t>
        </is>
      </c>
      <c r="G256" s="21" t="inlineStr">
        <is>
          <t>PK_NA_BACVINH</t>
        </is>
      </c>
      <c r="H256" s="21" t="inlineStr">
        <is>
          <t>Kho DC Vinh - KCN Bắc Vinh</t>
        </is>
      </c>
      <c r="I256" s="21" t="inlineStr">
        <is>
          <t>Nghệ An</t>
        </is>
      </c>
      <c r="J256" s="21" t="inlineStr">
        <is>
          <t>Vinh</t>
        </is>
      </c>
      <c r="K256" s="36" t="n">
        <v>18.733</v>
      </c>
      <c r="L256" s="36" t="n">
        <v>105.681</v>
      </c>
      <c r="M256" s="37" t="n">
        <v>450</v>
      </c>
      <c r="N256" s="37" t="n">
        <v>600</v>
      </c>
      <c r="O256" s="21" t="inlineStr">
        <is>
          <t>07:30</t>
        </is>
      </c>
      <c r="P256" s="21" t="inlineStr">
        <is>
          <t>10:00</t>
        </is>
      </c>
      <c r="Q256" s="22" t="n">
        <v>40</v>
      </c>
      <c r="R256" s="28" t="n">
        <v>3694</v>
      </c>
      <c r="S256" s="29" t="n">
        <v>7.2</v>
      </c>
      <c r="T256" s="21" t="inlineStr">
        <is>
          <t>5T</t>
        </is>
      </c>
      <c r="U256" s="21" t="inlineStr">
        <is>
          <t>5T</t>
        </is>
      </c>
      <c r="V256" s="21" t="inlineStr">
        <is>
          <t>Bắc Trung Bộ</t>
        </is>
      </c>
      <c r="W256" s="21" t="inlineStr">
        <is>
          <t>CR-BẮCT-05</t>
        </is>
      </c>
      <c r="X256" s="21" t="inlineStr">
        <is>
          <t>A - SLA chặt</t>
        </is>
      </c>
      <c r="Y256" s="31" t="n">
        <v>1090000</v>
      </c>
      <c r="Z256" s="28" t="n">
        <v>150000</v>
      </c>
      <c r="AA256" s="21" t="inlineStr">
        <is>
          <t>Yes</t>
        </is>
      </c>
      <c r="AB256" s="21" t="inlineStr">
        <is>
          <t>2026-06-05</t>
        </is>
      </c>
      <c r="AC256" s="21" t="inlineStr">
        <is>
          <t>Ready</t>
        </is>
      </c>
      <c r="AD256" s="21" t="inlineStr">
        <is>
          <t>Pickup must happen before paired delivery</t>
        </is>
      </c>
    </row>
    <row r="257" ht="18" customHeight="1" s="17">
      <c r="A257" s="23" t="inlineStr">
        <is>
          <t>S3</t>
        </is>
      </c>
      <c r="B257" s="23" t="inlineStr">
        <is>
          <t>S3-ORD-054</t>
        </is>
      </c>
      <c r="C257" s="23" t="inlineStr">
        <is>
          <t>S3-ORD-054-D</t>
        </is>
      </c>
      <c r="D257" s="23" t="inlineStr">
        <is>
          <t>Delivery</t>
        </is>
      </c>
      <c r="E257" s="23" t="inlineStr">
        <is>
          <t>S3-ORD-054-P</t>
        </is>
      </c>
      <c r="F257" s="23" t="inlineStr">
        <is>
          <t>S3-ORD-054</t>
        </is>
      </c>
      <c r="G257" s="23" t="inlineStr">
        <is>
          <t>DL_NA_SIEUTHI</t>
        </is>
      </c>
      <c r="H257" s="23" t="inlineStr">
        <is>
          <t>Siêu thị Vinh</t>
        </is>
      </c>
      <c r="I257" s="23" t="inlineStr">
        <is>
          <t>Nghệ An</t>
        </is>
      </c>
      <c r="J257" s="23" t="inlineStr">
        <is>
          <t>Vinh</t>
        </is>
      </c>
      <c r="K257" s="38" t="n">
        <v>18.679586</v>
      </c>
      <c r="L257" s="38" t="n">
        <v>105.681101</v>
      </c>
      <c r="M257" s="39" t="n">
        <v>560</v>
      </c>
      <c r="N257" s="39" t="n">
        <v>650</v>
      </c>
      <c r="O257" s="23" t="inlineStr">
        <is>
          <t>09:20</t>
        </is>
      </c>
      <c r="P257" s="23" t="inlineStr">
        <is>
          <t>10:50</t>
        </is>
      </c>
      <c r="Q257" s="24" t="n">
        <v>35</v>
      </c>
      <c r="R257" s="32" t="n">
        <v>-3694</v>
      </c>
      <c r="S257" s="33" t="n">
        <v>-7.2</v>
      </c>
      <c r="T257" s="23" t="inlineStr">
        <is>
          <t>5T</t>
        </is>
      </c>
      <c r="U257" s="23" t="inlineStr">
        <is>
          <t>5T</t>
        </is>
      </c>
      <c r="V257" s="23" t="inlineStr">
        <is>
          <t>Bắc Trung Bộ</t>
        </is>
      </c>
      <c r="W257" s="23" t="inlineStr">
        <is>
          <t>CR-BẮCT-05</t>
        </is>
      </c>
      <c r="X257" s="23" t="inlineStr">
        <is>
          <t>A - SLA chặt</t>
        </is>
      </c>
      <c r="Y257" s="35" t="n">
        <v>0</v>
      </c>
      <c r="Z257" s="32" t="n">
        <v>150000</v>
      </c>
      <c r="AA257" s="23" t="inlineStr">
        <is>
          <t>Yes</t>
        </is>
      </c>
      <c r="AB257" s="23" t="inlineStr">
        <is>
          <t>2026-06-05</t>
        </is>
      </c>
      <c r="AC257" s="23" t="inlineStr">
        <is>
          <t>Ready</t>
        </is>
      </c>
      <c r="AD257" s="23" t="inlineStr">
        <is>
          <t>Delivery paired with same order and same vehicle unless transshipment enabled</t>
        </is>
      </c>
    </row>
    <row r="258" ht="18" customHeight="1" s="17">
      <c r="A258" s="21" t="inlineStr">
        <is>
          <t>S3</t>
        </is>
      </c>
      <c r="B258" s="21" t="inlineStr">
        <is>
          <t>S3-ORD-055</t>
        </is>
      </c>
      <c r="C258" s="21" t="inlineStr">
        <is>
          <t>S3-ORD-055-P</t>
        </is>
      </c>
      <c r="D258" s="21" t="inlineStr">
        <is>
          <t>Pickup</t>
        </is>
      </c>
      <c r="E258" s="21" t="inlineStr">
        <is>
          <t>S3-ORD-055-D</t>
        </is>
      </c>
      <c r="F258" s="21" t="inlineStr">
        <is>
          <t>S3-ORD-055</t>
        </is>
      </c>
      <c r="G258" s="21" t="inlineStr">
        <is>
          <t>PK_HPL_LB</t>
        </is>
      </c>
      <c r="H258" s="21" t="inlineStr">
        <is>
          <t>HPL Depot Long Biên - 20 Thạch Bàn</t>
        </is>
      </c>
      <c r="I258" s="21" t="inlineStr">
        <is>
          <t>Hà Nội</t>
        </is>
      </c>
      <c r="J258" s="21" t="inlineStr">
        <is>
          <t>Long Biên</t>
        </is>
      </c>
      <c r="K258" s="36" t="n">
        <v>21.0261548385</v>
      </c>
      <c r="L258" s="36" t="n">
        <v>105.914182238</v>
      </c>
      <c r="M258" s="37" t="n">
        <v>510</v>
      </c>
      <c r="N258" s="37" t="n">
        <v>600</v>
      </c>
      <c r="O258" s="21" t="inlineStr">
        <is>
          <t>08:30</t>
        </is>
      </c>
      <c r="P258" s="21" t="inlineStr">
        <is>
          <t>10:00</t>
        </is>
      </c>
      <c r="Q258" s="22" t="n">
        <v>25</v>
      </c>
      <c r="R258" s="28" t="n">
        <v>1035</v>
      </c>
      <c r="S258" s="29" t="n">
        <v>2.2</v>
      </c>
      <c r="T258" s="21" t="inlineStr">
        <is>
          <t>1.25T</t>
        </is>
      </c>
      <c r="U258" s="21" t="inlineStr">
        <is>
          <t>1.25T</t>
        </is>
      </c>
      <c r="V258" s="21" t="inlineStr">
        <is>
          <t>Nội thành Hà Nội</t>
        </is>
      </c>
      <c r="W258" s="21" t="inlineStr">
        <is>
          <t>CR-NỘIT-01</t>
        </is>
      </c>
      <c r="X258" s="21" t="inlineStr">
        <is>
          <t>A - SLA chặt</t>
        </is>
      </c>
      <c r="Y258" s="31" t="n">
        <v>550000</v>
      </c>
      <c r="Z258" s="28" t="n">
        <v>150000</v>
      </c>
      <c r="AA258" s="21" t="inlineStr">
        <is>
          <t>Yes</t>
        </is>
      </c>
      <c r="AB258" s="21" t="inlineStr">
        <is>
          <t>2026-06-05</t>
        </is>
      </c>
      <c r="AC258" s="21" t="inlineStr">
        <is>
          <t>Ready</t>
        </is>
      </c>
      <c r="AD258" s="21" t="inlineStr">
        <is>
          <t>Pickup must happen before paired delivery</t>
        </is>
      </c>
    </row>
    <row r="259" ht="18" customHeight="1" s="17">
      <c r="A259" s="23" t="inlineStr">
        <is>
          <t>S3</t>
        </is>
      </c>
      <c r="B259" s="23" t="inlineStr">
        <is>
          <t>S3-ORD-055</t>
        </is>
      </c>
      <c r="C259" s="23" t="inlineStr">
        <is>
          <t>S3-ORD-055-D</t>
        </is>
      </c>
      <c r="D259" s="23" t="inlineStr">
        <is>
          <t>Delivery</t>
        </is>
      </c>
      <c r="E259" s="23" t="inlineStr">
        <is>
          <t>S3-ORD-055-P</t>
        </is>
      </c>
      <c r="F259" s="23" t="inlineStr">
        <is>
          <t>S3-ORD-055</t>
        </is>
      </c>
      <c r="G259" s="23" t="inlineStr">
        <is>
          <t>DL_HN_LOTTE_DD</t>
        </is>
      </c>
      <c r="H259" s="23" t="inlineStr">
        <is>
          <t>LOTTE MART Đống Đa</t>
        </is>
      </c>
      <c r="I259" s="23" t="inlineStr">
        <is>
          <t>Hà Nội</t>
        </is>
      </c>
      <c r="J259" s="23" t="inlineStr">
        <is>
          <t>Đống Đa</t>
        </is>
      </c>
      <c r="K259" s="38" t="n">
        <v>21.005536</v>
      </c>
      <c r="L259" s="38" t="n">
        <v>105.823942</v>
      </c>
      <c r="M259" s="39" t="n">
        <v>621</v>
      </c>
      <c r="N259" s="39" t="n">
        <v>771</v>
      </c>
      <c r="O259" s="23" t="inlineStr">
        <is>
          <t>10:21</t>
        </is>
      </c>
      <c r="P259" s="23" t="inlineStr">
        <is>
          <t>12:51</t>
        </is>
      </c>
      <c r="Q259" s="24" t="n">
        <v>30</v>
      </c>
      <c r="R259" s="32" t="n">
        <v>-1035</v>
      </c>
      <c r="S259" s="33" t="n">
        <v>-2.2</v>
      </c>
      <c r="T259" s="23" t="inlineStr">
        <is>
          <t>1.25T</t>
        </is>
      </c>
      <c r="U259" s="23" t="inlineStr">
        <is>
          <t>1.25T</t>
        </is>
      </c>
      <c r="V259" s="23" t="inlineStr">
        <is>
          <t>Nội thành Hà Nội</t>
        </is>
      </c>
      <c r="W259" s="23" t="inlineStr">
        <is>
          <t>CR-NỘIT-01</t>
        </is>
      </c>
      <c r="X259" s="23" t="inlineStr">
        <is>
          <t>A - SLA chặt</t>
        </is>
      </c>
      <c r="Y259" s="35" t="n">
        <v>0</v>
      </c>
      <c r="Z259" s="32" t="n">
        <v>150000</v>
      </c>
      <c r="AA259" s="23" t="inlineStr">
        <is>
          <t>Yes</t>
        </is>
      </c>
      <c r="AB259" s="23" t="inlineStr">
        <is>
          <t>2026-06-05</t>
        </is>
      </c>
      <c r="AC259" s="23" t="inlineStr">
        <is>
          <t>Ready</t>
        </is>
      </c>
      <c r="AD259" s="23" t="inlineStr">
        <is>
          <t>Delivery paired with same order and same vehicle unless transshipment enabled</t>
        </is>
      </c>
    </row>
    <row r="260" ht="18" customHeight="1" s="17">
      <c r="A260" s="21" t="inlineStr">
        <is>
          <t>S3</t>
        </is>
      </c>
      <c r="B260" s="21" t="inlineStr">
        <is>
          <t>S3-ORD-056</t>
        </is>
      </c>
      <c r="C260" s="21" t="inlineStr">
        <is>
          <t>S3-ORD-056-P</t>
        </is>
      </c>
      <c r="D260" s="21" t="inlineStr">
        <is>
          <t>Pickup</t>
        </is>
      </c>
      <c r="E260" s="21" t="inlineStr">
        <is>
          <t>S3-ORD-056-D</t>
        </is>
      </c>
      <c r="F260" s="21" t="inlineStr">
        <is>
          <t>S3-ORD-056</t>
        </is>
      </c>
      <c r="G260" s="21" t="inlineStr">
        <is>
          <t>PK_HY_MYHAO</t>
        </is>
      </c>
      <c r="H260" s="21" t="inlineStr">
        <is>
          <t>Kho/Nhà máy khách hàng Mỹ Hào</t>
        </is>
      </c>
      <c r="I260" s="21" t="inlineStr">
        <is>
          <t>Hưng Yên</t>
        </is>
      </c>
      <c r="J260" s="21" t="inlineStr">
        <is>
          <t>Mỹ Hào</t>
        </is>
      </c>
      <c r="K260" s="36" t="n">
        <v>20.9329</v>
      </c>
      <c r="L260" s="36" t="n">
        <v>106.065</v>
      </c>
      <c r="M260" s="37" t="n">
        <v>450</v>
      </c>
      <c r="N260" s="37" t="n">
        <v>570</v>
      </c>
      <c r="O260" s="21" t="inlineStr">
        <is>
          <t>07:30</t>
        </is>
      </c>
      <c r="P260" s="21" t="inlineStr">
        <is>
          <t>09:30</t>
        </is>
      </c>
      <c r="Q260" s="22" t="n">
        <v>40</v>
      </c>
      <c r="R260" s="28" t="n">
        <v>1044</v>
      </c>
      <c r="S260" s="29" t="n">
        <v>20.32</v>
      </c>
      <c r="T260" s="21" t="inlineStr">
        <is>
          <t>5T</t>
        </is>
      </c>
      <c r="U260" s="21" t="inlineStr">
        <is>
          <t>1.25T</t>
        </is>
      </c>
      <c r="V260" s="21" t="inlineStr">
        <is>
          <t>Nội thành Hà Nội</t>
        </is>
      </c>
      <c r="W260" s="21" t="inlineStr">
        <is>
          <t>CR-NỘIT-02</t>
        </is>
      </c>
      <c r="X260" s="21" t="inlineStr">
        <is>
          <t>A - SLA chặt</t>
        </is>
      </c>
      <c r="Y260" s="31" t="n">
        <v>690000</v>
      </c>
      <c r="Z260" s="28" t="n">
        <v>150000</v>
      </c>
      <c r="AA260" s="21" t="inlineStr">
        <is>
          <t>Yes</t>
        </is>
      </c>
      <c r="AB260" s="21" t="inlineStr">
        <is>
          <t>2026-06-05</t>
        </is>
      </c>
      <c r="AC260" s="21" t="inlineStr">
        <is>
          <t>Review</t>
        </is>
      </c>
      <c r="AD260" s="21" t="inlineStr">
        <is>
          <t>Pickup must happen before paired delivery</t>
        </is>
      </c>
    </row>
    <row r="261" ht="18" customHeight="1" s="17">
      <c r="A261" s="23" t="inlineStr">
        <is>
          <t>S3</t>
        </is>
      </c>
      <c r="B261" s="23" t="inlineStr">
        <is>
          <t>S3-ORD-056</t>
        </is>
      </c>
      <c r="C261" s="23" t="inlineStr">
        <is>
          <t>S3-ORD-056-D</t>
        </is>
      </c>
      <c r="D261" s="23" t="inlineStr">
        <is>
          <t>Delivery</t>
        </is>
      </c>
      <c r="E261" s="23" t="inlineStr">
        <is>
          <t>S3-ORD-056-P</t>
        </is>
      </c>
      <c r="F261" s="23" t="inlineStr">
        <is>
          <t>S3-ORD-056</t>
        </is>
      </c>
      <c r="G261" s="23" t="inlineStr">
        <is>
          <t>DL_HN_BACTULIEM</t>
        </is>
      </c>
      <c r="H261" s="23" t="inlineStr">
        <is>
          <t>VINMART Bắc Từ Liêm</t>
        </is>
      </c>
      <c r="I261" s="23" t="inlineStr">
        <is>
          <t>Hà Nội</t>
        </is>
      </c>
      <c r="J261" s="23" t="inlineStr">
        <is>
          <t>Bắc Từ Liêm</t>
        </is>
      </c>
      <c r="K261" s="38" t="n">
        <v>21.052701</v>
      </c>
      <c r="L261" s="38" t="n">
        <v>105.780729</v>
      </c>
      <c r="M261" s="39" t="n">
        <v>687</v>
      </c>
      <c r="N261" s="39" t="n">
        <v>837</v>
      </c>
      <c r="O261" s="23" t="inlineStr">
        <is>
          <t>11:27</t>
        </is>
      </c>
      <c r="P261" s="23" t="inlineStr">
        <is>
          <t>13:57</t>
        </is>
      </c>
      <c r="Q261" s="24" t="n">
        <v>35</v>
      </c>
      <c r="R261" s="32" t="n">
        <v>-1044</v>
      </c>
      <c r="S261" s="33" t="n">
        <v>-20.32</v>
      </c>
      <c r="T261" s="23" t="inlineStr">
        <is>
          <t>5T</t>
        </is>
      </c>
      <c r="U261" s="23" t="inlineStr">
        <is>
          <t>1.25T</t>
        </is>
      </c>
      <c r="V261" s="23" t="inlineStr">
        <is>
          <t>Nội thành Hà Nội</t>
        </is>
      </c>
      <c r="W261" s="23" t="inlineStr">
        <is>
          <t>CR-NỘIT-02</t>
        </is>
      </c>
      <c r="X261" s="23" t="inlineStr">
        <is>
          <t>A - SLA chặt</t>
        </is>
      </c>
      <c r="Y261" s="35" t="n">
        <v>0</v>
      </c>
      <c r="Z261" s="32" t="n">
        <v>150000</v>
      </c>
      <c r="AA261" s="23" t="inlineStr">
        <is>
          <t>Yes</t>
        </is>
      </c>
      <c r="AB261" s="23" t="inlineStr">
        <is>
          <t>2026-06-05</t>
        </is>
      </c>
      <c r="AC261" s="23" t="inlineStr">
        <is>
          <t>Review</t>
        </is>
      </c>
      <c r="AD261" s="23" t="inlineStr">
        <is>
          <t>Delivery paired with same order and same vehicle unless transshipment enabled</t>
        </is>
      </c>
    </row>
    <row r="262" ht="18" customHeight="1" s="17">
      <c r="A262" s="21" t="inlineStr">
        <is>
          <t>S3</t>
        </is>
      </c>
      <c r="B262" s="21" t="inlineStr">
        <is>
          <t>S3-ORD-057</t>
        </is>
      </c>
      <c r="C262" s="21" t="inlineStr">
        <is>
          <t>S3-ORD-057-P</t>
        </is>
      </c>
      <c r="D262" s="21" t="inlineStr">
        <is>
          <t>Pickup</t>
        </is>
      </c>
      <c r="E262" s="21" t="inlineStr">
        <is>
          <t>S3-ORD-057-D</t>
        </is>
      </c>
      <c r="F262" s="21" t="inlineStr">
        <is>
          <t>S3-ORD-057</t>
        </is>
      </c>
      <c r="G262" s="21" t="inlineStr">
        <is>
          <t>PK_HY_MYHAO</t>
        </is>
      </c>
      <c r="H262" s="21" t="inlineStr">
        <is>
          <t>Kho/Nhà máy khách hàng Mỹ Hào</t>
        </is>
      </c>
      <c r="I262" s="21" t="inlineStr">
        <is>
          <t>Hưng Yên</t>
        </is>
      </c>
      <c r="J262" s="21" t="inlineStr">
        <is>
          <t>Mỹ Hào</t>
        </is>
      </c>
      <c r="K262" s="36" t="n">
        <v>20.9329</v>
      </c>
      <c r="L262" s="36" t="n">
        <v>106.065</v>
      </c>
      <c r="M262" s="37" t="n">
        <v>420</v>
      </c>
      <c r="N262" s="37" t="n">
        <v>510</v>
      </c>
      <c r="O262" s="21" t="inlineStr">
        <is>
          <t>07:00</t>
        </is>
      </c>
      <c r="P262" s="21" t="inlineStr">
        <is>
          <t>08:30</t>
        </is>
      </c>
      <c r="Q262" s="22" t="n">
        <v>25</v>
      </c>
      <c r="R262" s="28" t="n">
        <v>351</v>
      </c>
      <c r="S262" s="29" t="n">
        <v>0.9</v>
      </c>
      <c r="T262" s="21" t="inlineStr">
        <is>
          <t>5 tạ</t>
        </is>
      </c>
      <c r="U262" s="21" t="inlineStr">
        <is>
          <t>1.25T</t>
        </is>
      </c>
      <c r="V262" s="21" t="inlineStr">
        <is>
          <t>Nội thành Hà Nội</t>
        </is>
      </c>
      <c r="W262" s="21" t="inlineStr">
        <is>
          <t>CR-NỘIT-03</t>
        </is>
      </c>
      <c r="X262" s="21" t="inlineStr">
        <is>
          <t>A - SLA chặt</t>
        </is>
      </c>
      <c r="Y262" s="31" t="n">
        <v>880000</v>
      </c>
      <c r="Z262" s="28" t="n">
        <v>150000</v>
      </c>
      <c r="AA262" s="21" t="inlineStr">
        <is>
          <t>Yes</t>
        </is>
      </c>
      <c r="AB262" s="21" t="inlineStr">
        <is>
          <t>2026-06-05</t>
        </is>
      </c>
      <c r="AC262" s="21" t="inlineStr">
        <is>
          <t>Ready</t>
        </is>
      </c>
      <c r="AD262" s="21" t="inlineStr">
        <is>
          <t>Pickup must happen before paired delivery</t>
        </is>
      </c>
    </row>
    <row r="263" ht="18" customHeight="1" s="17">
      <c r="A263" s="23" t="inlineStr">
        <is>
          <t>S3</t>
        </is>
      </c>
      <c r="B263" s="23" t="inlineStr">
        <is>
          <t>S3-ORD-057</t>
        </is>
      </c>
      <c r="C263" s="23" t="inlineStr">
        <is>
          <t>S3-ORD-057-D</t>
        </is>
      </c>
      <c r="D263" s="23" t="inlineStr">
        <is>
          <t>Delivery</t>
        </is>
      </c>
      <c r="E263" s="23" t="inlineStr">
        <is>
          <t>S3-ORD-057-P</t>
        </is>
      </c>
      <c r="F263" s="23" t="inlineStr">
        <is>
          <t>S3-ORD-057</t>
        </is>
      </c>
      <c r="G263" s="23" t="inlineStr">
        <is>
          <t>DL_HN_PARKCITY</t>
        </is>
      </c>
      <c r="H263" s="23" t="inlineStr">
        <is>
          <t>TOPS MARKET ParkCity</t>
        </is>
      </c>
      <c r="I263" s="23" t="inlineStr">
        <is>
          <t>Hà Nội</t>
        </is>
      </c>
      <c r="J263" s="23" t="inlineStr">
        <is>
          <t>Hà Đông</t>
        </is>
      </c>
      <c r="K263" s="38" t="n">
        <v>20.965724</v>
      </c>
      <c r="L263" s="38" t="n">
        <v>105.756143</v>
      </c>
      <c r="M263" s="39" t="n">
        <v>584</v>
      </c>
      <c r="N263" s="39" t="n">
        <v>704</v>
      </c>
      <c r="O263" s="23" t="inlineStr">
        <is>
          <t>09:44</t>
        </is>
      </c>
      <c r="P263" s="23" t="inlineStr">
        <is>
          <t>11:44</t>
        </is>
      </c>
      <c r="Q263" s="24" t="n">
        <v>30</v>
      </c>
      <c r="R263" s="32" t="n">
        <v>-351</v>
      </c>
      <c r="S263" s="33" t="n">
        <v>-0.9</v>
      </c>
      <c r="T263" s="23" t="inlineStr">
        <is>
          <t>5 tạ</t>
        </is>
      </c>
      <c r="U263" s="23" t="inlineStr">
        <is>
          <t>1.25T</t>
        </is>
      </c>
      <c r="V263" s="23" t="inlineStr">
        <is>
          <t>Nội thành Hà Nội</t>
        </is>
      </c>
      <c r="W263" s="23" t="inlineStr">
        <is>
          <t>CR-NỘIT-03</t>
        </is>
      </c>
      <c r="X263" s="23" t="inlineStr">
        <is>
          <t>A - SLA chặt</t>
        </is>
      </c>
      <c r="Y263" s="35" t="n">
        <v>0</v>
      </c>
      <c r="Z263" s="32" t="n">
        <v>150000</v>
      </c>
      <c r="AA263" s="23" t="inlineStr">
        <is>
          <t>Yes</t>
        </is>
      </c>
      <c r="AB263" s="23" t="inlineStr">
        <is>
          <t>2026-06-05</t>
        </is>
      </c>
      <c r="AC263" s="23" t="inlineStr">
        <is>
          <t>Ready</t>
        </is>
      </c>
      <c r="AD263" s="23" t="inlineStr">
        <is>
          <t>Delivery paired with same order and same vehicle unless transshipment enabled</t>
        </is>
      </c>
    </row>
    <row r="264" ht="18" customHeight="1" s="17">
      <c r="A264" s="21" t="inlineStr">
        <is>
          <t>S3</t>
        </is>
      </c>
      <c r="B264" s="21" t="inlineStr">
        <is>
          <t>S3-ORD-058</t>
        </is>
      </c>
      <c r="C264" s="21" t="inlineStr">
        <is>
          <t>S3-ORD-058-P</t>
        </is>
      </c>
      <c r="D264" s="21" t="inlineStr">
        <is>
          <t>Pickup</t>
        </is>
      </c>
      <c r="E264" s="21" t="inlineStr">
        <is>
          <t>S3-ORD-058-D</t>
        </is>
      </c>
      <c r="F264" s="21" t="inlineStr">
        <is>
          <t>S3-ORD-058</t>
        </is>
      </c>
      <c r="G264" s="21" t="inlineStr">
        <is>
          <t>PK_LINFOX_VSIP</t>
        </is>
      </c>
      <c r="H264" s="21" t="inlineStr">
        <is>
          <t>Kho Linfox KCN VSIP Bắc Ninh</t>
        </is>
      </c>
      <c r="I264" s="21" t="inlineStr">
        <is>
          <t>Bắc Ninh</t>
        </is>
      </c>
      <c r="J264" s="21" t="inlineStr">
        <is>
          <t>Từ Sơn</t>
        </is>
      </c>
      <c r="K264" s="36" t="n">
        <v>21.082707</v>
      </c>
      <c r="L264" s="36" t="n">
        <v>105.997949</v>
      </c>
      <c r="M264" s="37" t="n">
        <v>450</v>
      </c>
      <c r="N264" s="37" t="n">
        <v>540</v>
      </c>
      <c r="O264" s="21" t="inlineStr">
        <is>
          <t>07:30</t>
        </is>
      </c>
      <c r="P264" s="21" t="inlineStr">
        <is>
          <t>09:00</t>
        </is>
      </c>
      <c r="Q264" s="22" t="n">
        <v>40</v>
      </c>
      <c r="R264" s="28" t="n">
        <v>7922</v>
      </c>
      <c r="S264" s="29" t="n">
        <v>30.2</v>
      </c>
      <c r="T264" s="21" t="inlineStr">
        <is>
          <t>8T</t>
        </is>
      </c>
      <c r="U264" s="21" t="inlineStr">
        <is>
          <t>8T</t>
        </is>
      </c>
      <c r="V264" s="21" t="inlineStr">
        <is>
          <t>Đông Bắc</t>
        </is>
      </c>
      <c r="W264" s="21" t="inlineStr">
        <is>
          <t>CR-ĐÔNG-04</t>
        </is>
      </c>
      <c r="X264" s="21" t="inlineStr">
        <is>
          <t>B - Thường</t>
        </is>
      </c>
      <c r="Y264" s="31" t="n">
        <v>8020000</v>
      </c>
      <c r="Z264" s="28" t="n">
        <v>80000</v>
      </c>
      <c r="AA264" s="21" t="inlineStr">
        <is>
          <t>Yes</t>
        </is>
      </c>
      <c r="AB264" s="21" t="inlineStr">
        <is>
          <t>2026-06-05</t>
        </is>
      </c>
      <c r="AC264" s="21" t="inlineStr">
        <is>
          <t>Ready</t>
        </is>
      </c>
      <c r="AD264" s="21" t="inlineStr">
        <is>
          <t>Pickup must happen before paired delivery</t>
        </is>
      </c>
    </row>
    <row r="265" ht="18" customHeight="1" s="17">
      <c r="A265" s="23" t="inlineStr">
        <is>
          <t>S3</t>
        </is>
      </c>
      <c r="B265" s="23" t="inlineStr">
        <is>
          <t>S3-ORD-058</t>
        </is>
      </c>
      <c r="C265" s="23" t="inlineStr">
        <is>
          <t>S3-ORD-058-D</t>
        </is>
      </c>
      <c r="D265" s="23" t="inlineStr">
        <is>
          <t>Delivery</t>
        </is>
      </c>
      <c r="E265" s="23" t="inlineStr">
        <is>
          <t>S3-ORD-058-P</t>
        </is>
      </c>
      <c r="F265" s="23" t="inlineStr">
        <is>
          <t>S3-ORD-058</t>
        </is>
      </c>
      <c r="G265" s="23" t="inlineStr">
        <is>
          <t>DL_QN_HALONG</t>
        </is>
      </c>
      <c r="H265" s="23" t="inlineStr">
        <is>
          <t>MM Hạ Long</t>
        </is>
      </c>
      <c r="I265" s="23" t="inlineStr">
        <is>
          <t>Quảng Ninh</t>
        </is>
      </c>
      <c r="J265" s="23" t="inlineStr">
        <is>
          <t>Hạ Long</t>
        </is>
      </c>
      <c r="K265" s="38" t="n">
        <v>20.95129</v>
      </c>
      <c r="L265" s="38" t="n">
        <v>107.08008</v>
      </c>
      <c r="M265" s="39" t="n">
        <v>752</v>
      </c>
      <c r="N265" s="39" t="n">
        <v>902</v>
      </c>
      <c r="O265" s="23" t="inlineStr">
        <is>
          <t>12:32</t>
        </is>
      </c>
      <c r="P265" s="23" t="inlineStr">
        <is>
          <t>15:02</t>
        </is>
      </c>
      <c r="Q265" s="24" t="n">
        <v>45</v>
      </c>
      <c r="R265" s="32" t="n">
        <v>-7922</v>
      </c>
      <c r="S265" s="33" t="n">
        <v>-30.2</v>
      </c>
      <c r="T265" s="23" t="inlineStr">
        <is>
          <t>8T</t>
        </is>
      </c>
      <c r="U265" s="23" t="inlineStr">
        <is>
          <t>8T</t>
        </is>
      </c>
      <c r="V265" s="23" t="inlineStr">
        <is>
          <t>Đông Bắc</t>
        </is>
      </c>
      <c r="W265" s="23" t="inlineStr">
        <is>
          <t>CR-ĐÔNG-04</t>
        </is>
      </c>
      <c r="X265" s="23" t="inlineStr">
        <is>
          <t>B - Thường</t>
        </is>
      </c>
      <c r="Y265" s="35" t="n">
        <v>0</v>
      </c>
      <c r="Z265" s="32" t="n">
        <v>80000</v>
      </c>
      <c r="AA265" s="23" t="inlineStr">
        <is>
          <t>Yes</t>
        </is>
      </c>
      <c r="AB265" s="23" t="inlineStr">
        <is>
          <t>2026-06-05</t>
        </is>
      </c>
      <c r="AC265" s="23" t="inlineStr">
        <is>
          <t>Ready</t>
        </is>
      </c>
      <c r="AD265" s="23" t="inlineStr">
        <is>
          <t>Delivery paired with same order and same vehicle unless transshipment enabled</t>
        </is>
      </c>
    </row>
    <row r="266" ht="18" customHeight="1" s="17">
      <c r="A266" s="21" t="inlineStr">
        <is>
          <t>S3</t>
        </is>
      </c>
      <c r="B266" s="21" t="inlineStr">
        <is>
          <t>S3-ORD-059</t>
        </is>
      </c>
      <c r="C266" s="21" t="inlineStr">
        <is>
          <t>S3-ORD-059-P</t>
        </is>
      </c>
      <c r="D266" s="21" t="inlineStr">
        <is>
          <t>Pickup</t>
        </is>
      </c>
      <c r="E266" s="21" t="inlineStr">
        <is>
          <t>S3-ORD-059-D</t>
        </is>
      </c>
      <c r="F266" s="21" t="inlineStr">
        <is>
          <t>S3-ORD-059</t>
        </is>
      </c>
      <c r="G266" s="21" t="inlineStr">
        <is>
          <t>PK_HPL_LB</t>
        </is>
      </c>
      <c r="H266" s="21" t="inlineStr">
        <is>
          <t>HPL Depot Long Biên - 20 Thạch Bàn</t>
        </is>
      </c>
      <c r="I266" s="21" t="inlineStr">
        <is>
          <t>Hà Nội</t>
        </is>
      </c>
      <c r="J266" s="21" t="inlineStr">
        <is>
          <t>Long Biên</t>
        </is>
      </c>
      <c r="K266" s="36" t="n">
        <v>21.0261548385</v>
      </c>
      <c r="L266" s="36" t="n">
        <v>105.914182238</v>
      </c>
      <c r="M266" s="37" t="n">
        <v>450</v>
      </c>
      <c r="N266" s="37" t="n">
        <v>600</v>
      </c>
      <c r="O266" s="21" t="inlineStr">
        <is>
          <t>07:30</t>
        </is>
      </c>
      <c r="P266" s="21" t="inlineStr">
        <is>
          <t>10:00</t>
        </is>
      </c>
      <c r="Q266" s="22" t="n">
        <v>120</v>
      </c>
      <c r="R266" s="28" t="n">
        <v>11995</v>
      </c>
      <c r="S266" s="29" t="n">
        <v>29.05</v>
      </c>
      <c r="T266" s="21" t="inlineStr">
        <is>
          <t>3 chân</t>
        </is>
      </c>
      <c r="U266" s="21" t="inlineStr">
        <is>
          <t>3 chân</t>
        </is>
      </c>
      <c r="V266" s="21" t="inlineStr">
        <is>
          <t>Bắc Trung Bộ</t>
        </is>
      </c>
      <c r="W266" s="21" t="inlineStr">
        <is>
          <t>CR-BẮCT-05</t>
        </is>
      </c>
      <c r="X266" s="21" t="inlineStr">
        <is>
          <t>C - Có thể thương lượng</t>
        </is>
      </c>
      <c r="Y266" s="31" t="n">
        <v>14630000</v>
      </c>
      <c r="Z266" s="28" t="n">
        <v>80000</v>
      </c>
      <c r="AA266" s="21" t="inlineStr">
        <is>
          <t>Yes</t>
        </is>
      </c>
      <c r="AB266" s="21" t="inlineStr">
        <is>
          <t>2026-06-05</t>
        </is>
      </c>
      <c r="AC266" s="21" t="inlineStr">
        <is>
          <t>Ready</t>
        </is>
      </c>
      <c r="AD266" s="21" t="inlineStr">
        <is>
          <t>Pickup must happen before paired delivery</t>
        </is>
      </c>
    </row>
    <row r="267" ht="18" customHeight="1" s="17">
      <c r="A267" s="23" t="inlineStr">
        <is>
          <t>S3</t>
        </is>
      </c>
      <c r="B267" s="23" t="inlineStr">
        <is>
          <t>S3-ORD-059</t>
        </is>
      </c>
      <c r="C267" s="23" t="inlineStr">
        <is>
          <t>S3-ORD-059-D</t>
        </is>
      </c>
      <c r="D267" s="23" t="inlineStr">
        <is>
          <t>Delivery</t>
        </is>
      </c>
      <c r="E267" s="23" t="inlineStr">
        <is>
          <t>S3-ORD-059-P</t>
        </is>
      </c>
      <c r="F267" s="23" t="inlineStr">
        <is>
          <t>S3-ORD-059</t>
        </is>
      </c>
      <c r="G267" s="23" t="inlineStr">
        <is>
          <t>DL_TH_BHX_QX</t>
        </is>
      </c>
      <c r="H267" s="23" t="inlineStr">
        <is>
          <t>BHX Thanh Hóa - Kho DC Quảng Xương</t>
        </is>
      </c>
      <c r="I267" s="23" t="inlineStr">
        <is>
          <t>Thanh Hóa</t>
        </is>
      </c>
      <c r="J267" s="23" t="inlineStr">
        <is>
          <t>Quảng Xương</t>
        </is>
      </c>
      <c r="K267" s="38" t="n">
        <v>19.731</v>
      </c>
      <c r="L267" s="38" t="n">
        <v>105.815</v>
      </c>
      <c r="M267" s="39" t="n">
        <v>850</v>
      </c>
      <c r="N267" s="39" t="n">
        <v>940</v>
      </c>
      <c r="O267" s="23" t="inlineStr">
        <is>
          <t>14:10</t>
        </is>
      </c>
      <c r="P267" s="23" t="inlineStr">
        <is>
          <t>15:40</t>
        </is>
      </c>
      <c r="Q267" s="24" t="n">
        <v>90</v>
      </c>
      <c r="R267" s="32" t="n">
        <v>-11995</v>
      </c>
      <c r="S267" s="33" t="n">
        <v>-29.05</v>
      </c>
      <c r="T267" s="23" t="inlineStr">
        <is>
          <t>3 chân</t>
        </is>
      </c>
      <c r="U267" s="23" t="inlineStr">
        <is>
          <t>3 chân</t>
        </is>
      </c>
      <c r="V267" s="23" t="inlineStr">
        <is>
          <t>Bắc Trung Bộ</t>
        </is>
      </c>
      <c r="W267" s="23" t="inlineStr">
        <is>
          <t>CR-BẮCT-05</t>
        </is>
      </c>
      <c r="X267" s="23" t="inlineStr">
        <is>
          <t>C - Có thể thương lượng</t>
        </is>
      </c>
      <c r="Y267" s="35" t="n">
        <v>0</v>
      </c>
      <c r="Z267" s="32" t="n">
        <v>80000</v>
      </c>
      <c r="AA267" s="23" t="inlineStr">
        <is>
          <t>Yes</t>
        </is>
      </c>
      <c r="AB267" s="23" t="inlineStr">
        <is>
          <t>2026-06-05</t>
        </is>
      </c>
      <c r="AC267" s="23" t="inlineStr">
        <is>
          <t>Ready</t>
        </is>
      </c>
      <c r="AD267" s="23" t="inlineStr">
        <is>
          <t>Delivery paired with same order and same vehicle unless transshipment enabled</t>
        </is>
      </c>
    </row>
    <row r="268" ht="18" customHeight="1" s="17">
      <c r="A268" s="21" t="inlineStr">
        <is>
          <t>S3</t>
        </is>
      </c>
      <c r="B268" s="21" t="inlineStr">
        <is>
          <t>S3-ORD-060</t>
        </is>
      </c>
      <c r="C268" s="21" t="inlineStr">
        <is>
          <t>S3-ORD-060-P</t>
        </is>
      </c>
      <c r="D268" s="21" t="inlineStr">
        <is>
          <t>Pickup</t>
        </is>
      </c>
      <c r="E268" s="21" t="inlineStr">
        <is>
          <t>S3-ORD-060-D</t>
        </is>
      </c>
      <c r="F268" s="21" t="inlineStr">
        <is>
          <t>S3-ORD-060</t>
        </is>
      </c>
      <c r="G268" s="21" t="inlineStr">
        <is>
          <t>PK_HY_MYHAO</t>
        </is>
      </c>
      <c r="H268" s="21" t="inlineStr">
        <is>
          <t>Kho/Nhà máy khách hàng Mỹ Hào</t>
        </is>
      </c>
      <c r="I268" s="21" t="inlineStr">
        <is>
          <t>Hưng Yên</t>
        </is>
      </c>
      <c r="J268" s="21" t="inlineStr">
        <is>
          <t>Mỹ Hào</t>
        </is>
      </c>
      <c r="K268" s="36" t="n">
        <v>20.9329</v>
      </c>
      <c r="L268" s="36" t="n">
        <v>106.065</v>
      </c>
      <c r="M268" s="37" t="n">
        <v>510</v>
      </c>
      <c r="N268" s="37" t="n">
        <v>600</v>
      </c>
      <c r="O268" s="21" t="inlineStr">
        <is>
          <t>08:30</t>
        </is>
      </c>
      <c r="P268" s="21" t="inlineStr">
        <is>
          <t>10:00</t>
        </is>
      </c>
      <c r="Q268" s="22" t="n">
        <v>40</v>
      </c>
      <c r="R268" s="28" t="n">
        <v>2177</v>
      </c>
      <c r="S268" s="29" t="n">
        <v>5.48</v>
      </c>
      <c r="T268" s="21" t="inlineStr">
        <is>
          <t>5T</t>
        </is>
      </c>
      <c r="U268" s="21" t="inlineStr">
        <is>
          <t>1.25T</t>
        </is>
      </c>
      <c r="V268" s="21" t="inlineStr">
        <is>
          <t>Nội thành Hà Nội</t>
        </is>
      </c>
      <c r="W268" s="21" t="inlineStr">
        <is>
          <t>CR-NỘIT-01</t>
        </is>
      </c>
      <c r="X268" s="21" t="inlineStr">
        <is>
          <t>C - Có thể thương lượng</t>
        </is>
      </c>
      <c r="Y268" s="31" t="n">
        <v>1300000</v>
      </c>
      <c r="Z268" s="28" t="n">
        <v>80000</v>
      </c>
      <c r="AA268" s="21" t="inlineStr">
        <is>
          <t>Yes</t>
        </is>
      </c>
      <c r="AB268" s="21" t="inlineStr">
        <is>
          <t>2026-06-05</t>
        </is>
      </c>
      <c r="AC268" s="21" t="inlineStr">
        <is>
          <t>Review</t>
        </is>
      </c>
      <c r="AD268" s="21" t="inlineStr">
        <is>
          <t>Pickup must happen before paired delivery</t>
        </is>
      </c>
    </row>
    <row r="269" ht="18" customHeight="1" s="17">
      <c r="A269" s="23" t="inlineStr">
        <is>
          <t>S3</t>
        </is>
      </c>
      <c r="B269" s="23" t="inlineStr">
        <is>
          <t>S3-ORD-060</t>
        </is>
      </c>
      <c r="C269" s="23" t="inlineStr">
        <is>
          <t>S3-ORD-060-D</t>
        </is>
      </c>
      <c r="D269" s="23" t="inlineStr">
        <is>
          <t>Delivery</t>
        </is>
      </c>
      <c r="E269" s="23" t="inlineStr">
        <is>
          <t>S3-ORD-060-P</t>
        </is>
      </c>
      <c r="F269" s="23" t="inlineStr">
        <is>
          <t>S3-ORD-060</t>
        </is>
      </c>
      <c r="G269" s="23" t="inlineStr">
        <is>
          <t>DL_HN_BACTULIEM</t>
        </is>
      </c>
      <c r="H269" s="23" t="inlineStr">
        <is>
          <t>VINMART Bắc Từ Liêm</t>
        </is>
      </c>
      <c r="I269" s="23" t="inlineStr">
        <is>
          <t>Hà Nội</t>
        </is>
      </c>
      <c r="J269" s="23" t="inlineStr">
        <is>
          <t>Bắc Từ Liêm</t>
        </is>
      </c>
      <c r="K269" s="38" t="n">
        <v>21.052701</v>
      </c>
      <c r="L269" s="38" t="n">
        <v>105.780729</v>
      </c>
      <c r="M269" s="39" t="n">
        <v>684</v>
      </c>
      <c r="N269" s="39" t="n">
        <v>774</v>
      </c>
      <c r="O269" s="23" t="inlineStr">
        <is>
          <t>11:24</t>
        </is>
      </c>
      <c r="P269" s="23" t="inlineStr">
        <is>
          <t>12:54</t>
        </is>
      </c>
      <c r="Q269" s="24" t="n">
        <v>35</v>
      </c>
      <c r="R269" s="32" t="n">
        <v>-2177</v>
      </c>
      <c r="S269" s="33" t="n">
        <v>-5.48</v>
      </c>
      <c r="T269" s="23" t="inlineStr">
        <is>
          <t>5T</t>
        </is>
      </c>
      <c r="U269" s="23" t="inlineStr">
        <is>
          <t>1.25T</t>
        </is>
      </c>
      <c r="V269" s="23" t="inlineStr">
        <is>
          <t>Nội thành Hà Nội</t>
        </is>
      </c>
      <c r="W269" s="23" t="inlineStr">
        <is>
          <t>CR-NỘIT-01</t>
        </is>
      </c>
      <c r="X269" s="23" t="inlineStr">
        <is>
          <t>C - Có thể thương lượng</t>
        </is>
      </c>
      <c r="Y269" s="35" t="n">
        <v>0</v>
      </c>
      <c r="Z269" s="32" t="n">
        <v>80000</v>
      </c>
      <c r="AA269" s="23" t="inlineStr">
        <is>
          <t>Yes</t>
        </is>
      </c>
      <c r="AB269" s="23" t="inlineStr">
        <is>
          <t>2026-06-05</t>
        </is>
      </c>
      <c r="AC269" s="23" t="inlineStr">
        <is>
          <t>Review</t>
        </is>
      </c>
      <c r="AD269" s="23" t="inlineStr">
        <is>
          <t>Delivery paired with same order and same vehicle unless transshipment enabled</t>
        </is>
      </c>
    </row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J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6"/>
    <col width="44" customWidth="1" style="17" min="2" max="2"/>
    <col width="13" customWidth="1" style="17" min="3" max="3"/>
    <col width="29" customWidth="1" style="17" min="4" max="4"/>
    <col width="30" customWidth="1" style="17" min="5" max="5"/>
    <col width="14" customWidth="1" style="17" min="6" max="6"/>
    <col width="47.38" customWidth="1" style="17" min="7" max="7"/>
    <col width="44" customWidth="1" style="17" min="8" max="8"/>
    <col width="44" customWidth="1" style="17" min="9" max="10"/>
    <col width="44" customWidth="1" style="17" min="10" max="10"/>
    <col width="8.630000000000001" customWidth="1" style="17" min="11" max="26"/>
  </cols>
  <sheetData>
    <row r="1" ht="26" customHeight="1" s="17">
      <c r="A1" s="20" t="inlineStr">
        <is>
          <t>Scenario_ID</t>
        </is>
      </c>
      <c r="B1" s="20" t="inlineStr">
        <is>
          <t>Case</t>
        </is>
      </c>
      <c r="C1" s="20" t="inlineStr">
        <is>
          <t>Orders</t>
        </is>
      </c>
      <c r="D1" s="20" t="inlineStr">
        <is>
          <t>Internal_Vehicles_Available</t>
        </is>
      </c>
      <c r="E1" s="20" t="inlineStr">
        <is>
          <t>Estimated_Route/Vehicle_Need</t>
        </is>
      </c>
      <c r="F1" s="20" t="inlineStr">
        <is>
          <t>Capacity_Gap</t>
        </is>
      </c>
      <c r="G1" s="20" t="inlineStr">
        <is>
          <t>Planning_Meaning</t>
        </is>
      </c>
      <c r="H1" s="20" t="inlineStr">
        <is>
          <t>Proposed_Operational_Response</t>
        </is>
      </c>
      <c r="I1" s="20" t="inlineStr">
        <is>
          <t>Algorithm_Settings</t>
        </is>
      </c>
      <c r="J1" s="20" t="inlineStr">
        <is>
          <t>Presentation_Note</t>
        </is>
      </c>
    </row>
    <row r="2" ht="18" customHeight="1" s="17">
      <c r="A2" s="21" t="inlineStr">
        <is>
          <t>S1</t>
        </is>
      </c>
      <c r="B2" s="21" t="inlineStr">
        <is>
          <t>Năng lực công ty còn thừa so với order khách hàng</t>
        </is>
      </c>
      <c r="C2" s="22" t="n">
        <v>30</v>
      </c>
      <c r="D2" s="22" t="n">
        <v>40</v>
      </c>
      <c r="E2" s="22" t="n">
        <v>28</v>
      </c>
      <c r="F2" s="22" t="n">
        <v>12</v>
      </c>
      <c r="G2" s="21" t="inlineStr">
        <is>
          <t>Có xe dự phòng, không cần thuê ngoài</t>
        </is>
      </c>
      <c r="H2" s="21" t="inlineStr">
        <is>
          <t>Ưu tiên phương án giảm km, giảm chạy rỗng, giữ 3-5 xe dự phòng cho phát sinh; chọn xe nhỏ cho nội đô và xe 5T/8T cho tuyến dài</t>
        </is>
      </c>
      <c r="I2" s="21" t="inlineStr">
        <is>
          <t>Balanced Mode + Empty-run Reduction</t>
        </is>
      </c>
      <c r="J2" s="21" t="inlineStr">
        <is>
          <t>Dùng để chứng minh hệ thống không chỉ tìm đường mà còn tối ưu năng lực dư</t>
        </is>
      </c>
    </row>
    <row r="3" ht="18" customHeight="1" s="17">
      <c r="A3" s="23" t="inlineStr">
        <is>
          <t>S2</t>
        </is>
      </c>
      <c r="B3" s="23" t="inlineStr">
        <is>
          <t>Năng lực công ty đáp ứng đủ so với order khách hàng</t>
        </is>
      </c>
      <c r="C3" s="24" t="n">
        <v>44</v>
      </c>
      <c r="D3" s="24" t="n">
        <v>40</v>
      </c>
      <c r="E3" s="24" t="n">
        <v>40</v>
      </c>
      <c r="F3" s="24" t="n">
        <v>0</v>
      </c>
      <c r="G3" s="23" t="inlineStr">
        <is>
          <t>Không còn nhiều xe dự phòng, cần khóa kế hoạch chặt</t>
        </is>
      </c>
      <c r="H3" s="23" t="inlineStr">
        <is>
          <t>Ưu tiên SLA và feasibility; giữ 1 danh sách xe backup/3PL standby nhưng chưa kích hoạt; dispatcher cần duyệt sớm và gửi tài xế trước 19:00</t>
        </is>
      </c>
      <c r="I3" s="23" t="inlineStr">
        <is>
          <t>On-time Priority + Manual-assisted Mode</t>
        </is>
      </c>
      <c r="J3" s="23" t="inlineStr">
        <is>
          <t>Phù hợp case lập kế hoạch ngày hôm sau khi order vừa khớp năng lực</t>
        </is>
      </c>
    </row>
    <row r="4" ht="18" customHeight="1" s="17">
      <c r="A4" s="21" t="inlineStr">
        <is>
          <t>S3</t>
        </is>
      </c>
      <c r="B4" s="21" t="inlineStr">
        <is>
          <t>Năng lực công ty thiếu so với order khách hàng</t>
        </is>
      </c>
      <c r="C4" s="22" t="n">
        <v>60</v>
      </c>
      <c r="D4" s="22" t="n">
        <v>40</v>
      </c>
      <c r="E4" s="22" t="n">
        <v>52</v>
      </c>
      <c r="F4" s="22" t="n">
        <v>-12</v>
      </c>
      <c r="G4" s="21" t="inlineStr">
        <is>
          <t>Thiếu xe nội bộ, phải thuê ngoài/chuyển tải/đàm phán giờ</t>
        </is>
      </c>
      <c r="H4" s="21" t="inlineStr">
        <is>
          <t>Kích hoạt 3PL/thuê ngoài cho tuyến dài và cụm low-margin; tách đơn quá tải nội đô; xin khách nới time window với đơn ưu tiên C; ưu tiên đơn SLA A và tuyến có lợi nhuận tốt</t>
        </is>
      </c>
      <c r="I4" s="21" t="inlineStr">
        <is>
          <t>Profit Maximization + On-time Priority + Split/Transshipment Enabled</t>
        </is>
      </c>
      <c r="J4" s="21" t="inlineStr">
        <is>
          <t>Dùng để trình bày năng lực xử lý thiếu xe và trade-off lead time/profit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landscape" fitToHeight="0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ColWidth="12.63" defaultRowHeight="15" customHeight="1"/>
  <cols>
    <col width="16" customWidth="1" style="17" min="1" max="5"/>
    <col width="24" customWidth="1" style="17" min="2" max="2"/>
    <col width="44" customWidth="1" style="17" min="3" max="3"/>
    <col width="44" customWidth="1" style="17" min="4" max="4"/>
    <col width="20" customWidth="1" style="17" min="5" max="5"/>
    <col width="8.630000000000001" customWidth="1" style="17" min="6" max="26"/>
  </cols>
  <sheetData>
    <row r="1" ht="26" customHeight="1" s="17">
      <c r="A1" s="20" t="inlineStr">
        <is>
          <t>Category</t>
        </is>
      </c>
      <c r="B1" s="20" t="inlineStr">
        <is>
          <t>Notation/Field</t>
        </is>
      </c>
      <c r="C1" s="20" t="inlineStr">
        <is>
          <t>Description</t>
        </is>
      </c>
      <c r="D1" s="20" t="inlineStr">
        <is>
          <t>Sheet/Column Used</t>
        </is>
      </c>
      <c r="E1" s="20" t="inlineStr">
        <is>
          <t>Required for</t>
        </is>
      </c>
    </row>
    <row r="2" ht="18" customHeight="1" s="17">
      <c r="A2" s="21" t="inlineStr">
        <is>
          <t>Set</t>
        </is>
      </c>
      <c r="B2" s="21" t="inlineStr">
        <is>
          <t>K</t>
        </is>
      </c>
      <c r="C2" s="21" t="inlineStr">
        <is>
          <t>Tập xe/vehicle set</t>
        </is>
      </c>
      <c r="D2" s="21" t="inlineStr">
        <is>
          <t>04_Fleet_40.Vehicle_ID</t>
        </is>
      </c>
      <c r="E2" s="21" t="inlineStr">
        <is>
          <t>VRPTW/PDPTW</t>
        </is>
      </c>
    </row>
    <row r="3" ht="18" customHeight="1" s="17">
      <c r="A3" s="23" t="inlineStr">
        <is>
          <t>Set</t>
        </is>
      </c>
      <c r="B3" s="23" t="inlineStr">
        <is>
          <t>R</t>
        </is>
      </c>
      <c r="C3" s="23" t="inlineStr">
        <is>
          <t>Tập yêu cầu vận tải/order set</t>
        </is>
      </c>
      <c r="D3" s="23" t="inlineStr">
        <is>
          <t>S1/S2/S3 Orders.Order_ID</t>
        </is>
      </c>
      <c r="E3" s="23" t="inlineStr">
        <is>
          <t>Clustering + VRPTW</t>
        </is>
      </c>
    </row>
    <row r="4" ht="18" customHeight="1" s="17">
      <c r="A4" s="21" t="inlineStr">
        <is>
          <t>Set</t>
        </is>
      </c>
      <c r="B4" s="21" t="inlineStr">
        <is>
          <t>N</t>
        </is>
      </c>
      <c r="C4" s="21" t="inlineStr">
        <is>
          <t>Tập node gồm depot, pickup và delivery</t>
        </is>
      </c>
      <c r="D4" s="21" t="inlineStr">
        <is>
          <t>08_Algorithm_Nodes.Node_ID</t>
        </is>
      </c>
      <c r="E4" s="21" t="inlineStr">
        <is>
          <t>VRPTW/PDPTW</t>
        </is>
      </c>
    </row>
    <row r="5" ht="18" customHeight="1" s="17">
      <c r="A5" s="23" t="inlineStr">
        <is>
          <t>Parameter</t>
        </is>
      </c>
      <c r="B5" s="23" t="inlineStr">
        <is>
          <t>cap_k</t>
        </is>
      </c>
      <c r="C5" s="23" t="inlineStr">
        <is>
          <t>Sức chứa/tải trọng của xe k</t>
        </is>
      </c>
      <c r="D5" s="23" t="inlineStr">
        <is>
          <t>04_Fleet_40.Max_Weight_kg / Max_Volume_m3</t>
        </is>
      </c>
      <c r="E5" s="23" t="inlineStr">
        <is>
          <t>Vehicle capacity</t>
        </is>
      </c>
    </row>
    <row r="6" ht="18" customHeight="1" s="17">
      <c r="A6" s="21" t="inlineStr">
        <is>
          <t>Parameter</t>
        </is>
      </c>
      <c r="B6" s="21" t="inlineStr">
        <is>
          <t>cost_ijk</t>
        </is>
      </c>
      <c r="C6" s="21" t="inlineStr">
        <is>
          <t>Chi phí xe k đi từ i đến j</t>
        </is>
      </c>
      <c r="D6" s="21" t="inlineStr">
        <is>
          <t>03_Cost_Constraints + Fuel_L_per_km + distance matrix from lat/lon</t>
        </is>
      </c>
      <c r="E6" s="21" t="inlineStr">
        <is>
          <t>Objective function</t>
        </is>
      </c>
    </row>
    <row r="7" ht="18" customHeight="1" s="17">
      <c r="A7" s="23" t="inlineStr">
        <is>
          <t>Parameter</t>
        </is>
      </c>
      <c r="B7" s="23" t="inlineStr">
        <is>
          <t>time_ijk</t>
        </is>
      </c>
      <c r="C7" s="23" t="inlineStr">
        <is>
          <t>Thời gian xe k đi từ i đến j</t>
        </is>
      </c>
      <c r="D7" s="23" t="inlineStr">
        <is>
          <t>Lat/Lon + Avg_Speed + road/time rules</t>
        </is>
      </c>
      <c r="E7" s="23" t="inlineStr">
        <is>
          <t>Time windows</t>
        </is>
      </c>
    </row>
    <row r="8" ht="18" customHeight="1" s="17">
      <c r="A8" s="21" t="inlineStr">
        <is>
          <t>Parameter</t>
        </is>
      </c>
      <c r="B8" s="21" t="inlineStr">
        <is>
          <t>[a_i,b_i]</t>
        </is>
      </c>
      <c r="C8" s="21" t="inlineStr">
        <is>
          <t>Khung giờ pickup/drop</t>
        </is>
      </c>
      <c r="D8" s="21" t="inlineStr">
        <is>
          <t>08_Algorithm_Nodes.Time_Window_Start/End_Min</t>
        </is>
      </c>
      <c r="E8" s="21" t="inlineStr">
        <is>
          <t>VRPTW feasibility</t>
        </is>
      </c>
    </row>
    <row r="9" ht="18" customHeight="1" s="17">
      <c r="A9" s="23" t="inlineStr">
        <is>
          <t>Parameter</t>
        </is>
      </c>
      <c r="B9" s="23" t="inlineStr">
        <is>
          <t>service_i</t>
        </is>
      </c>
      <c r="C9" s="23" t="inlineStr">
        <is>
          <t>Thời gian phục vụ/bốc/dỡ tại node</t>
        </is>
      </c>
      <c r="D9" s="23" t="inlineStr">
        <is>
          <t>08_Algorithm_Nodes.Service_Time_Min</t>
        </is>
      </c>
      <c r="E9" s="23" t="inlineStr">
        <is>
          <t>Route sequencing</t>
        </is>
      </c>
    </row>
    <row r="10" ht="18" customHeight="1" s="17">
      <c r="A10" s="21" t="inlineStr">
        <is>
          <t>Parameter</t>
        </is>
      </c>
      <c r="B10" s="21" t="inlineStr">
        <is>
          <t>q_i/v_i</t>
        </is>
      </c>
      <c r="C10" s="21" t="inlineStr">
        <is>
          <t>Nhu cầu tải trọng/thể tích; pickup dương, delivery âm</t>
        </is>
      </c>
      <c r="D10" s="21" t="inlineStr">
        <is>
          <t>08_Algorithm_Nodes.Demand_Weight_kg / Demand_Volume_m3</t>
        </is>
      </c>
      <c r="E10" s="21" t="inlineStr">
        <is>
          <t>Load flow</t>
        </is>
      </c>
    </row>
    <row r="11" ht="18" customHeight="1" s="17">
      <c r="A11" s="23" t="inlineStr">
        <is>
          <t>Decision</t>
        </is>
      </c>
      <c r="B11" s="23" t="inlineStr">
        <is>
          <t>x_ijk</t>
        </is>
      </c>
      <c r="C11" s="23" t="inlineStr">
        <is>
          <t>Xe k đi trực tiếp từ node i đến node j</t>
        </is>
      </c>
      <c r="D11" s="23" t="inlineStr">
        <is>
          <t>Solver output</t>
        </is>
      </c>
      <c r="E11" s="23" t="inlineStr">
        <is>
          <t>Route planning</t>
        </is>
      </c>
    </row>
    <row r="12" ht="18" customHeight="1" s="17">
      <c r="A12" s="21" t="inlineStr">
        <is>
          <t>Decision</t>
        </is>
      </c>
      <c r="B12" s="21" t="inlineStr">
        <is>
          <t>t_i</t>
        </is>
      </c>
      <c r="C12" s="21" t="inlineStr">
        <is>
          <t>Thời điểm đến node i</t>
        </is>
      </c>
      <c r="D12" s="21" t="inlineStr">
        <is>
          <t>Solver output</t>
        </is>
      </c>
      <c r="E12" s="21" t="inlineStr">
        <is>
          <t>ETA/ETD</t>
        </is>
      </c>
    </row>
    <row r="13" ht="18" customHeight="1" s="17">
      <c r="A13" s="23" t="inlineStr">
        <is>
          <t>Constraint</t>
        </is>
      </c>
      <c r="B13" s="23" t="inlineStr">
        <is>
          <t>Pickup before delivery</t>
        </is>
      </c>
      <c r="C13" s="23" t="inlineStr">
        <is>
          <t>t_delivery &gt;= t_pickup + service_pickup</t>
        </is>
      </c>
      <c r="D13" s="23" t="inlineStr">
        <is>
          <t>08_Algorithm_Nodes.Pair_Node_ID</t>
        </is>
      </c>
      <c r="E13" s="23" t="inlineStr">
        <is>
          <t>PDPTW</t>
        </is>
      </c>
    </row>
    <row r="14" ht="18" customHeight="1" s="17">
      <c r="A14" s="21" t="inlineStr">
        <is>
          <t>Constraint</t>
        </is>
      </c>
      <c r="B14" s="21" t="inlineStr">
        <is>
          <t>Same vehicle</t>
        </is>
      </c>
      <c r="C14" s="21" t="inlineStr">
        <is>
          <t>Pickup/drop của cùng đơn trên cùng xe nếu chưa bật chuyển tải</t>
        </is>
      </c>
      <c r="D14" s="21" t="inlineStr">
        <is>
          <t>08_Algorithm_Nodes.Precedence_Group</t>
        </is>
      </c>
      <c r="E14" s="21" t="inlineStr">
        <is>
          <t>PDPTW</t>
        </is>
      </c>
    </row>
    <row r="15" ht="18" customHeight="1" s="17">
      <c r="A15" s="23" t="inlineStr">
        <is>
          <t>Constraint</t>
        </is>
      </c>
      <c r="B15" s="23" t="inlineStr">
        <is>
          <t>Vehicle compatibility</t>
        </is>
      </c>
      <c r="C15" s="23" t="inlineStr">
        <is>
          <t>Không gán xe vượt max/không phù hợp đường nhỏ/cấm tải</t>
        </is>
      </c>
      <c r="D15" s="23" t="inlineStr">
        <is>
          <t>Order Min/Max Vehicle + Fleet Vehicle_Type</t>
        </is>
      </c>
      <c r="E15" s="23" t="inlineStr">
        <is>
          <t>Feasibility</t>
        </is>
      </c>
    </row>
    <row r="16" ht="18" customHeight="1" s="17">
      <c r="A16" s="21" t="inlineStr">
        <is>
          <t>Objective</t>
        </is>
      </c>
      <c r="B16" s="21" t="inlineStr">
        <is>
          <t>Max Expected Profit</t>
        </is>
      </c>
      <c r="C16" s="21" t="inlineStr">
        <is>
          <t>Revenue + extra-stop/waiting fee - fuel/toll/driver/fixed/empty-run/late penalty</t>
        </is>
      </c>
      <c r="D16" s="21" t="inlineStr">
        <is>
          <t>Orders + Fleet + Cost_Constraints</t>
        </is>
      </c>
      <c r="E16" s="21" t="inlineStr">
        <is>
          <t>Optimization</t>
        </is>
      </c>
    </row>
    <row r="21" ht="15.75" customHeight="1" s="17"/>
    <row r="22" ht="15.75" customHeight="1" s="17"/>
    <row r="23" ht="15.75" customHeight="1" s="17"/>
    <row r="24" ht="15.75" customHeight="1" s="17"/>
    <row r="25" ht="15.75" customHeight="1" s="17"/>
    <row r="26" ht="15.75" customHeight="1" s="17"/>
    <row r="27" ht="15.75" customHeight="1" s="17"/>
    <row r="28" ht="15.75" customHeight="1" s="17"/>
    <row r="29" ht="15.75" customHeight="1" s="17"/>
    <row r="30" ht="15.75" customHeight="1" s="17"/>
    <row r="31" ht="15.75" customHeight="1" s="17"/>
    <row r="32" ht="15.75" customHeight="1" s="17"/>
    <row r="33" ht="15.75" customHeight="1" s="17"/>
    <row r="34" ht="15.75" customHeight="1" s="17"/>
    <row r="35" ht="15.75" customHeight="1" s="17"/>
    <row r="36" ht="15.75" customHeight="1" s="17"/>
    <row r="37" ht="15.75" customHeight="1" s="17"/>
    <row r="38" ht="15.75" customHeight="1" s="17"/>
    <row r="39" ht="15.75" customHeight="1" s="17"/>
    <row r="40" ht="15.75" customHeight="1" s="17"/>
    <row r="41" ht="15.75" customHeight="1" s="17"/>
    <row r="42" ht="15.75" customHeight="1" s="17"/>
    <row r="43" ht="15.75" customHeight="1" s="17"/>
    <row r="44" ht="15.75" customHeight="1" s="17"/>
    <row r="45" ht="15.75" customHeight="1" s="17"/>
    <row r="46" ht="15.75" customHeight="1" s="17"/>
    <row r="47" ht="15.75" customHeight="1" s="17"/>
    <row r="48" ht="15.75" customHeight="1" s="17"/>
    <row r="49" ht="15.75" customHeight="1" s="17"/>
    <row r="50" ht="15.75" customHeight="1" s="17"/>
    <row r="51" ht="15.75" customHeight="1" s="17"/>
    <row r="52" ht="15.75" customHeight="1" s="17"/>
    <row r="53" ht="15.75" customHeight="1" s="17"/>
    <row r="54" ht="15.75" customHeight="1" s="17"/>
    <row r="55" ht="15.75" customHeight="1" s="17"/>
    <row r="56" ht="15.75" customHeight="1" s="17"/>
    <row r="57" ht="15.75" customHeight="1" s="17"/>
    <row r="58" ht="15.75" customHeight="1" s="17"/>
    <row r="59" ht="15.75" customHeight="1" s="17"/>
    <row r="60" ht="15.75" customHeight="1" s="17"/>
    <row r="61" ht="15.75" customHeight="1" s="17"/>
    <row r="62" ht="15.75" customHeight="1" s="17"/>
    <row r="63" ht="15.75" customHeight="1" s="17"/>
    <row r="64" ht="15.75" customHeight="1" s="17"/>
    <row r="65" ht="15.75" customHeight="1" s="17"/>
    <row r="66" ht="15.75" customHeight="1" s="17"/>
    <row r="67" ht="15.75" customHeight="1" s="17"/>
    <row r="68" ht="15.75" customHeight="1" s="17"/>
    <row r="69" ht="15.75" customHeight="1" s="17"/>
    <row r="70" ht="15.75" customHeight="1" s="17"/>
    <row r="71" ht="15.75" customHeight="1" s="17"/>
    <row r="72" ht="15.75" customHeight="1" s="17"/>
    <row r="73" ht="15.75" customHeight="1" s="17"/>
    <row r="74" ht="15.75" customHeight="1" s="17"/>
    <row r="75" ht="15.75" customHeight="1" s="17"/>
    <row r="76" ht="15.75" customHeight="1" s="17"/>
    <row r="77" ht="15.75" customHeight="1" s="17"/>
    <row r="78" ht="15.75" customHeight="1" s="17"/>
    <row r="79" ht="15.75" customHeight="1" s="17"/>
    <row r="80" ht="15.75" customHeight="1" s="17"/>
    <row r="81" ht="15.75" customHeight="1" s="17"/>
    <row r="82" ht="15.75" customHeight="1" s="17"/>
    <row r="83" ht="15.75" customHeight="1" s="17"/>
    <row r="84" ht="15.75" customHeight="1" s="17"/>
    <row r="85" ht="15.75" customHeight="1" s="17"/>
    <row r="86" ht="15.75" customHeight="1" s="17"/>
    <row r="87" ht="15.75" customHeight="1" s="17"/>
    <row r="88" ht="15.75" customHeight="1" s="17"/>
    <row r="89" ht="15.75" customHeight="1" s="17"/>
    <row r="90" ht="15.75" customHeight="1" s="17"/>
    <row r="91" ht="15.75" customHeight="1" s="17"/>
    <row r="92" ht="15.75" customHeight="1" s="17"/>
    <row r="93" ht="15.75" customHeight="1" s="17"/>
    <row r="94" ht="15.75" customHeight="1" s="17"/>
    <row r="95" ht="15.75" customHeight="1" s="17"/>
    <row r="96" ht="15.75" customHeight="1" s="17"/>
    <row r="97" ht="15.75" customHeight="1" s="17"/>
    <row r="98" ht="15.75" customHeight="1" s="17"/>
    <row r="99" ht="15.75" customHeight="1" s="17"/>
    <row r="100" ht="15.75" customHeight="1" s="17"/>
    <row r="101" ht="15.75" customHeight="1" s="17"/>
    <row r="102" ht="15.75" customHeight="1" s="17"/>
    <row r="103" ht="15.75" customHeight="1" s="17"/>
    <row r="104" ht="15.75" customHeight="1" s="17"/>
    <row r="105" ht="15.75" customHeight="1" s="17"/>
    <row r="106" ht="15.75" customHeight="1" s="17"/>
    <row r="107" ht="15.75" customHeight="1" s="17"/>
    <row r="108" ht="15.75" customHeight="1" s="17"/>
    <row r="109" ht="15.75" customHeight="1" s="17"/>
    <row r="110" ht="15.75" customHeight="1" s="17"/>
    <row r="111" ht="15.75" customHeight="1" s="17"/>
    <row r="112" ht="15.75" customHeight="1" s="17"/>
    <row r="113" ht="15.75" customHeight="1" s="17"/>
    <row r="114" ht="15.75" customHeight="1" s="17"/>
    <row r="115" ht="15.75" customHeight="1" s="17"/>
    <row r="116" ht="15.75" customHeight="1" s="17"/>
    <row r="117" ht="15.75" customHeight="1" s="17"/>
    <row r="118" ht="15.75" customHeight="1" s="17"/>
    <row r="119" ht="15.75" customHeight="1" s="17"/>
    <row r="120" ht="15.75" customHeight="1" s="17"/>
    <row r="121" ht="15.75" customHeight="1" s="17"/>
    <row r="122" ht="15.75" customHeight="1" s="17"/>
    <row r="123" ht="15.75" customHeight="1" s="17"/>
    <row r="124" ht="15.75" customHeight="1" s="17"/>
    <row r="125" ht="15.75" customHeight="1" s="17"/>
    <row r="126" ht="15.75" customHeight="1" s="17"/>
    <row r="127" ht="15.75" customHeight="1" s="17"/>
    <row r="128" ht="15.75" customHeight="1" s="17"/>
    <row r="129" ht="15.75" customHeight="1" s="17"/>
    <row r="130" ht="15.75" customHeight="1" s="17"/>
    <row r="131" ht="15.75" customHeight="1" s="17"/>
    <row r="132" ht="15.75" customHeight="1" s="17"/>
    <row r="133" ht="15.75" customHeight="1" s="17"/>
    <row r="134" ht="15.75" customHeight="1" s="17"/>
    <row r="135" ht="15.75" customHeight="1" s="17"/>
    <row r="136" ht="15.75" customHeight="1" s="17"/>
    <row r="137" ht="15.75" customHeight="1" s="17"/>
    <row r="138" ht="15.75" customHeight="1" s="17"/>
    <row r="139" ht="15.75" customHeight="1" s="17"/>
    <row r="140" ht="15.75" customHeight="1" s="17"/>
    <row r="141" ht="15.75" customHeight="1" s="17"/>
    <row r="142" ht="15.75" customHeight="1" s="17"/>
    <row r="143" ht="15.75" customHeight="1" s="17"/>
    <row r="144" ht="15.75" customHeight="1" s="17"/>
    <row r="145" ht="15.75" customHeight="1" s="17"/>
    <row r="146" ht="15.75" customHeight="1" s="17"/>
    <row r="147" ht="15.75" customHeight="1" s="17"/>
    <row r="148" ht="15.75" customHeight="1" s="17"/>
    <row r="149" ht="15.75" customHeight="1" s="17"/>
    <row r="150" ht="15.75" customHeight="1" s="17"/>
    <row r="151" ht="15.75" customHeight="1" s="17"/>
    <row r="152" ht="15.75" customHeight="1" s="17"/>
    <row r="153" ht="15.75" customHeight="1" s="17"/>
    <row r="154" ht="15.75" customHeight="1" s="17"/>
    <row r="155" ht="15.75" customHeight="1" s="17"/>
    <row r="156" ht="15.75" customHeight="1" s="17"/>
    <row r="157" ht="15.75" customHeight="1" s="17"/>
    <row r="158" ht="15.75" customHeight="1" s="17"/>
    <row r="159" ht="15.75" customHeight="1" s="17"/>
    <row r="160" ht="15.75" customHeight="1" s="17"/>
    <row r="161" ht="15.75" customHeight="1" s="17"/>
    <row r="162" ht="15.75" customHeight="1" s="17"/>
    <row r="163" ht="15.75" customHeight="1" s="17"/>
    <row r="164" ht="15.75" customHeight="1" s="17"/>
    <row r="165" ht="15.75" customHeight="1" s="17"/>
    <row r="166" ht="15.75" customHeight="1" s="17"/>
    <row r="167" ht="15.75" customHeight="1" s="17"/>
    <row r="168" ht="15.75" customHeight="1" s="17"/>
    <row r="169" ht="15.75" customHeight="1" s="17"/>
    <row r="170" ht="15.75" customHeight="1" s="17"/>
    <row r="171" ht="15.75" customHeight="1" s="17"/>
    <row r="172" ht="15.75" customHeight="1" s="17"/>
    <row r="173" ht="15.75" customHeight="1" s="17"/>
    <row r="174" ht="15.75" customHeight="1" s="17"/>
    <row r="175" ht="15.75" customHeight="1" s="17"/>
    <row r="176" ht="15.75" customHeight="1" s="17"/>
    <row r="177" ht="15.75" customHeight="1" s="17"/>
    <row r="178" ht="15.75" customHeight="1" s="17"/>
    <row r="179" ht="15.75" customHeight="1" s="17"/>
    <row r="180" ht="15.75" customHeight="1" s="17"/>
    <row r="181" ht="15.75" customHeight="1" s="17"/>
    <row r="182" ht="15.75" customHeight="1" s="17"/>
    <row r="183" ht="15.75" customHeight="1" s="17"/>
    <row r="184" ht="15.75" customHeight="1" s="17"/>
    <row r="185" ht="15.75" customHeight="1" s="17"/>
    <row r="186" ht="15.75" customHeight="1" s="17"/>
    <row r="187" ht="15.75" customHeight="1" s="17"/>
    <row r="188" ht="15.75" customHeight="1" s="17"/>
    <row r="189" ht="15.75" customHeight="1" s="17"/>
    <row r="190" ht="15.75" customHeight="1" s="17"/>
    <row r="191" ht="15.75" customHeight="1" s="17"/>
    <row r="192" ht="15.75" customHeight="1" s="17"/>
    <row r="193" ht="15.75" customHeight="1" s="17"/>
    <row r="194" ht="15.75" customHeight="1" s="17"/>
    <row r="195" ht="15.75" customHeight="1" s="17"/>
    <row r="196" ht="15.75" customHeight="1" s="17"/>
    <row r="197" ht="15.75" customHeight="1" s="17"/>
    <row r="198" ht="15.75" customHeight="1" s="17"/>
    <row r="199" ht="15.75" customHeight="1" s="17"/>
    <row r="200" ht="15.75" customHeight="1" s="17"/>
    <row r="201" ht="15.75" customHeight="1" s="17"/>
    <row r="202" ht="15.75" customHeight="1" s="17"/>
    <row r="203" ht="15.75" customHeight="1" s="17"/>
    <row r="204" ht="15.75" customHeight="1" s="17"/>
    <row r="205" ht="15.75" customHeight="1" s="17"/>
    <row r="206" ht="15.75" customHeight="1" s="17"/>
    <row r="207" ht="15.75" customHeight="1" s="17"/>
    <row r="208" ht="15.75" customHeight="1" s="17"/>
    <row r="209" ht="15.75" customHeight="1" s="17"/>
    <row r="210" ht="15.75" customHeight="1" s="17"/>
    <row r="211" ht="15.75" customHeight="1" s="17"/>
    <row r="212" ht="15.75" customHeight="1" s="17"/>
    <row r="213" ht="15.75" customHeight="1" s="17"/>
    <row r="214" ht="15.75" customHeight="1" s="17"/>
    <row r="215" ht="15.75" customHeight="1" s="17"/>
    <row r="216" ht="15.75" customHeight="1" s="17"/>
    <row r="217" ht="15.75" customHeight="1" s="17"/>
    <row r="218" ht="15.75" customHeight="1" s="17"/>
    <row r="219" ht="15.75" customHeight="1" s="17"/>
    <row r="220" ht="15.75" customHeight="1" s="17"/>
    <row r="221" ht="15.75" customHeight="1" s="17"/>
    <row r="222" ht="15.75" customHeight="1" s="17"/>
    <row r="223" ht="15.75" customHeight="1" s="17"/>
    <row r="224" ht="15.75" customHeight="1" s="17"/>
    <row r="225" ht="15.75" customHeight="1" s="17"/>
    <row r="226" ht="15.75" customHeight="1" s="17"/>
    <row r="227" ht="15.75" customHeight="1" s="17"/>
    <row r="228" ht="15.75" customHeight="1" s="17"/>
    <row r="229" ht="15.75" customHeight="1" s="17"/>
    <row r="230" ht="15.75" customHeight="1" s="17"/>
    <row r="231" ht="15.75" customHeight="1" s="17"/>
    <row r="232" ht="15.75" customHeight="1" s="17"/>
    <row r="233" ht="15.75" customHeight="1" s="17"/>
    <row r="234" ht="15.75" customHeight="1" s="17"/>
    <row r="235" ht="15.75" customHeight="1" s="17"/>
    <row r="236" ht="15.75" customHeight="1" s="17"/>
    <row r="237" ht="15.75" customHeight="1" s="17"/>
    <row r="238" ht="15.75" customHeight="1" s="17"/>
    <row r="239" ht="15.75" customHeight="1" s="17"/>
    <row r="240" ht="15.75" customHeight="1" s="17"/>
    <row r="241" ht="15.75" customHeight="1" s="17"/>
    <row r="242" ht="15.75" customHeight="1" s="17"/>
    <row r="243" ht="15.75" customHeight="1" s="17"/>
    <row r="244" ht="15.75" customHeight="1" s="17"/>
    <row r="245" ht="15.75" customHeight="1" s="17"/>
    <row r="246" ht="15.75" customHeight="1" s="17"/>
    <row r="247" ht="15.75" customHeight="1" s="17"/>
    <row r="248" ht="15.75" customHeight="1" s="17"/>
    <row r="249" ht="15.75" customHeight="1" s="17"/>
    <row r="250" ht="15.75" customHeight="1" s="17"/>
    <row r="251" ht="15.75" customHeight="1" s="17"/>
    <row r="252" ht="15.75" customHeight="1" s="17"/>
    <row r="253" ht="15.75" customHeight="1" s="17"/>
    <row r="254" ht="15.75" customHeight="1" s="17"/>
    <row r="255" ht="15.75" customHeight="1" s="17"/>
    <row r="256" ht="15.75" customHeight="1" s="17"/>
    <row r="257" ht="15.75" customHeight="1" s="17"/>
    <row r="258" ht="15.75" customHeight="1" s="17"/>
    <row r="259" ht="15.75" customHeight="1" s="17"/>
    <row r="260" ht="15.75" customHeight="1" s="17"/>
    <row r="261" ht="15.75" customHeight="1" s="17"/>
    <row r="262" ht="15.75" customHeight="1" s="17"/>
    <row r="263" ht="15.75" customHeight="1" s="17"/>
    <row r="264" ht="15.75" customHeight="1" s="17"/>
    <row r="265" ht="15.75" customHeight="1" s="17"/>
    <row r="266" ht="15.75" customHeight="1" s="17"/>
    <row r="267" ht="15.75" customHeight="1" s="17"/>
    <row r="268" ht="15.75" customHeight="1" s="17"/>
    <row r="269" ht="15.75" customHeight="1" s="17"/>
    <row r="270" ht="15.75" customHeight="1" s="17"/>
    <row r="271" ht="15.75" customHeight="1" s="17"/>
    <row r="272" ht="15.75" customHeight="1" s="17"/>
    <row r="273" ht="15.75" customHeight="1" s="17"/>
    <row r="274" ht="15.75" customHeight="1" s="17"/>
    <row r="275" ht="15.75" customHeight="1" s="17"/>
    <row r="276" ht="15.75" customHeight="1" s="17"/>
    <row r="277" ht="15.75" customHeight="1" s="17"/>
    <row r="278" ht="15.75" customHeight="1" s="17"/>
    <row r="279" ht="15.75" customHeight="1" s="17"/>
    <row r="280" ht="15.75" customHeight="1" s="17"/>
    <row r="281" ht="15.75" customHeight="1" s="17"/>
    <row r="282" ht="15.75" customHeight="1" s="17"/>
    <row r="283" ht="15.75" customHeight="1" s="17"/>
    <row r="284" ht="15.75" customHeight="1" s="17"/>
    <row r="285" ht="15.75" customHeight="1" s="17"/>
    <row r="286" ht="15.75" customHeight="1" s="17"/>
    <row r="287" ht="15.75" customHeight="1" s="17"/>
    <row r="288" ht="15.75" customHeight="1" s="17"/>
    <row r="289" ht="15.75" customHeight="1" s="17"/>
    <row r="290" ht="15.75" customHeight="1" s="17"/>
    <row r="291" ht="15.75" customHeight="1" s="17"/>
    <row r="292" ht="15.75" customHeight="1" s="17"/>
    <row r="293" ht="15.75" customHeight="1" s="17"/>
    <row r="294" ht="15.75" customHeight="1" s="17"/>
    <row r="295" ht="15.75" customHeight="1" s="17"/>
    <row r="296" ht="15.75" customHeight="1" s="17"/>
    <row r="297" ht="15.75" customHeight="1" s="17"/>
    <row r="298" ht="15.75" customHeight="1" s="17"/>
    <row r="299" ht="15.75" customHeight="1" s="17"/>
    <row r="300" ht="15.75" customHeight="1" s="17"/>
    <row r="301" ht="15.75" customHeight="1" s="17"/>
    <row r="302" ht="15.75" customHeight="1" s="17"/>
    <row r="303" ht="15.75" customHeight="1" s="17"/>
    <row r="304" ht="15.75" customHeight="1" s="17"/>
    <row r="305" ht="15.75" customHeight="1" s="17"/>
    <row r="306" ht="15.75" customHeight="1" s="17"/>
    <row r="307" ht="15.75" customHeight="1" s="17"/>
    <row r="308" ht="15.75" customHeight="1" s="17"/>
    <row r="309" ht="15.75" customHeight="1" s="17"/>
    <row r="310" ht="15.75" customHeight="1" s="17"/>
    <row r="311" ht="15.75" customHeight="1" s="17"/>
    <row r="312" ht="15.75" customHeight="1" s="17"/>
    <row r="313" ht="15.75" customHeight="1" s="17"/>
    <row r="314" ht="15.75" customHeight="1" s="17"/>
    <row r="315" ht="15.75" customHeight="1" s="17"/>
    <row r="316" ht="15.75" customHeight="1" s="17"/>
    <row r="317" ht="15.75" customHeight="1" s="17"/>
    <row r="318" ht="15.75" customHeight="1" s="17"/>
    <row r="319" ht="15.75" customHeight="1" s="17"/>
    <row r="320" ht="15.75" customHeight="1" s="17"/>
    <row r="321" ht="15.75" customHeight="1" s="17"/>
    <row r="322" ht="15.75" customHeight="1" s="17"/>
    <row r="323" ht="15.75" customHeight="1" s="17"/>
    <row r="324" ht="15.75" customHeight="1" s="17"/>
    <row r="325" ht="15.75" customHeight="1" s="17"/>
    <row r="326" ht="15.75" customHeight="1" s="17"/>
    <row r="327" ht="15.75" customHeight="1" s="17"/>
    <row r="328" ht="15.75" customHeight="1" s="17"/>
    <row r="329" ht="15.75" customHeight="1" s="17"/>
    <row r="330" ht="15.75" customHeight="1" s="17"/>
    <row r="331" ht="15.75" customHeight="1" s="17"/>
    <row r="332" ht="15.75" customHeight="1" s="17"/>
    <row r="333" ht="15.75" customHeight="1" s="17"/>
    <row r="334" ht="15.75" customHeight="1" s="17"/>
    <row r="335" ht="15.75" customHeight="1" s="17"/>
    <row r="336" ht="15.75" customHeight="1" s="17"/>
    <row r="337" ht="15.75" customHeight="1" s="17"/>
    <row r="338" ht="15.75" customHeight="1" s="17"/>
    <row r="339" ht="15.75" customHeight="1" s="17"/>
    <row r="340" ht="15.75" customHeight="1" s="17"/>
    <row r="341" ht="15.75" customHeight="1" s="17"/>
    <row r="342" ht="15.75" customHeight="1" s="17"/>
    <row r="343" ht="15.75" customHeight="1" s="17"/>
    <row r="344" ht="15.75" customHeight="1" s="17"/>
    <row r="345" ht="15.75" customHeight="1" s="17"/>
    <row r="346" ht="15.75" customHeight="1" s="17"/>
    <row r="347" ht="15.75" customHeight="1" s="17"/>
    <row r="348" ht="15.75" customHeight="1" s="17"/>
    <row r="349" ht="15.75" customHeight="1" s="17"/>
    <row r="350" ht="15.75" customHeight="1" s="17"/>
    <row r="351" ht="15.75" customHeight="1" s="17"/>
    <row r="352" ht="15.75" customHeight="1" s="17"/>
    <row r="353" ht="15.75" customHeight="1" s="17"/>
    <row r="354" ht="15.75" customHeight="1" s="17"/>
    <row r="355" ht="15.75" customHeight="1" s="17"/>
    <row r="356" ht="15.75" customHeight="1" s="17"/>
    <row r="357" ht="15.75" customHeight="1" s="17"/>
    <row r="358" ht="15.75" customHeight="1" s="17"/>
    <row r="359" ht="15.75" customHeight="1" s="17"/>
    <row r="360" ht="15.75" customHeight="1" s="17"/>
    <row r="361" ht="15.75" customHeight="1" s="17"/>
    <row r="362" ht="15.75" customHeight="1" s="17"/>
    <row r="363" ht="15.75" customHeight="1" s="17"/>
    <row r="364" ht="15.75" customHeight="1" s="17"/>
    <row r="365" ht="15.75" customHeight="1" s="17"/>
    <row r="366" ht="15.75" customHeight="1" s="17"/>
    <row r="367" ht="15.75" customHeight="1" s="17"/>
    <row r="368" ht="15.75" customHeight="1" s="17"/>
    <row r="369" ht="15.75" customHeight="1" s="17"/>
    <row r="370" ht="15.75" customHeight="1" s="17"/>
    <row r="371" ht="15.75" customHeight="1" s="17"/>
    <row r="372" ht="15.75" customHeight="1" s="17"/>
    <row r="373" ht="15.75" customHeight="1" s="17"/>
    <row r="374" ht="15.75" customHeight="1" s="17"/>
    <row r="375" ht="15.75" customHeight="1" s="17"/>
    <row r="376" ht="15.75" customHeight="1" s="17"/>
    <row r="377" ht="15.75" customHeight="1" s="17"/>
    <row r="378" ht="15.75" customHeight="1" s="17"/>
    <row r="379" ht="15.75" customHeight="1" s="17"/>
    <row r="380" ht="15.75" customHeight="1" s="17"/>
    <row r="381" ht="15.75" customHeight="1" s="17"/>
    <row r="382" ht="15.75" customHeight="1" s="17"/>
    <row r="383" ht="15.75" customHeight="1" s="17"/>
    <row r="384" ht="15.75" customHeight="1" s="17"/>
    <row r="385" ht="15.75" customHeight="1" s="17"/>
    <row r="386" ht="15.75" customHeight="1" s="17"/>
    <row r="387" ht="15.75" customHeight="1" s="17"/>
    <row r="388" ht="15.75" customHeight="1" s="17"/>
    <row r="389" ht="15.75" customHeight="1" s="17"/>
    <row r="390" ht="15.75" customHeight="1" s="17"/>
    <row r="391" ht="15.75" customHeight="1" s="17"/>
    <row r="392" ht="15.75" customHeight="1" s="17"/>
    <row r="393" ht="15.75" customHeight="1" s="17"/>
    <row r="394" ht="15.75" customHeight="1" s="17"/>
    <row r="395" ht="15.75" customHeight="1" s="17"/>
    <row r="396" ht="15.75" customHeight="1" s="17"/>
    <row r="397" ht="15.75" customHeight="1" s="17"/>
    <row r="398" ht="15.75" customHeight="1" s="17"/>
    <row r="399" ht="15.75" customHeight="1" s="17"/>
    <row r="400" ht="15.75" customHeight="1" s="17"/>
    <row r="401" ht="15.75" customHeight="1" s="17"/>
    <row r="402" ht="15.75" customHeight="1" s="17"/>
    <row r="403" ht="15.75" customHeight="1" s="17"/>
    <row r="404" ht="15.75" customHeight="1" s="17"/>
    <row r="405" ht="15.75" customHeight="1" s="17"/>
    <row r="406" ht="15.75" customHeight="1" s="17"/>
    <row r="407" ht="15.75" customHeight="1" s="17"/>
    <row r="408" ht="15.75" customHeight="1" s="17"/>
    <row r="409" ht="15.75" customHeight="1" s="17"/>
    <row r="410" ht="15.75" customHeight="1" s="17"/>
    <row r="411" ht="15.75" customHeight="1" s="17"/>
    <row r="412" ht="15.75" customHeight="1" s="17"/>
    <row r="413" ht="15.75" customHeight="1" s="17"/>
    <row r="414" ht="15.75" customHeight="1" s="17"/>
    <row r="415" ht="15.75" customHeight="1" s="17"/>
    <row r="416" ht="15.75" customHeight="1" s="17"/>
    <row r="417" ht="15.75" customHeight="1" s="17"/>
    <row r="418" ht="15.75" customHeight="1" s="17"/>
    <row r="419" ht="15.75" customHeight="1" s="17"/>
    <row r="420" ht="15.75" customHeight="1" s="17"/>
    <row r="421" ht="15.75" customHeight="1" s="17"/>
    <row r="422" ht="15.75" customHeight="1" s="17"/>
    <row r="423" ht="15.75" customHeight="1" s="17"/>
    <row r="424" ht="15.75" customHeight="1" s="17"/>
    <row r="425" ht="15.75" customHeight="1" s="17"/>
    <row r="426" ht="15.75" customHeight="1" s="17"/>
    <row r="427" ht="15.75" customHeight="1" s="17"/>
    <row r="428" ht="15.75" customHeight="1" s="17"/>
    <row r="429" ht="15.75" customHeight="1" s="17"/>
    <row r="430" ht="15.75" customHeight="1" s="17"/>
    <row r="431" ht="15.75" customHeight="1" s="17"/>
    <row r="432" ht="15.75" customHeight="1" s="17"/>
    <row r="433" ht="15.75" customHeight="1" s="17"/>
    <row r="434" ht="15.75" customHeight="1" s="17"/>
    <row r="435" ht="15.75" customHeight="1" s="17"/>
    <row r="436" ht="15.75" customHeight="1" s="17"/>
    <row r="437" ht="15.75" customHeight="1" s="17"/>
    <row r="438" ht="15.75" customHeight="1" s="17"/>
    <row r="439" ht="15.75" customHeight="1" s="17"/>
    <row r="440" ht="15.75" customHeight="1" s="17"/>
    <row r="441" ht="15.75" customHeight="1" s="17"/>
    <row r="442" ht="15.75" customHeight="1" s="17"/>
    <row r="443" ht="15.75" customHeight="1" s="17"/>
    <row r="444" ht="15.75" customHeight="1" s="17"/>
    <row r="445" ht="15.75" customHeight="1" s="17"/>
    <row r="446" ht="15.75" customHeight="1" s="17"/>
    <row r="447" ht="15.75" customHeight="1" s="17"/>
    <row r="448" ht="15.75" customHeight="1" s="17"/>
    <row r="449" ht="15.75" customHeight="1" s="17"/>
    <row r="450" ht="15.75" customHeight="1" s="17"/>
    <row r="451" ht="15.75" customHeight="1" s="17"/>
    <row r="452" ht="15.75" customHeight="1" s="17"/>
    <row r="453" ht="15.75" customHeight="1" s="17"/>
    <row r="454" ht="15.75" customHeight="1" s="17"/>
    <row r="455" ht="15.75" customHeight="1" s="17"/>
    <row r="456" ht="15.75" customHeight="1" s="17"/>
    <row r="457" ht="15.75" customHeight="1" s="17"/>
    <row r="458" ht="15.75" customHeight="1" s="17"/>
    <row r="459" ht="15.75" customHeight="1" s="17"/>
    <row r="460" ht="15.75" customHeight="1" s="17"/>
    <row r="461" ht="15.75" customHeight="1" s="17"/>
    <row r="462" ht="15.75" customHeight="1" s="17"/>
    <row r="463" ht="15.75" customHeight="1" s="17"/>
    <row r="464" ht="15.75" customHeight="1" s="17"/>
    <row r="465" ht="15.75" customHeight="1" s="17"/>
    <row r="466" ht="15.75" customHeight="1" s="17"/>
    <row r="467" ht="15.75" customHeight="1" s="17"/>
    <row r="468" ht="15.75" customHeight="1" s="17"/>
    <row r="469" ht="15.75" customHeight="1" s="17"/>
    <row r="470" ht="15.75" customHeight="1" s="17"/>
    <row r="471" ht="15.75" customHeight="1" s="17"/>
    <row r="472" ht="15.75" customHeight="1" s="17"/>
    <row r="473" ht="15.75" customHeight="1" s="17"/>
    <row r="474" ht="15.75" customHeight="1" s="17"/>
    <row r="475" ht="15.75" customHeight="1" s="17"/>
    <row r="476" ht="15.75" customHeight="1" s="17"/>
    <row r="477" ht="15.75" customHeight="1" s="17"/>
    <row r="478" ht="15.75" customHeight="1" s="17"/>
    <row r="479" ht="15.75" customHeight="1" s="17"/>
    <row r="480" ht="15.75" customHeight="1" s="17"/>
    <row r="481" ht="15.75" customHeight="1" s="17"/>
    <row r="482" ht="15.75" customHeight="1" s="17"/>
    <row r="483" ht="15.75" customHeight="1" s="17"/>
    <row r="484" ht="15.75" customHeight="1" s="17"/>
    <row r="485" ht="15.75" customHeight="1" s="17"/>
    <row r="486" ht="15.75" customHeight="1" s="17"/>
    <row r="487" ht="15.75" customHeight="1" s="17"/>
    <row r="488" ht="15.75" customHeight="1" s="17"/>
    <row r="489" ht="15.75" customHeight="1" s="17"/>
    <row r="490" ht="15.75" customHeight="1" s="17"/>
    <row r="491" ht="15.75" customHeight="1" s="17"/>
    <row r="492" ht="15.75" customHeight="1" s="17"/>
    <row r="493" ht="15.75" customHeight="1" s="17"/>
    <row r="494" ht="15.75" customHeight="1" s="17"/>
    <row r="495" ht="15.75" customHeight="1" s="17"/>
    <row r="496" ht="15.75" customHeight="1" s="17"/>
    <row r="497" ht="15.75" customHeight="1" s="17"/>
    <row r="498" ht="15.75" customHeight="1" s="17"/>
    <row r="499" ht="15.75" customHeight="1" s="17"/>
    <row r="500" ht="15.75" customHeight="1" s="17"/>
    <row r="501" ht="15.75" customHeight="1" s="17"/>
    <row r="502" ht="15.75" customHeight="1" s="17"/>
    <row r="503" ht="15.75" customHeight="1" s="17"/>
    <row r="504" ht="15.75" customHeight="1" s="17"/>
    <row r="505" ht="15.75" customHeight="1" s="17"/>
    <row r="506" ht="15.75" customHeight="1" s="17"/>
    <row r="507" ht="15.75" customHeight="1" s="17"/>
    <row r="508" ht="15.75" customHeight="1" s="17"/>
    <row r="509" ht="15.75" customHeight="1" s="17"/>
    <row r="510" ht="15.75" customHeight="1" s="17"/>
    <row r="511" ht="15.75" customHeight="1" s="17"/>
    <row r="512" ht="15.75" customHeight="1" s="17"/>
    <row r="513" ht="15.75" customHeight="1" s="17"/>
    <row r="514" ht="15.75" customHeight="1" s="17"/>
    <row r="515" ht="15.75" customHeight="1" s="17"/>
    <row r="516" ht="15.75" customHeight="1" s="17"/>
    <row r="517" ht="15.75" customHeight="1" s="17"/>
    <row r="518" ht="15.75" customHeight="1" s="17"/>
    <row r="519" ht="15.75" customHeight="1" s="17"/>
    <row r="520" ht="15.75" customHeight="1" s="17"/>
    <row r="521" ht="15.75" customHeight="1" s="17"/>
    <row r="522" ht="15.75" customHeight="1" s="17"/>
    <row r="523" ht="15.75" customHeight="1" s="17"/>
    <row r="524" ht="15.75" customHeight="1" s="17"/>
    <row r="525" ht="15.75" customHeight="1" s="17"/>
    <row r="526" ht="15.75" customHeight="1" s="17"/>
    <row r="527" ht="15.75" customHeight="1" s="17"/>
    <row r="528" ht="15.75" customHeight="1" s="17"/>
    <row r="529" ht="15.75" customHeight="1" s="17"/>
    <row r="530" ht="15.75" customHeight="1" s="17"/>
    <row r="531" ht="15.75" customHeight="1" s="17"/>
    <row r="532" ht="15.75" customHeight="1" s="17"/>
    <row r="533" ht="15.75" customHeight="1" s="17"/>
    <row r="534" ht="15.75" customHeight="1" s="17"/>
    <row r="535" ht="15.75" customHeight="1" s="17"/>
    <row r="536" ht="15.75" customHeight="1" s="17"/>
    <row r="537" ht="15.75" customHeight="1" s="17"/>
    <row r="538" ht="15.75" customHeight="1" s="17"/>
    <row r="539" ht="15.75" customHeight="1" s="17"/>
    <row r="540" ht="15.75" customHeight="1" s="17"/>
    <row r="541" ht="15.75" customHeight="1" s="17"/>
    <row r="542" ht="15.75" customHeight="1" s="17"/>
    <row r="543" ht="15.75" customHeight="1" s="17"/>
    <row r="544" ht="15.75" customHeight="1" s="17"/>
    <row r="545" ht="15.75" customHeight="1" s="17"/>
    <row r="546" ht="15.75" customHeight="1" s="17"/>
    <row r="547" ht="15.75" customHeight="1" s="17"/>
    <row r="548" ht="15.75" customHeight="1" s="17"/>
    <row r="549" ht="15.75" customHeight="1" s="17"/>
    <row r="550" ht="15.75" customHeight="1" s="17"/>
    <row r="551" ht="15.75" customHeight="1" s="17"/>
    <row r="552" ht="15.75" customHeight="1" s="17"/>
    <row r="553" ht="15.75" customHeight="1" s="17"/>
    <row r="554" ht="15.75" customHeight="1" s="17"/>
    <row r="555" ht="15.75" customHeight="1" s="17"/>
    <row r="556" ht="15.75" customHeight="1" s="17"/>
    <row r="557" ht="15.75" customHeight="1" s="17"/>
    <row r="558" ht="15.75" customHeight="1" s="17"/>
    <row r="559" ht="15.75" customHeight="1" s="17"/>
    <row r="560" ht="15.75" customHeight="1" s="17"/>
    <row r="561" ht="15.75" customHeight="1" s="17"/>
    <row r="562" ht="15.75" customHeight="1" s="17"/>
    <row r="563" ht="15.75" customHeight="1" s="17"/>
    <row r="564" ht="15.75" customHeight="1" s="17"/>
    <row r="565" ht="15.75" customHeight="1" s="17"/>
    <row r="566" ht="15.75" customHeight="1" s="17"/>
    <row r="567" ht="15.75" customHeight="1" s="17"/>
    <row r="568" ht="15.75" customHeight="1" s="17"/>
    <row r="569" ht="15.75" customHeight="1" s="17"/>
    <row r="570" ht="15.75" customHeight="1" s="17"/>
    <row r="571" ht="15.75" customHeight="1" s="17"/>
    <row r="572" ht="15.75" customHeight="1" s="17"/>
    <row r="573" ht="15.75" customHeight="1" s="17"/>
    <row r="574" ht="15.75" customHeight="1" s="17"/>
    <row r="575" ht="15.75" customHeight="1" s="17"/>
    <row r="576" ht="15.75" customHeight="1" s="17"/>
    <row r="577" ht="15.75" customHeight="1" s="17"/>
    <row r="578" ht="15.75" customHeight="1" s="17"/>
    <row r="579" ht="15.75" customHeight="1" s="17"/>
    <row r="580" ht="15.75" customHeight="1" s="17"/>
    <row r="581" ht="15.75" customHeight="1" s="17"/>
    <row r="582" ht="15.75" customHeight="1" s="17"/>
    <row r="583" ht="15.75" customHeight="1" s="17"/>
    <row r="584" ht="15.75" customHeight="1" s="17"/>
    <row r="585" ht="15.75" customHeight="1" s="17"/>
    <row r="586" ht="15.75" customHeight="1" s="17"/>
    <row r="587" ht="15.75" customHeight="1" s="17"/>
    <row r="588" ht="15.75" customHeight="1" s="17"/>
    <row r="589" ht="15.75" customHeight="1" s="17"/>
    <row r="590" ht="15.75" customHeight="1" s="17"/>
    <row r="591" ht="15.75" customHeight="1" s="17"/>
    <row r="592" ht="15.75" customHeight="1" s="17"/>
    <row r="593" ht="15.75" customHeight="1" s="17"/>
    <row r="594" ht="15.75" customHeight="1" s="17"/>
    <row r="595" ht="15.75" customHeight="1" s="17"/>
    <row r="596" ht="15.75" customHeight="1" s="17"/>
    <row r="597" ht="15.75" customHeight="1" s="17"/>
    <row r="598" ht="15.75" customHeight="1" s="17"/>
    <row r="599" ht="15.75" customHeight="1" s="17"/>
    <row r="600" ht="15.75" customHeight="1" s="17"/>
    <row r="601" ht="15.75" customHeight="1" s="17"/>
    <row r="602" ht="15.75" customHeight="1" s="17"/>
    <row r="603" ht="15.75" customHeight="1" s="17"/>
    <row r="604" ht="15.75" customHeight="1" s="17"/>
    <row r="605" ht="15.75" customHeight="1" s="17"/>
    <row r="606" ht="15.75" customHeight="1" s="17"/>
    <row r="607" ht="15.75" customHeight="1" s="17"/>
    <row r="608" ht="15.75" customHeight="1" s="17"/>
    <row r="609" ht="15.75" customHeight="1" s="17"/>
    <row r="610" ht="15.75" customHeight="1" s="17"/>
    <row r="611" ht="15.75" customHeight="1" s="17"/>
    <row r="612" ht="15.75" customHeight="1" s="17"/>
    <row r="613" ht="15.75" customHeight="1" s="17"/>
    <row r="614" ht="15.75" customHeight="1" s="17"/>
    <row r="615" ht="15.75" customHeight="1" s="17"/>
    <row r="616" ht="15.75" customHeight="1" s="17"/>
    <row r="617" ht="15.75" customHeight="1" s="17"/>
    <row r="618" ht="15.75" customHeight="1" s="17"/>
    <row r="619" ht="15.75" customHeight="1" s="17"/>
    <row r="620" ht="15.75" customHeight="1" s="17"/>
    <row r="621" ht="15.75" customHeight="1" s="17"/>
    <row r="622" ht="15.75" customHeight="1" s="17"/>
    <row r="623" ht="15.75" customHeight="1" s="17"/>
    <row r="624" ht="15.75" customHeight="1" s="17"/>
    <row r="625" ht="15.75" customHeight="1" s="17"/>
    <row r="626" ht="15.75" customHeight="1" s="17"/>
    <row r="627" ht="15.75" customHeight="1" s="17"/>
    <row r="628" ht="15.75" customHeight="1" s="17"/>
    <row r="629" ht="15.75" customHeight="1" s="17"/>
    <row r="630" ht="15.75" customHeight="1" s="17"/>
    <row r="631" ht="15.75" customHeight="1" s="17"/>
    <row r="632" ht="15.75" customHeight="1" s="17"/>
    <row r="633" ht="15.75" customHeight="1" s="17"/>
    <row r="634" ht="15.75" customHeight="1" s="17"/>
    <row r="635" ht="15.75" customHeight="1" s="17"/>
    <row r="636" ht="15.75" customHeight="1" s="17"/>
    <row r="637" ht="15.75" customHeight="1" s="17"/>
    <row r="638" ht="15.75" customHeight="1" s="17"/>
    <row r="639" ht="15.75" customHeight="1" s="17"/>
    <row r="640" ht="15.75" customHeight="1" s="17"/>
    <row r="641" ht="15.75" customHeight="1" s="17"/>
    <row r="642" ht="15.75" customHeight="1" s="17"/>
    <row r="643" ht="15.75" customHeight="1" s="17"/>
    <row r="644" ht="15.75" customHeight="1" s="17"/>
    <row r="645" ht="15.75" customHeight="1" s="17"/>
    <row r="646" ht="15.75" customHeight="1" s="17"/>
    <row r="647" ht="15.75" customHeight="1" s="17"/>
    <row r="648" ht="15.75" customHeight="1" s="17"/>
    <row r="649" ht="15.75" customHeight="1" s="17"/>
    <row r="650" ht="15.75" customHeight="1" s="17"/>
    <row r="651" ht="15.75" customHeight="1" s="17"/>
    <row r="652" ht="15.75" customHeight="1" s="17"/>
    <row r="653" ht="15.75" customHeight="1" s="17"/>
    <row r="654" ht="15.75" customHeight="1" s="17"/>
    <row r="655" ht="15.75" customHeight="1" s="17"/>
    <row r="656" ht="15.75" customHeight="1" s="17"/>
    <row r="657" ht="15.75" customHeight="1" s="17"/>
    <row r="658" ht="15.75" customHeight="1" s="17"/>
    <row r="659" ht="15.75" customHeight="1" s="17"/>
    <row r="660" ht="15.75" customHeight="1" s="17"/>
    <row r="661" ht="15.75" customHeight="1" s="17"/>
    <row r="662" ht="15.75" customHeight="1" s="17"/>
    <row r="663" ht="15.75" customHeight="1" s="17"/>
    <row r="664" ht="15.75" customHeight="1" s="17"/>
    <row r="665" ht="15.75" customHeight="1" s="17"/>
    <row r="666" ht="15.75" customHeight="1" s="17"/>
    <row r="667" ht="15.75" customHeight="1" s="17"/>
    <row r="668" ht="15.75" customHeight="1" s="17"/>
    <row r="669" ht="15.75" customHeight="1" s="17"/>
    <row r="670" ht="15.75" customHeight="1" s="17"/>
    <row r="671" ht="15.75" customHeight="1" s="17"/>
    <row r="672" ht="15.75" customHeight="1" s="17"/>
    <row r="673" ht="15.75" customHeight="1" s="17"/>
    <row r="674" ht="15.75" customHeight="1" s="17"/>
    <row r="675" ht="15.75" customHeight="1" s="17"/>
    <row r="676" ht="15.75" customHeight="1" s="17"/>
    <row r="677" ht="15.75" customHeight="1" s="17"/>
    <row r="678" ht="15.75" customHeight="1" s="17"/>
    <row r="679" ht="15.75" customHeight="1" s="17"/>
    <row r="680" ht="15.75" customHeight="1" s="17"/>
    <row r="681" ht="15.75" customHeight="1" s="17"/>
    <row r="682" ht="15.75" customHeight="1" s="17"/>
    <row r="683" ht="15.75" customHeight="1" s="17"/>
    <row r="684" ht="15.75" customHeight="1" s="17"/>
    <row r="685" ht="15.75" customHeight="1" s="17"/>
    <row r="686" ht="15.75" customHeight="1" s="17"/>
    <row r="687" ht="15.75" customHeight="1" s="17"/>
    <row r="688" ht="15.75" customHeight="1" s="17"/>
    <row r="689" ht="15.75" customHeight="1" s="17"/>
    <row r="690" ht="15.75" customHeight="1" s="17"/>
    <row r="691" ht="15.75" customHeight="1" s="17"/>
    <row r="692" ht="15.75" customHeight="1" s="17"/>
    <row r="693" ht="15.75" customHeight="1" s="17"/>
    <row r="694" ht="15.75" customHeight="1" s="17"/>
    <row r="695" ht="15.75" customHeight="1" s="17"/>
    <row r="696" ht="15.75" customHeight="1" s="17"/>
    <row r="697" ht="15.75" customHeight="1" s="17"/>
    <row r="698" ht="15.75" customHeight="1" s="17"/>
    <row r="699" ht="15.75" customHeight="1" s="17"/>
    <row r="700" ht="15.75" customHeight="1" s="17"/>
    <row r="701" ht="15.75" customHeight="1" s="17"/>
    <row r="702" ht="15.75" customHeight="1" s="17"/>
    <row r="703" ht="15.75" customHeight="1" s="17"/>
    <row r="704" ht="15.75" customHeight="1" s="17"/>
    <row r="705" ht="15.75" customHeight="1" s="17"/>
    <row r="706" ht="15.75" customHeight="1" s="17"/>
    <row r="707" ht="15.75" customHeight="1" s="17"/>
    <row r="708" ht="15.75" customHeight="1" s="17"/>
    <row r="709" ht="15.75" customHeight="1" s="17"/>
    <row r="710" ht="15.75" customHeight="1" s="17"/>
    <row r="711" ht="15.75" customHeight="1" s="17"/>
    <row r="712" ht="15.75" customHeight="1" s="17"/>
    <row r="713" ht="15.75" customHeight="1" s="17"/>
    <row r="714" ht="15.75" customHeight="1" s="17"/>
    <row r="715" ht="15.75" customHeight="1" s="17"/>
    <row r="716" ht="15.75" customHeight="1" s="17"/>
    <row r="717" ht="15.75" customHeight="1" s="17"/>
    <row r="718" ht="15.75" customHeight="1" s="17"/>
    <row r="719" ht="15.75" customHeight="1" s="17"/>
    <row r="720" ht="15.75" customHeight="1" s="17"/>
    <row r="721" ht="15.75" customHeight="1" s="17"/>
    <row r="722" ht="15.75" customHeight="1" s="17"/>
    <row r="723" ht="15.75" customHeight="1" s="17"/>
    <row r="724" ht="15.75" customHeight="1" s="17"/>
    <row r="725" ht="15.75" customHeight="1" s="17"/>
    <row r="726" ht="15.75" customHeight="1" s="17"/>
    <row r="727" ht="15.75" customHeight="1" s="17"/>
    <row r="728" ht="15.75" customHeight="1" s="17"/>
    <row r="729" ht="15.75" customHeight="1" s="17"/>
    <row r="730" ht="15.75" customHeight="1" s="17"/>
    <row r="731" ht="15.75" customHeight="1" s="17"/>
    <row r="732" ht="15.75" customHeight="1" s="17"/>
    <row r="733" ht="15.75" customHeight="1" s="17"/>
    <row r="734" ht="15.75" customHeight="1" s="17"/>
    <row r="735" ht="15.75" customHeight="1" s="17"/>
    <row r="736" ht="15.75" customHeight="1" s="17"/>
    <row r="737" ht="15.75" customHeight="1" s="17"/>
    <row r="738" ht="15.75" customHeight="1" s="17"/>
    <row r="739" ht="15.75" customHeight="1" s="17"/>
    <row r="740" ht="15.75" customHeight="1" s="17"/>
    <row r="741" ht="15.75" customHeight="1" s="17"/>
    <row r="742" ht="15.75" customHeight="1" s="17"/>
    <row r="743" ht="15.75" customHeight="1" s="17"/>
    <row r="744" ht="15.75" customHeight="1" s="17"/>
    <row r="745" ht="15.75" customHeight="1" s="17"/>
    <row r="746" ht="15.75" customHeight="1" s="17"/>
    <row r="747" ht="15.75" customHeight="1" s="17"/>
    <row r="748" ht="15.75" customHeight="1" s="17"/>
    <row r="749" ht="15.75" customHeight="1" s="17"/>
    <row r="750" ht="15.75" customHeight="1" s="17"/>
    <row r="751" ht="15.75" customHeight="1" s="17"/>
    <row r="752" ht="15.75" customHeight="1" s="17"/>
    <row r="753" ht="15.75" customHeight="1" s="17"/>
    <row r="754" ht="15.75" customHeight="1" s="17"/>
    <row r="755" ht="15.75" customHeight="1" s="17"/>
    <row r="756" ht="15.75" customHeight="1" s="17"/>
    <row r="757" ht="15.75" customHeight="1" s="17"/>
    <row r="758" ht="15.75" customHeight="1" s="17"/>
    <row r="759" ht="15.75" customHeight="1" s="17"/>
    <row r="760" ht="15.75" customHeight="1" s="17"/>
    <row r="761" ht="15.75" customHeight="1" s="17"/>
    <row r="762" ht="15.75" customHeight="1" s="17"/>
    <row r="763" ht="15.75" customHeight="1" s="17"/>
    <row r="764" ht="15.75" customHeight="1" s="17"/>
    <row r="765" ht="15.75" customHeight="1" s="17"/>
    <row r="766" ht="15.75" customHeight="1" s="17"/>
    <row r="767" ht="15.75" customHeight="1" s="17"/>
    <row r="768" ht="15.75" customHeight="1" s="17"/>
    <row r="769" ht="15.75" customHeight="1" s="17"/>
    <row r="770" ht="15.75" customHeight="1" s="17"/>
    <row r="771" ht="15.75" customHeight="1" s="17"/>
    <row r="772" ht="15.75" customHeight="1" s="17"/>
    <row r="773" ht="15.75" customHeight="1" s="17"/>
    <row r="774" ht="15.75" customHeight="1" s="17"/>
    <row r="775" ht="15.75" customHeight="1" s="17"/>
    <row r="776" ht="15.75" customHeight="1" s="17"/>
    <row r="777" ht="15.75" customHeight="1" s="17"/>
    <row r="778" ht="15.75" customHeight="1" s="17"/>
    <row r="779" ht="15.75" customHeight="1" s="17"/>
    <row r="780" ht="15.75" customHeight="1" s="17"/>
    <row r="781" ht="15.75" customHeight="1" s="17"/>
    <row r="782" ht="15.75" customHeight="1" s="17"/>
    <row r="783" ht="15.75" customHeight="1" s="17"/>
    <row r="784" ht="15.75" customHeight="1" s="17"/>
    <row r="785" ht="15.75" customHeight="1" s="17"/>
    <row r="786" ht="15.75" customHeight="1" s="17"/>
    <row r="787" ht="15.75" customHeight="1" s="17"/>
    <row r="788" ht="15.75" customHeight="1" s="17"/>
    <row r="789" ht="15.75" customHeight="1" s="17"/>
    <row r="790" ht="15.75" customHeight="1" s="17"/>
    <row r="791" ht="15.75" customHeight="1" s="17"/>
    <row r="792" ht="15.75" customHeight="1" s="17"/>
    <row r="793" ht="15.75" customHeight="1" s="17"/>
    <row r="794" ht="15.75" customHeight="1" s="17"/>
    <row r="795" ht="15.75" customHeight="1" s="17"/>
    <row r="796" ht="15.75" customHeight="1" s="17"/>
    <row r="797" ht="15.75" customHeight="1" s="17"/>
    <row r="798" ht="15.75" customHeight="1" s="17"/>
    <row r="799" ht="15.75" customHeight="1" s="17"/>
    <row r="800" ht="15.75" customHeight="1" s="17"/>
    <row r="801" ht="15.75" customHeight="1" s="17"/>
    <row r="802" ht="15.75" customHeight="1" s="17"/>
    <row r="803" ht="15.75" customHeight="1" s="17"/>
    <row r="804" ht="15.75" customHeight="1" s="17"/>
    <row r="805" ht="15.75" customHeight="1" s="17"/>
    <row r="806" ht="15.75" customHeight="1" s="17"/>
    <row r="807" ht="15.75" customHeight="1" s="17"/>
    <row r="808" ht="15.75" customHeight="1" s="17"/>
    <row r="809" ht="15.75" customHeight="1" s="17"/>
    <row r="810" ht="15.75" customHeight="1" s="17"/>
    <row r="811" ht="15.75" customHeight="1" s="17"/>
    <row r="812" ht="15.75" customHeight="1" s="17"/>
    <row r="813" ht="15.75" customHeight="1" s="17"/>
    <row r="814" ht="15.75" customHeight="1" s="17"/>
    <row r="815" ht="15.75" customHeight="1" s="17"/>
    <row r="816" ht="15.75" customHeight="1" s="17"/>
    <row r="817" ht="15.75" customHeight="1" s="17"/>
    <row r="818" ht="15.75" customHeight="1" s="17"/>
    <row r="819" ht="15.75" customHeight="1" s="17"/>
    <row r="820" ht="15.75" customHeight="1" s="17"/>
    <row r="821" ht="15.75" customHeight="1" s="17"/>
    <row r="822" ht="15.75" customHeight="1" s="17"/>
    <row r="823" ht="15.75" customHeight="1" s="17"/>
    <row r="824" ht="15.75" customHeight="1" s="17"/>
    <row r="825" ht="15.75" customHeight="1" s="17"/>
    <row r="826" ht="15.75" customHeight="1" s="17"/>
    <row r="827" ht="15.75" customHeight="1" s="17"/>
    <row r="828" ht="15.75" customHeight="1" s="17"/>
    <row r="829" ht="15.75" customHeight="1" s="17"/>
    <row r="830" ht="15.75" customHeight="1" s="17"/>
    <row r="831" ht="15.75" customHeight="1" s="17"/>
    <row r="832" ht="15.75" customHeight="1" s="17"/>
    <row r="833" ht="15.75" customHeight="1" s="17"/>
    <row r="834" ht="15.75" customHeight="1" s="17"/>
    <row r="835" ht="15.75" customHeight="1" s="17"/>
    <row r="836" ht="15.75" customHeight="1" s="17"/>
    <row r="837" ht="15.75" customHeight="1" s="17"/>
    <row r="838" ht="15.75" customHeight="1" s="17"/>
    <row r="839" ht="15.75" customHeight="1" s="17"/>
    <row r="840" ht="15.75" customHeight="1" s="17"/>
    <row r="841" ht="15.75" customHeight="1" s="17"/>
    <row r="842" ht="15.75" customHeight="1" s="17"/>
    <row r="843" ht="15.75" customHeight="1" s="17"/>
    <row r="844" ht="15.75" customHeight="1" s="17"/>
    <row r="845" ht="15.75" customHeight="1" s="17"/>
    <row r="846" ht="15.75" customHeight="1" s="17"/>
    <row r="847" ht="15.75" customHeight="1" s="17"/>
    <row r="848" ht="15.75" customHeight="1" s="17"/>
    <row r="849" ht="15.75" customHeight="1" s="17"/>
    <row r="850" ht="15.75" customHeight="1" s="17"/>
    <row r="851" ht="15.75" customHeight="1" s="17"/>
    <row r="852" ht="15.75" customHeight="1" s="17"/>
    <row r="853" ht="15.75" customHeight="1" s="17"/>
    <row r="854" ht="15.75" customHeight="1" s="17"/>
    <row r="855" ht="15.75" customHeight="1" s="17"/>
    <row r="856" ht="15.75" customHeight="1" s="17"/>
    <row r="857" ht="15.75" customHeight="1" s="17"/>
    <row r="858" ht="15.75" customHeight="1" s="17"/>
    <row r="859" ht="15.75" customHeight="1" s="17"/>
    <row r="860" ht="15.75" customHeight="1" s="17"/>
    <row r="861" ht="15.75" customHeight="1" s="17"/>
    <row r="862" ht="15.75" customHeight="1" s="17"/>
    <row r="863" ht="15.75" customHeight="1" s="17"/>
    <row r="864" ht="15.75" customHeight="1" s="17"/>
    <row r="865" ht="15.75" customHeight="1" s="17"/>
    <row r="866" ht="15.75" customHeight="1" s="17"/>
    <row r="867" ht="15.75" customHeight="1" s="17"/>
    <row r="868" ht="15.75" customHeight="1" s="17"/>
    <row r="869" ht="15.75" customHeight="1" s="17"/>
    <row r="870" ht="15.75" customHeight="1" s="17"/>
    <row r="871" ht="15.75" customHeight="1" s="17"/>
    <row r="872" ht="15.75" customHeight="1" s="17"/>
    <row r="873" ht="15.75" customHeight="1" s="17"/>
    <row r="874" ht="15.75" customHeight="1" s="17"/>
    <row r="875" ht="15.75" customHeight="1" s="17"/>
    <row r="876" ht="15.75" customHeight="1" s="17"/>
    <row r="877" ht="15.75" customHeight="1" s="17"/>
    <row r="878" ht="15.75" customHeight="1" s="17"/>
    <row r="879" ht="15.75" customHeight="1" s="17"/>
    <row r="880" ht="15.75" customHeight="1" s="17"/>
    <row r="881" ht="15.75" customHeight="1" s="17"/>
    <row r="882" ht="15.75" customHeight="1" s="17"/>
    <row r="883" ht="15.75" customHeight="1" s="17"/>
    <row r="884" ht="15.75" customHeight="1" s="17"/>
    <row r="885" ht="15.75" customHeight="1" s="17"/>
    <row r="886" ht="15.75" customHeight="1" s="17"/>
    <row r="887" ht="15.75" customHeight="1" s="17"/>
    <row r="888" ht="15.75" customHeight="1" s="17"/>
    <row r="889" ht="15.75" customHeight="1" s="17"/>
    <row r="890" ht="15.75" customHeight="1" s="17"/>
    <row r="891" ht="15.75" customHeight="1" s="17"/>
    <row r="892" ht="15.75" customHeight="1" s="17"/>
    <row r="893" ht="15.75" customHeight="1" s="17"/>
    <row r="894" ht="15.75" customHeight="1" s="17"/>
    <row r="895" ht="15.75" customHeight="1" s="17"/>
    <row r="896" ht="15.75" customHeight="1" s="17"/>
    <row r="897" ht="15.75" customHeight="1" s="17"/>
    <row r="898" ht="15.75" customHeight="1" s="17"/>
    <row r="899" ht="15.75" customHeight="1" s="17"/>
    <row r="900" ht="15.75" customHeight="1" s="17"/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pageMargins left="0.4" right="0.4" top="0.5" bottom="0.5" header="0" footer="0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2026-06-19T09:49:22Z</dcterms:created>
  <dcterms:modified xsi:type="dcterms:W3CDTF">2026-06-19T09:49:24Z</dcterms:modified>
</cp:coreProperties>
</file>